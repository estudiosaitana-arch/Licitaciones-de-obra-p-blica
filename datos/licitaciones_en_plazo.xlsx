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102" headerRowCount="1">
  <autoFilter ref="A1:Y102"/>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2063" headerRowCount="1">
  <autoFilter ref="A1:U2063"/>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1" /><Relationship Type="http://schemas.openxmlformats.org/officeDocument/2006/relationships/hyperlink" Target="https://contrataciondelestado.es/FileSystem/servlet/GetDocumentByIdServlet?cifrado=QUC1GjXXSiLkydRHJBmbpw%3D%3D&amp;DocumentIdParam=Lz02EZApWJgUl6Xv4RN/7vGqYzz3bKFAXkVaQops%2Bg9RzBNa11dmAedFNiuxMt28LHPqracQ3FTVaJD4SQ7CW0J7YRWINLHBfjRsqAyaItOHAj0WEJrB5sP7amrh2jBD" TargetMode="External" Id="rId2" /><Relationship Type="http://schemas.openxmlformats.org/officeDocument/2006/relationships/hyperlink" Target="https://contrataciondelestado.es/wps/poc?uri=deeplink:detalle_licitacion&amp;idEvl=PEeOxC2o%2BTx%2BF6L2uCfUWg%3D%3D" TargetMode="External" Id="rId3"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4"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5" /><Relationship Type="http://schemas.openxmlformats.org/officeDocument/2006/relationships/hyperlink" Target="https://contrataciondelestado.es/wps/poc?uri=deeplink:detalle_licitacion&amp;idEvl=8tSROFZiP93yoM4us5k4vw%3D%3D" TargetMode="External" Id="rId6" /><Relationship Type="http://schemas.openxmlformats.org/officeDocument/2006/relationships/hyperlink" Target="https://contrataciondelestado.es/FileSystem/servlet/GetDocumentByIdServlet?cifrado=QUC1GjXXSiLkydRHJBmbpw%3D%3D&amp;DocumentIdParam=EvNLXcH34YGE/AkgGXmdu%2B25m0r%2BPRyv2m9m78qv9cq2QUZFTiUKhAt7oB0aHZPEobFiwJhMOrrgukYkl%2BLpxS2vI6ouJpMBUGLDCyH1j4iB0nvVKRzfe4rpHcnlPhSZ" TargetMode="External" Id="rId7" /><Relationship Type="http://schemas.openxmlformats.org/officeDocument/2006/relationships/hyperlink" Target="https://contrataciondelestado.es/FileSystem/servlet/GetDocumentByIdServlet?cifrado=QUC1GjXXSiLkydRHJBmbpw%3D%3D&amp;DocumentIdParam=hayopJ59p51JALhT0r5LxyK6lBPR2LQt%2Bdtq3BIfboDXbnz%2BVrdrG5TxoU4U9mpoYsorqX0tsJMiKKRs2GUyk3WbH9MBqA7aneMTahjd23Rt/o8fNevwsujgRzaBbugn" TargetMode="External" Id="rId8" /><Relationship Type="http://schemas.openxmlformats.org/officeDocument/2006/relationships/hyperlink" Target="https://contrataciondelestado.es/wps/poc?uri=deeplink:detalle_licitacion&amp;idEvl=H%2BfoiMiWeQuS81gZFETWmA%3D%3D" TargetMode="External" Id="rId9"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10"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11" /><Relationship Type="http://schemas.openxmlformats.org/officeDocument/2006/relationships/hyperlink" Target="https://contrataciondelestado.es/wps/poc?uri=deeplink:detalle_licitacion&amp;idEvl=aRIdqffKCsteKgd8LfVV9g%3D%3D" TargetMode="External" Id="rId12"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13"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14" /><Relationship Type="http://schemas.openxmlformats.org/officeDocument/2006/relationships/hyperlink" Target="https://contrataciondelestado.es/wps/poc?uri=deeplink:detalle_licitacion&amp;idEvl=XjsYRiFYwurCfVQHDepjGQ%3D%3D" TargetMode="External" Id="rId15"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16"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17" /><Relationship Type="http://schemas.openxmlformats.org/officeDocument/2006/relationships/hyperlink" Target="https://contrataciondelestado.es/wps/poc?uri=deeplink:detalle_licitacion&amp;idEvl=%2BowZ1JjLNKwkJPJS%2BPS9vg%3D%3D" TargetMode="External" Id="rId18"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19"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20" /><Relationship Type="http://schemas.openxmlformats.org/officeDocument/2006/relationships/hyperlink" Target="https://contrataciondelestado.es/wps/poc?uri=deeplink:detalle_licitacion&amp;idEvl=cQbWxtnWm2Ts%2BnLj3vAg5A%3D%3D" TargetMode="External" Id="rId21"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22"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23" /><Relationship Type="http://schemas.openxmlformats.org/officeDocument/2006/relationships/hyperlink" Target="https://contrataciondelestado.es/wps/poc?uri=deeplink:detalle_licitacion&amp;idEvl=ujnDWDuOeiqP66GS%2BONYvQ%3D%3D" TargetMode="External" Id="rId24"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25"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26" /><Relationship Type="http://schemas.openxmlformats.org/officeDocument/2006/relationships/hyperlink" Target="https://contrataciondelestado.es/wps/poc?uri=deeplink:detalle_licitacion&amp;idEvl=g%2FgQDBbaHQLjHF5qKI4aaw%3D%3D" TargetMode="External" Id="rId27"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28" /><Relationship Type="http://schemas.openxmlformats.org/officeDocument/2006/relationships/hyperlink" Target="https://contrataciondelestado.es/FileSystem/servlet/GetDocumentByIdServlet?cifrado=QUC1GjXXSiLkydRHJBmbpw%3D%3D&amp;DocumentIdParam=6MUn/EDjThsuv1ILZBHW6Gu8ahZ7HTpXResx2E0QjbaSZgeoG5ugT/lHlMDNtmee7GuK0mEkX69wnqCt1XZIEIidmoz0%2BilC1N3ENxqoghNJOVDbGCDM%2BMigrvuVS7Rv" TargetMode="External" Id="rId29" /><Relationship Type="http://schemas.openxmlformats.org/officeDocument/2006/relationships/hyperlink" Target="https://contrataciondelestado.es/wps/poc?uri=deeplink:detalle_licitacion&amp;idEvl=ymEwm7ENNZyIzo3LHNPGcQ%3D%3D" TargetMode="External" Id="rId30"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31"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32" /><Relationship Type="http://schemas.openxmlformats.org/officeDocument/2006/relationships/hyperlink" Target="https://contrataciondelestado.es/wps/poc?uri=deeplink:detalle_licitacion&amp;idEvl=9EX80%2FnPwTY2wEhQbcAqug%3D%3D" TargetMode="External" Id="rId33"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34"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35" /><Relationship Type="http://schemas.openxmlformats.org/officeDocument/2006/relationships/hyperlink" Target="https://contrataciondelestado.es/wps/poc?uri=deeplink:detalle_licitacion&amp;idEvl=2yXCdpseY5ceIBJRHQiPkQ%3D%3D" TargetMode="External" Id="rId36"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37" /><Relationship Type="http://schemas.openxmlformats.org/officeDocument/2006/relationships/hyperlink" Target="https://contrataciondelestado.es/FileSystem/servlet/GetDocumentByIdServlet?cifrado=QUC1GjXXSiLkydRHJBmbpw%3D%3D&amp;DocumentIdParam=J%2B1obLrMmThnRqU24TnggYQAm2JdQMbzoVeZu9Lov5YPNKfSmYRWPtNQG/Q2ezG5sehkPbjLg8SU7vruSbkDq2LenZe149j5kz9QGYO9n8O1aXEvq3KHa/AEHgtDrQw0" TargetMode="External" Id="rId38" /><Relationship Type="http://schemas.openxmlformats.org/officeDocument/2006/relationships/hyperlink" Target="https://contrataciondelestado.es/wps/poc?uri=deeplink:detalle_licitacion&amp;idEvl=3DhfagLElaOFlFRHfEzEaw%3D%3D" TargetMode="External" Id="rId39"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40"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41" /><Relationship Type="http://schemas.openxmlformats.org/officeDocument/2006/relationships/hyperlink" Target="https://contrataciondelestado.es/wps/poc?uri=deeplink:detalle_licitacion&amp;idEvl=Y1DjExvRJ056nTs9LZ9RhQ%3D%3D" TargetMode="External" Id="rId42"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43"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44" /><Relationship Type="http://schemas.openxmlformats.org/officeDocument/2006/relationships/hyperlink" Target="https://contrataciondelestado.es/wps/poc?uri=deeplink:detalle_licitacion&amp;idEvl=OozDsAmdLF%2BHCIsjvJ3rhQ%3D%3D" TargetMode="External" Id="rId45"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46"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47" /><Relationship Type="http://schemas.openxmlformats.org/officeDocument/2006/relationships/hyperlink" Target="https://contrataciondelestado.es/wps/poc?uri=deeplink:detalle_licitacion&amp;idEvl=KbsbD2zm6oWdkQsA7ROvsg%3D%3D" TargetMode="External" Id="rId48"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49"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50" /><Relationship Type="http://schemas.openxmlformats.org/officeDocument/2006/relationships/hyperlink" Target="https://contrataciondelestado.es/wps/poc?uri=deeplink:detalle_licitacion&amp;idEvl=yuBOYXAA35BVkTabT%2FRM8A%3D%3D" TargetMode="External" Id="rId51"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52"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53" /><Relationship Type="http://schemas.openxmlformats.org/officeDocument/2006/relationships/hyperlink" Target="https://contrataciondelestado.es/wps/poc?uri=deeplink:detalle_licitacion&amp;idEvl=XzwaRS%2B94TSP66GS%2BONYvQ%3D%3D" TargetMode="External" Id="rId54"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55"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56" /><Relationship Type="http://schemas.openxmlformats.org/officeDocument/2006/relationships/hyperlink" Target="https://contrataciondelestado.es/wps/poc?uri=deeplink:detalle_licitacion&amp;idEvl=p3nSL0kjEDoadbH3CysQuQ%3D%3D" TargetMode="External" Id="rId57"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58"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59" /><Relationship Type="http://schemas.openxmlformats.org/officeDocument/2006/relationships/hyperlink" Target="https://contrataciondelestado.es/wps/poc?uri=deeplink:detalle_licitacion&amp;idEvl=vZ%2FhsH%2B0w7lt5r0ngvMetA%3D%3D" TargetMode="External" Id="rId60"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61"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62" /><Relationship Type="http://schemas.openxmlformats.org/officeDocument/2006/relationships/hyperlink" Target="https://contrataciondelestado.es/wps/poc?uri=deeplink:detalle_licitacion&amp;idEvl=dbZTwVAjBOPLIx6q1oPaMg%3D%3D" TargetMode="External" Id="rId63"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64"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65" /><Relationship Type="http://schemas.openxmlformats.org/officeDocument/2006/relationships/hyperlink" Target="https://contrataciondelestado.es/wps/poc?uri=deeplink:detalle_licitacion&amp;idEvl=UWTEU69ooRb10HRJw8TEnQ%3D%3D" TargetMode="External" Id="rId66"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67" /><Relationship Type="http://schemas.openxmlformats.org/officeDocument/2006/relationships/hyperlink" Target="https://contrataciondelestado.es/FileSystem/servlet/GetDocumentByIdServlet?cifrado=QUC1GjXXSiLkydRHJBmbpw%3D%3D&amp;DocumentIdParam=7oOx6ax2zPZNUrEqHDitJLSazTGhEJ%2BNyd9aUpicsdSshmCQYNXkKPRcft2YuJ6ZHrMad8kF2LRsjMdFNm%2B9h3HtniNKZXesvo5WBDgdwWjVTD3T98KC0nSgQFM0q%2B5s" TargetMode="External" Id="rId68" /><Relationship Type="http://schemas.openxmlformats.org/officeDocument/2006/relationships/hyperlink" Target="https://contrataciondelestado.es/wps/poc?uri=deeplink:detalle_licitacion&amp;idEvl=Kj2XwvoU3IaHCIsjvJ3rhQ%3D%3D" TargetMode="External" Id="rId69"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70" /><Relationship Type="http://schemas.openxmlformats.org/officeDocument/2006/relationships/hyperlink" Target="https://contrataciondelestado.es/FileSystem/servlet/GetDocumentByIdServlet?cifrado=QUC1GjXXSiLkydRHJBmbpw%3D%3D&amp;DocumentIdParam=4gMYFPFbisNH4/nvIJkih3evjSithrzQ0VcuK%2BxO1CgjJwd4bItbTaTXT9mirBScP5ATlBOpKrqX7Ktd76grl5iGWX3wWgxWL98YIwzZpBGHAj0WEJrB5sP7amrh2jBD" TargetMode="External" Id="rId71" /><Relationship Type="http://schemas.openxmlformats.org/officeDocument/2006/relationships/hyperlink" Target="https://contrataciondelestado.es/wps/poc?uri=deeplink:detalle_licitacion&amp;idEvl=pmYMpF9fjEKHCIsjvJ3rhQ%3D%3D" TargetMode="External" Id="rId72"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73" /><Relationship Type="http://schemas.openxmlformats.org/officeDocument/2006/relationships/hyperlink" Target="https://contrataciondelestado.es/FileSystem/servlet/GetDocumentByIdServlet?cifrado=QUC1GjXXSiLkydRHJBmbpw%3D%3D&amp;DocumentIdParam=8W474AAWMhgEgO9F/TJF7rVenLKek5UBE2A29lzwY8P471Bq%2Blng8/JH07DdqfIFacsJHjGyCdwXKGg0Wka5s/Meyr/bTACzzvS5ZICN9smB0nvVKRzfe4rpHcnlPhSZ" TargetMode="External" Id="rId74" /><Relationship Type="http://schemas.openxmlformats.org/officeDocument/2006/relationships/hyperlink" Target="https://contrataciondelestado.es/wps/poc?uri=deeplink:detalle_licitacion&amp;idEvl=F4QT2ZcCQwWExvMJXBMHHQ%3D%3D" TargetMode="External" Id="rId75"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76" /><Relationship Type="http://schemas.openxmlformats.org/officeDocument/2006/relationships/hyperlink" Target="https://contrataciondelestado.es/wps/poc?uri=deeplink:detalle_licitacion&amp;idEvl=btxl5SA3sV9%2FR5QFTlaM4A%3D%3D" TargetMode="External" Id="rId77"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78"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79" /><Relationship Type="http://schemas.openxmlformats.org/officeDocument/2006/relationships/hyperlink" Target="https://contrataciondelestado.es/wps/poc?uri=deeplink:detalle_licitacion&amp;idEvl=YUo21ObYBAYUqXM96WStVA%3D%3D" TargetMode="External" Id="rId80"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81" /><Relationship Type="http://schemas.openxmlformats.org/officeDocument/2006/relationships/hyperlink" Target="https://contrataciondelestado.es/FileSystem/servlet/GetDocumentByIdServlet?cifrado=QUC1GjXXSiLkydRHJBmbpw%3D%3D&amp;DocumentIdParam=5WHE%2Be2VHRxMwfaeyukYSKILAdBIBLa8TEfCcnlINxRb9rGMEMUjEGhYYslPqbHforG4%2BeA/tHcSBLR4U2QS9QcKKTkUqk0yi2gBPXY4ssh7QB3HKyQaFUExmUVQCerk" TargetMode="External" Id="rId82" /><Relationship Type="http://schemas.openxmlformats.org/officeDocument/2006/relationships/hyperlink" Target="https://contrataciondelestado.es/wps/poc?uri=deeplink:detalle_licitacion&amp;idEvl=yFbq%2F4Grs3MeIBJRHQiPkQ%3D%3D" TargetMode="External" Id="rId83"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84"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85" /><Relationship Type="http://schemas.openxmlformats.org/officeDocument/2006/relationships/hyperlink" Target="https://contrataciondelestado.es/wps/poc?uri=deeplink:detalle_licitacion&amp;idEvl=5EaLiaIqw78aF6cS8TCh%2FA%3D%3D" TargetMode="External" Id="rId86"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87"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88" /><Relationship Type="http://schemas.openxmlformats.org/officeDocument/2006/relationships/hyperlink" Target="https://contrataciondelestado.es/wps/poc?uri=deeplink:detalle_licitacion&amp;idEvl=zso0KsUSwMV6nTs9LZ9RhQ%3D%3D" TargetMode="External" Id="rId89"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90" /><Relationship Type="http://schemas.openxmlformats.org/officeDocument/2006/relationships/hyperlink" Target="https://contrataciondelestado.es/FileSystem/servlet/GetDocumentByIdServlet?cifrado=QUC1GjXXSiLkydRHJBmbpw%3D%3D&amp;DocumentIdParam=qR7KLtQJvwHWguHxUpPGRH2wEbzmD%2BCHKey1liekndHVZxNLU%2BVHPyuG9g3TJrlvfbDYk0%2B8kKa4yXHFPowzqkWuSLG%2BSRru1xj9fl%2B2Lqk//q7NB2iMZvNyf0xrJmjt" TargetMode="External" Id="rId91" /><Relationship Type="http://schemas.openxmlformats.org/officeDocument/2006/relationships/hyperlink" Target="https://contrataciondelestado.es/wps/poc?uri=deeplink:detalle_licitacion&amp;idEvl=NvCEy043dPnECtSnloz%2BZQ%3D%3D" TargetMode="External" Id="rId92"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93" /><Relationship Type="http://schemas.openxmlformats.org/officeDocument/2006/relationships/hyperlink" Target="https://contrataciondelestado.es/FileSystem/servlet/GetDocumentByIdServlet?cifrado=QUC1GjXXSiLkydRHJBmbpw%3D%3D&amp;DocumentIdParam=S8M92rZFwDzrcnI5Lth733Gh/LeVYDvaMDc%2BmYRKi/oKJQjOChq40rgJyjxLM%2Bve5HyPof5E/VlZ0llZm8srTaBZPmw8RWBRpdqUZXAAqB6HAj0WEJrB5sP7amrh2jBD" TargetMode="External" Id="rId94" /><Relationship Type="http://schemas.openxmlformats.org/officeDocument/2006/relationships/hyperlink" Target="https://contrataciondelestado.es/wps/poc?uri=deeplink:detalle_licitacion&amp;idEvl=4jDd2ZU0f2r5Rey58Yagpg%3D%3D" TargetMode="External" Id="rId95"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96" /><Relationship Type="http://schemas.openxmlformats.org/officeDocument/2006/relationships/hyperlink" Target="https://contrataciondelestado.es/FileSystem/servlet/GetDocumentByIdServlet?cifrado=QUC1GjXXSiLkydRHJBmbpw%3D%3D&amp;DocumentIdParam=kRWzoev%2BqgDvhvc4t0S0NfU9l8RN7MWZ49Nu77cQxIdzYBRDCU%2BlEKTqJfgMzT1kOXRgt%2BaXO3g9NlaukGE463idIX%2BgQ42WtzrnYAxeWszfdyQgZAdTm3EfcUAC7CJ6" TargetMode="External" Id="rId97" /><Relationship Type="http://schemas.openxmlformats.org/officeDocument/2006/relationships/hyperlink" Target="https://contrataciondelestado.es/wps/poc?uri=deeplink:detalle_licitacion&amp;idEvl=5QJ46lMoUzOsNfRW6APEDw%3D%3D" TargetMode="External" Id="rId98" /><Relationship Type="http://schemas.openxmlformats.org/officeDocument/2006/relationships/hyperlink" Target="https://contrataciondelestado.es/FileSystem/servlet/GetDocumentByIdServlet?cifrado=QUC1GjXXSiLkydRHJBmbpw%3D%3D&amp;DocumentIdParam=/%2BQ/74YfnyeSh0g3cs2%2Bis4CKcQdeEXtwNqiWWeF/7r8zimrhQprjhYMuFegORXJ6dgD7wR2vuJtcM4fbFw5rDv9mv8/viMM90AE9TvgEnWHAj0WEJrB5sP7amrh2jBD" TargetMode="External" Id="rId99" /><Relationship Type="http://schemas.openxmlformats.org/officeDocument/2006/relationships/hyperlink" Target="https://contrataciondelestado.es/FileSystem/servlet/GetDocumentByIdServlet?cifrado=QUC1GjXXSiLkydRHJBmbpw%3D%3D&amp;DocumentIdParam=gb7WzUJWd4qtKvhT61w9rVLO5/NvPpmWMuPcx7LDwo8s6eI3HQ8ngeNIQ2GFcLd3HOjLi/TI2XMCF4SLR3tYbmZO84KeNW%2B79zQxx9BUW8T3GVhXrFFqN7yFncy7YfRK" TargetMode="External" Id="rId100" /><Relationship Type="http://schemas.openxmlformats.org/officeDocument/2006/relationships/hyperlink" Target="https://contrataciondelestado.es/wps/poc?uri=deeplink:detalle_licitacion&amp;idEvl=sqrBRzTVXT2zz8fXU2i3eQ%3D%3D" TargetMode="External" Id="rId101"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02" /><Relationship Type="http://schemas.openxmlformats.org/officeDocument/2006/relationships/hyperlink" Target="https://contrataciondelestado.es/FileSystem/servlet/GetDocumentByIdServlet?cifrado=QUC1GjXXSiLkydRHJBmbpw%3D%3D&amp;DocumentIdParam=eQi9%2BuaOBy5XgxNSEV7goYgk6FFrYCoyVQN8NU5e5twc9Vb82UZc6j3doS/opEyxPAxmeNa6ZcG/NXnC4Z/mKEHeXm7lVJe5SrQP12X4%2BTsZyAJWGsSt0OzTSTyw9JAs" TargetMode="External" Id="rId103" /><Relationship Type="http://schemas.openxmlformats.org/officeDocument/2006/relationships/hyperlink" Target="https://contrataciondelestado.es/wps/poc?uri=deeplink:detalle_licitacion&amp;idEvl=7fUAiBOYYpsaF6cS8TCh%2FA%3D%3D" TargetMode="External" Id="rId104"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05" /><Relationship Type="http://schemas.openxmlformats.org/officeDocument/2006/relationships/hyperlink" Target="https://contrataciondelestado.es/wps/poc?uri=deeplink:detalle_licitacion&amp;idEvl=47FkCao0SxydkQsA7ROvsg%3D%3D" TargetMode="External" Id="rId106"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07"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108" /><Relationship Type="http://schemas.openxmlformats.org/officeDocument/2006/relationships/hyperlink" Target="https://contrataciondelestado.es/wps/poc?uri=deeplink:detalle_licitacion&amp;idEvl=BSfRoch9rmJVkTabT%2FRM8A%3D%3D" TargetMode="External" Id="rId109"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110" /><Relationship Type="http://schemas.openxmlformats.org/officeDocument/2006/relationships/hyperlink" Target="https://contrataciondelestado.es/wps/poc?uri=deeplink:detalle_licitacion&amp;idEvl=6k1aJ3uUy514zIRvjBVCSw%3D%3D" TargetMode="External" Id="rId111"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12"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13" /><Relationship Type="http://schemas.openxmlformats.org/officeDocument/2006/relationships/hyperlink" Target="https://contrataciondelestado.es/wps/poc?uri=deeplink:detalle_licitacion&amp;idEvl=THC%2BVp2hV%2Bh6nTs9LZ9RhQ%3D%3D" TargetMode="External" Id="rId114"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15" /><Relationship Type="http://schemas.openxmlformats.org/officeDocument/2006/relationships/hyperlink" Target="https://contrataciondelestado.es/FileSystem/servlet/GetDocumentByIdServlet?cifrado=QUC1GjXXSiLkydRHJBmbpw%3D%3D&amp;DocumentIdParam=0HmXqVb8aJWKG%2BYX9VjsGg5WRCluyYPg9YlxCmVNLQtN0V2GBlV9jUO9HpIdCuxs2EL8xBObVQYoFjqRwqIk4NKiW7tl%2Bq8eSllW4rgdQTA//q7NB2iMZvNyf0xrJmjt" TargetMode="External" Id="rId116" /><Relationship Type="http://schemas.openxmlformats.org/officeDocument/2006/relationships/hyperlink" Target="https://contrataciondelestado.es/wps/poc?uri=deeplink:detalle_licitacion&amp;idEvl=6qJf3M1TMmKIzo3LHNPGcQ%3D%3D" TargetMode="External" Id="rId117"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18"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19" /><Relationship Type="http://schemas.openxmlformats.org/officeDocument/2006/relationships/hyperlink" Target="https://contrataciondelestado.es/wps/poc?uri=deeplink:detalle_licitacion&amp;idEvl=lZm5mMPSh1aS81gZFETWmA%3D%3D" TargetMode="External" Id="rId120"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21"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22" /><Relationship Type="http://schemas.openxmlformats.org/officeDocument/2006/relationships/hyperlink" Target="https://contrataciondelestado.es/wps/poc?uri=deeplink:detalle_licitacion&amp;idEvl=IwYt08KPtCi7JOCXkOhcDg%3D%3D" TargetMode="External" Id="rId123"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24"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25" /><Relationship Type="http://schemas.openxmlformats.org/officeDocument/2006/relationships/hyperlink" Target="https://contrataciondelestado.es/wps/poc?uri=deeplink:detalle_licitacion&amp;idEvl=TDsWprVukqcUqXM96WStVA%3D%3D" TargetMode="External" Id="rId126"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127"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128" /><Relationship Type="http://schemas.openxmlformats.org/officeDocument/2006/relationships/hyperlink" Target="https://contrataciondelestado.es/wps/poc?uri=deeplink:detalle_licitacion&amp;idEvl=jvJ3ph4P%2FNDyoM4us5k4vw%3D%3D" TargetMode="External" Id="rId129"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30" /><Relationship Type="http://schemas.openxmlformats.org/officeDocument/2006/relationships/hyperlink" Target="https://contrataciondelestado.es/FileSystem/servlet/GetDocumentByIdServlet?cifrado=QUC1GjXXSiLkydRHJBmbpw%3D%3D&amp;DocumentIdParam=NHKfhEI5KjlupDxKl4Fq2vI2sK5Esggei4kM5EXJgTISrQrSy/9NYtT1Dxx7kpo9ArepoEFYJSgxyVrxuCZKfTvSeaw/2l9fLix2SDEC0hwZyAJWGsSt0OzTSTyw9JAs" TargetMode="External" Id="rId131" /><Relationship Type="http://schemas.openxmlformats.org/officeDocument/2006/relationships/hyperlink" Target="https://contrataciondelestado.es/wps/poc?uri=deeplink:detalle_licitacion&amp;idEvl=7T1zxXisYdnLIx6q1oPaMg%3D%3D" TargetMode="External" Id="rId132"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133" /><Relationship Type="http://schemas.openxmlformats.org/officeDocument/2006/relationships/hyperlink" Target="https://contrataciondelestado.es/FileSystem/servlet/GetDocumentByIdServlet?cifrado=QUC1GjXXSiLkydRHJBmbpw%3D%3D&amp;DocumentIdParam=hHdOOfufp09903vGIJ68hsYJOObThXtBkreVeg3wf3zdv9wQWz/2D%2BpmF/RW9zUNAjnhqbpUBizz7bWIIpYH0iyPd2dQmDQl8qcVTVfOmVWB0nvVKRzfe4rpHcnlPhSZ" TargetMode="External" Id="rId134" /><Relationship Type="http://schemas.openxmlformats.org/officeDocument/2006/relationships/hyperlink" Target="https://contrataciondelestado.es/wps/poc?uri=deeplink:detalle_licitacion&amp;idEvl=mRpjWc4Nlf8wYTJJ03sHog%3D%3D" TargetMode="External" Id="rId135"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36" /><Relationship Type="http://schemas.openxmlformats.org/officeDocument/2006/relationships/hyperlink" Target="https://contrataciondelestado.es/FileSystem/servlet/GetDocumentByIdServlet?cifrado=QUC1GjXXSiLkydRHJBmbpw%3D%3D&amp;DocumentIdParam=e1HpMrJ%2BCx5uWtQgZ7/FlMwy5emMGEPEGHrW7kK%2BRQ0IRW9T0udwLbCK51pI8wwcYhkBF46SRfC60cC1JkGqL42VP8fuGXZjlvWyd2A6/FaB0nvVKRzfe4rpHcnlPhSZ" TargetMode="External" Id="rId137" /><Relationship Type="http://schemas.openxmlformats.org/officeDocument/2006/relationships/hyperlink" Target="https://contrataciondelestado.es/wps/poc?uri=deeplink:detalle_licitacion&amp;idEvl=l2rGhcJQ2m%2BKeVWTb9Scog%3D%3D" TargetMode="External" Id="rId138"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39" /><Relationship Type="http://schemas.openxmlformats.org/officeDocument/2006/relationships/hyperlink" Target="https://contrataciondelestado.es/FileSystem/servlet/GetDocumentByIdServlet?cifrado=QUC1GjXXSiLkydRHJBmbpw%3D%3D&amp;DocumentIdParam=0YYNKImFfBN4FO%2BpwqO5TYZnyQMT5GYrmGw8ovilaRP2FG9OnRJjXkvQkx0zfw7k8bBOhYcWyIaboSoqD3bTzXfXDTkgKLREFd4e6byxQqaCx2e6p7hqtlp2aFupgHMr" TargetMode="External" Id="rId140" /><Relationship Type="http://schemas.openxmlformats.org/officeDocument/2006/relationships/hyperlink" Target="https://contrataciondelestado.es/wps/poc?uri=deeplink:detalle_licitacion&amp;idEvl=BARU4uB1d%2BGTylGzYmBF9Q%3D%3D" TargetMode="External" Id="rId141"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142" /><Relationship Type="http://schemas.openxmlformats.org/officeDocument/2006/relationships/hyperlink" Target="https://contrataciondelestado.es/FileSystem/servlet/GetDocumentByIdServlet?cifrado=QUC1GjXXSiLkydRHJBmbpw%3D%3D&amp;DocumentIdParam=0Pr/eimxP2J55Hc1wU2PLLn/clX4vDhRFE50r4g4w/TzAeNgwbTmvK8qHKd9nxCTSWoFg7TQUeMO1Dq/JuiIdQW1pnV1fnyKhv0N%2Buz7H0v6CYyL7SIrUOBFfNf52ZqA" TargetMode="External" Id="rId143" /><Relationship Type="http://schemas.openxmlformats.org/officeDocument/2006/relationships/hyperlink" Target="https://contrataciondelestado.es/wps/poc?uri=deeplink:detalle_licitacion&amp;idEvl=8n%2BfaXpvKQYmMOlAXxDEjw%3D%3D" TargetMode="External" Id="rId144"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145" /><Relationship Type="http://schemas.openxmlformats.org/officeDocument/2006/relationships/hyperlink" Target="https://contrataciondelestado.es/FileSystem/servlet/GetDocumentByIdServlet?cifrado=QUC1GjXXSiLkydRHJBmbpw%3D%3D&amp;DocumentIdParam=ihKowu21j5t8CwPcm4L4FEAxrROBeWi0p/3424Yhk0mNX1BdmMU7/5TOyJjnUULI83yrzwN687d5Ocb%2BRSd6mYIJPQKT8mjPaoL56dOc%2BVZ45ClyWkoJ44mKM70IFcOu" TargetMode="External" Id="rId146" /><Relationship Type="http://schemas.openxmlformats.org/officeDocument/2006/relationships/hyperlink" Target="https://contrataciondelestado.es/wps/poc?uri=deeplink:detalle_licitacion&amp;idEvl=KQA5aUxcsRBVq4S9zvaQpQ%3D%3D" TargetMode="External" Id="rId147"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148" /><Relationship Type="http://schemas.openxmlformats.org/officeDocument/2006/relationships/hyperlink" Target="https://contrataciondelestado.es/FileSystem/servlet/GetDocumentByIdServlet?cifrado=QUC1GjXXSiLkydRHJBmbpw%3D%3D&amp;DocumentIdParam=Bt0Wu9Yw7ICVhDI2qqgIVex7I/j4vV/7CcO5C1/B02h8UGc8FDdvhPvrsIMWW0n2pVp%2B1JkV0fGLOC%2BuKcXJwH%2BtPRBe6DVSZTOvlZMaGUffdyQgZAdTm3EfcUAC7CJ6" TargetMode="External" Id="rId149" /><Relationship Type="http://schemas.openxmlformats.org/officeDocument/2006/relationships/hyperlink" Target="https://contrataciondelestado.es/wps/poc?uri=deeplink:detalle_licitacion&amp;idEvl=I2%2F1TgOpql%2F9pbnDwlaUlg%3D%3D" TargetMode="External" Id="rId150"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151" /><Relationship Type="http://schemas.openxmlformats.org/officeDocument/2006/relationships/hyperlink" Target="https://contrataciondelestado.es/FileSystem/servlet/GetDocumentByIdServlet?cifrado=QUC1GjXXSiLkydRHJBmbpw%3D%3D&amp;DocumentIdParam=akjXLCKlffyOOp7hfEuJNUTSltj%2B4HB9ES5pUddizRH7C%2BMgUpcjRQBCND9f9ovzRsyFQODaw85%2B5HIv38CTGTDWuhUp0o7HkzH80FwnpPffdyQgZAdTm3EfcUAC7CJ6" TargetMode="External" Id="rId152" /><Relationship Type="http://schemas.openxmlformats.org/officeDocument/2006/relationships/hyperlink" Target="https://contrataciondelestado.es/wps/poc?uri=deeplink:detalle_licitacion&amp;idEvl=%2FueOpfZ51uKcTfjQf3USOg%3D%3D" TargetMode="External" Id="rId153"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154" /><Relationship Type="http://schemas.openxmlformats.org/officeDocument/2006/relationships/hyperlink" Target="https://contrataciondelestado.es/wps/poc?uri=deeplink:detalle_licitacion&amp;idEvl=aqJ6G4muQPSS81gZFETWmA%3D%3D" TargetMode="External" Id="rId155"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156" /><Relationship Type="http://schemas.openxmlformats.org/officeDocument/2006/relationships/hyperlink" Target="https://contrataciondelestado.es/FileSystem/servlet/GetDocumentByIdServlet?cifrado=QUC1GjXXSiLkydRHJBmbpw%3D%3D&amp;DocumentIdParam=LAnth1YQsG1WFhwe2B/d7ojKo/f7PToTN%2BJt/9cp%2BfTLQs4%2B1WYieA6RU1UqfdczKJwTFCGykAElWLkh93hg3vy0RXC6myjmZtfCmB/Qs2GB0nvVKRzfe4rpHcnlPhSZ" TargetMode="External" Id="rId157" /><Relationship Type="http://schemas.openxmlformats.org/officeDocument/2006/relationships/hyperlink" Target="https://contrataciondelestado.es/wps/poc?uri=deeplink:detalle_licitacion&amp;idEvl=M%2BP1AKIIWr0%2Bk2oCbDosIw%3D%3D" TargetMode="External" Id="rId158"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159" /><Relationship Type="http://schemas.openxmlformats.org/officeDocument/2006/relationships/hyperlink" Target="https://contrataciondelestado.es/FileSystem/servlet/GetDocumentByIdServlet?cifrado=QUC1GjXXSiLkydRHJBmbpw%3D%3D&amp;DocumentIdParam=GdlVAqGQtE4/3xWe7IfB%2BVMLslRmjBv66%2BDoEI44g/hr7Tz%2BLCqxwmLr2yV%2Bw6me7gc39TmDEOTTMVOyQGnPZhSDsl4q6oSipPMiZZUyN%2BOB0nvVKRzfe4rpHcnlPhSZ" TargetMode="External" Id="rId160" /><Relationship Type="http://schemas.openxmlformats.org/officeDocument/2006/relationships/hyperlink" Target="https://contrataciondelestado.es/wps/poc?uri=deeplink:detalle_licitacion&amp;idEvl=zcdj9UejJoSTylGzYmBF9Q%3D%3D" TargetMode="External" Id="rId161" /><Relationship Type="http://schemas.openxmlformats.org/officeDocument/2006/relationships/hyperlink" Target="https://contrataciondelestado.es/FileSystem/servlet/GetDocumentByIdServlet?cifrado=QUC1GjXXSiLkydRHJBmbpw%3D%3D&amp;DocumentIdParam=J9u/yd16g4mGNDJAX43x0MbIG%2Bk4Fy8O9GEcXlkfMYqqfoHeq0/HhjFDBil4wmGWf2CzlmJe4cj2EXyasovn%2BuWRAyhBcFDAIyp14ef6mQw//q7NB2iMZvNyf0xrJmjt" TargetMode="External" Id="rId162" /><Relationship Type="http://schemas.openxmlformats.org/officeDocument/2006/relationships/hyperlink" Target="https://contrataciondelestado.es/FileSystem/servlet/GetDocumentByIdServlet?cifrado=QUC1GjXXSiLkydRHJBmbpw%3D%3D&amp;DocumentIdParam=FYTEtGMWats/yrokVb5oVCnE2zE3LY33c26/AJcayLpqCCXFnqH7ivNICb8XgtQTEyKT9NVchlvoC9Hg8bd7RG9DkaJe%2B3v6D7MtUh0cjGDDdQD9RyhUmzT4jZ2In4zL" TargetMode="External" Id="rId163" /><Relationship Type="http://schemas.openxmlformats.org/officeDocument/2006/relationships/hyperlink" Target="https://contrataciondelestado.es/wps/poc?uri=deeplink:detalle_licitacion&amp;idEvl=7f3dvyBHu%2Bmqb7rCcv76BA%3D%3D" TargetMode="External" Id="rId164" /><Relationship Type="http://schemas.openxmlformats.org/officeDocument/2006/relationships/hyperlink" Target="https://contrataciondelestado.es/FileSystem/servlet/GetDocumentByIdServlet?cifrado=QUC1GjXXSiLkydRHJBmbpw%3D%3D&amp;DocumentIdParam=GneVU/zz0Z%2B51%2B3rmaea1R05LxK8vEFth/OXCIzj4q%2BMo/vqez0qZ8uTYGWMQH84LA2%2BKVFB6hvYCv4%2BczBvS1mqt3dLwTgTG/hEqSM%2BWfl7QB3HKyQaFUExmUVQCerk" TargetMode="External" Id="rId165" /><Relationship Type="http://schemas.openxmlformats.org/officeDocument/2006/relationships/hyperlink" Target="https://contrataciondelestado.es/FileSystem/servlet/GetDocumentByIdServlet?cifrado=QUC1GjXXSiLkydRHJBmbpw%3D%3D&amp;DocumentIdParam=O1ztHKLXSJngMFMKpgAy5mf2kQsDpBD39XJqVur1Fo1OtCGN0c95SL2suxWmKdFFFyJP%2BAQHt13JmOySIuW5bqQIa2E/m64C4lT88V3vmoIZyAJWGsSt0OzTSTyw9JAs" TargetMode="External" Id="rId166" /><Relationship Type="http://schemas.openxmlformats.org/officeDocument/2006/relationships/hyperlink" Target="https://contrataciondelestado.es/wps/poc?uri=deeplink:detalle_licitacion&amp;idEvl=dnYuaFwk%2BgecCF8sV%2BqtYA%3D%3D" TargetMode="External" Id="rId167"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168"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169" /><Relationship Type="http://schemas.openxmlformats.org/officeDocument/2006/relationships/hyperlink" Target="https://contrataciondelestado.es/wps/poc?uri=deeplink:detalle_licitacion&amp;idEvl=oCjY4l4eX8pSYrkJkLlFdw%3D%3D" TargetMode="External" Id="rId170" /><Relationship Type="http://schemas.openxmlformats.org/officeDocument/2006/relationships/hyperlink" Target="https://contrataciondelestado.es/FileSystem/servlet/GetDocumentByIdServlet?cifrado=QUC1GjXXSiLkydRHJBmbpw%3D%3D&amp;DocumentIdParam=y6PUttHvBTKnu5EEuwIArfvpoW438SqWwoBhURFLjdV7WAjqDUzjxA%2BduSso4Zubrp6neTSjSTDhe8YjOt4d3UHJo597phcoGUgCnKqmXt6HAj0WEJrB5sP7amrh2jBD" TargetMode="External" Id="rId171" /><Relationship Type="http://schemas.openxmlformats.org/officeDocument/2006/relationships/hyperlink" Target="https://contrataciondelestado.es/FileSystem/servlet/GetDocumentByIdServlet?cifrado=QUC1GjXXSiLkydRHJBmbpw%3D%3D&amp;DocumentIdParam=M%2B5FtSEjUP8JQuHGI4SEpXa56rWisZJAJhTHfZODC/tGLSbUVOaIxDMfjOq3lKDmjyp4zkhTt0RdzfbN6FYsmawQo%2B7dZ7AKGDBb4KN6GM4C1/zDIE0Kw/PWNnLS0Z0z" TargetMode="External" Id="rId172" /><Relationship Type="http://schemas.openxmlformats.org/officeDocument/2006/relationships/hyperlink" Target="https://contrataciondelestado.es/wps/poc?uri=deeplink:detalle_licitacion&amp;idEvl=3GYQZoC9g%2Fj5Rey58Yagpg%3D%3D" TargetMode="External" Id="rId173" /><Relationship Type="http://schemas.openxmlformats.org/officeDocument/2006/relationships/hyperlink" Target="https://contrataciondelestado.es/FileSystem/servlet/GetDocumentByIdServlet?cifrado=QUC1GjXXSiLkydRHJBmbpw%3D%3D&amp;DocumentIdParam=KyaWfF6%2BQBOyyBa9ZVeQ0Pj8s14CKmpT8ykOenoewlYedspNm4%2BN67SbhLx2%2Br0ecevNrueUwoIbMa%2BK9XJ/oCdJQZbf3oNiAxuPjEKvZnE//q7NB2iMZvNyf0xrJmjt" TargetMode="External" Id="rId174" /><Relationship Type="http://schemas.openxmlformats.org/officeDocument/2006/relationships/hyperlink" Target="https://contrataciondelestado.es/FileSystem/servlet/GetDocumentByIdServlet?cifrado=QUC1GjXXSiLkydRHJBmbpw%3D%3D&amp;DocumentIdParam=kDhqNqGSWZ6TLWGSTMsjhhbUK2DvMt8C6tJ4uZH72baP6X2qWC%2BkRWmMM8VorYoW5zJgpd4l%2BaFccWEw/3nLZX1vUNr6chJHzvz3qX39eVY//q7NB2iMZvNyf0xrJmjt" TargetMode="External" Id="rId175" /><Relationship Type="http://schemas.openxmlformats.org/officeDocument/2006/relationships/hyperlink" Target="https://contrataciondelestado.es/wps/poc?uri=deeplink:detalle_licitacion&amp;idEvl=iT7J%2FbvgaxekU02jNGj1Fw%3D%3D" TargetMode="External" Id="rId176" /><Relationship Type="http://schemas.openxmlformats.org/officeDocument/2006/relationships/hyperlink" Target="https://contrataciondelestado.es/FileSystem/servlet/GetDocumentByIdServlet?cifrado=QUC1GjXXSiLkydRHJBmbpw%3D%3D&amp;DocumentIdParam=UrbM4AEFOeSNS1uEy8OsYnp65GWQk4fiaFkdJt3flw5kj6%2B2WDo8hJL9Ma0340Eod41jNf/u1sbxQpAn2Swy6a/ixmjWkkrJtGnkDUoDVHP3GVhXrFFqN7yFncy7YfRK" TargetMode="External" Id="rId177" /><Relationship Type="http://schemas.openxmlformats.org/officeDocument/2006/relationships/hyperlink" Target="https://contrataciondelestado.es/FileSystem/servlet/GetDocumentByIdServlet?cifrado=QUC1GjXXSiLkydRHJBmbpw%3D%3D&amp;DocumentIdParam=xO9KiE1vLO5HuuWnXDcvhL8Vi/7A2cs4hexg3/S7jeMvtZct1pCOFj%2BP2UfhKYLysTEZDbGtYzh6R8RYzba4JVdxaWJ/xQDCg6IYI3AB4bk//q7NB2iMZvNyf0xrJmjt" TargetMode="External" Id="rId178" /><Relationship Type="http://schemas.openxmlformats.org/officeDocument/2006/relationships/hyperlink" Target="https://contrataciondelestado.es/wps/poc?uri=deeplink:detalle_licitacion&amp;idEvl=%2BJr54v3oPwCFQ%2FlhRK79lA%3D%3D" TargetMode="External" Id="rId179" /><Relationship Type="http://schemas.openxmlformats.org/officeDocument/2006/relationships/hyperlink" Target="https://contrataciondelestado.es/FileSystem/servlet/GetDocumentByIdServlet?cifrado=QUC1GjXXSiLkydRHJBmbpw%3D%3D&amp;DocumentIdParam=e1HpMrJ%2BCx5uWtQgZ7/FlH9vec%2BvgmL2RYz73u8xe/6cJeHv39ZxiRFrlOgA8j8gvO1Nced9e%2B7QQykJ8NMCswyOySrgzYwbuCW4AgCTxom1aXEvq3KHa/AEHgtDrQw0" TargetMode="External" Id="rId180" /><Relationship Type="http://schemas.openxmlformats.org/officeDocument/2006/relationships/hyperlink" Target="https://contrataciondelestado.es/FileSystem/servlet/GetDocumentByIdServlet?cifrado=QUC1GjXXSiLkydRHJBmbpw%3D%3D&amp;DocumentIdParam=zfdAViCSk%2B%2BbFAvuk6lGjXNgeUuttqNtcsNPAZxz7%2BUEtaVYT0/6m/922sfLT1X2l0dw4QDJ0n73xSDZB4cf2rrzvvgX1iN4UtOgkTpLvbG1aXEvq3KHa/AEHgtDrQw0" TargetMode="External" Id="rId181" /><Relationship Type="http://schemas.openxmlformats.org/officeDocument/2006/relationships/hyperlink" Target="https://contrataciondelestado.es/wps/poc?uri=deeplink:detalle_licitacion&amp;idEvl=Mx%2FCWxNEyM22gkLQ8TeYKA%3D%3D" TargetMode="External" Id="rId182" /><Relationship Type="http://schemas.openxmlformats.org/officeDocument/2006/relationships/hyperlink" Target="https://contrataciondelestado.es/FileSystem/servlet/GetDocumentByIdServlet?cifrado=QUC1GjXXSiLkydRHJBmbpw%3D%3D&amp;DocumentIdParam=cG7B%2Bpa2VgJx6Zj2b4RZBbOV80uI87%2BtF2pAevoWZmysdXlerBXsuLvwMQ38iJiAMcNE4L9dUSgiAG6bPUNJfE8jvpc7E2d4TmEIeWsoxkBJOVDbGCDM%2BMigrvuVS7Rv" TargetMode="External" Id="rId183" /><Relationship Type="http://schemas.openxmlformats.org/officeDocument/2006/relationships/hyperlink" Target="https://contrataciondelestado.es/FileSystem/servlet/GetDocumentByIdServlet?cifrado=QUC1GjXXSiLkydRHJBmbpw%3D%3D&amp;DocumentIdParam=OUgIhd8vnl88bz/TFsuHxNzExU96kAzmAJI0tLRrCk6bcSMHox7w/VbfoSCCUnK36c8uMy7z9UKn/iss5niXBuUsYtCxJQ21sYU40UvkyODfdyQgZAdTm3EfcUAC7CJ6" TargetMode="External" Id="rId184" /><Relationship Type="http://schemas.openxmlformats.org/officeDocument/2006/relationships/hyperlink" Target="https://contrataciondelestado.es/wps/poc?uri=deeplink:detalle_licitacion&amp;idEvl=QkGueFkUjcXpxJFXpLZ%2B2A%3D%3D" TargetMode="External" Id="rId185"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86" /><Relationship Type="http://schemas.openxmlformats.org/officeDocument/2006/relationships/hyperlink" Target="https://contrataciondelestado.es/FileSystem/servlet/GetDocumentByIdServlet?cifrado=QUC1GjXXSiLkydRHJBmbpw%3D%3D&amp;DocumentIdParam=xCLyg4/vLZqOkTj6bGY9gmKOtZhXNhZRvf/dQ8YCYwHNam9a27mEMXWZAJjapnWMjCdo1hHfthvZ/chMYx9nDXjaNyHJ9EtLy6yNR9Z8EvZt/o8fNevwsujgRzaBbugn" TargetMode="External" Id="rId187" /><Relationship Type="http://schemas.openxmlformats.org/officeDocument/2006/relationships/hyperlink" Target="https://contrataciondelestado.es/wps/poc?uri=deeplink:detalle_licitacion&amp;idEvl=2qdpV8AJNT7IGlsa0Wad%2Bw%3D%3D" TargetMode="External" Id="rId188"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189" /><Relationship Type="http://schemas.openxmlformats.org/officeDocument/2006/relationships/hyperlink" Target="https://contrataciondelestado.es/FileSystem/servlet/GetDocumentByIdServlet?cifrado=QUC1GjXXSiLkydRHJBmbpw%3D%3D&amp;DocumentIdParam=x/As8g8WeIHZq9Dc3GSzo31IZ%2BrSEfEIf77hcLTWW/y7fxABDo%2Bq5X9SMOK0fxXZOfM966RyQBAfMvIs8E05ZURs7E2g3junYFFP4/Gt8Fp7QB3HKyQaFUExmUVQCerk" TargetMode="External" Id="rId190" /><Relationship Type="http://schemas.openxmlformats.org/officeDocument/2006/relationships/hyperlink" Target="https://contrataciondelestado.es/wps/poc?uri=deeplink:detalle_licitacion&amp;idEvl=rr9sX%2Fm%2B6hSOUi78BmzhOQ%3D%3D" TargetMode="External" Id="rId191" /><Relationship Type="http://schemas.openxmlformats.org/officeDocument/2006/relationships/hyperlink" Target="https://contrataciondelestado.es/FileSystem/servlet/GetDocumentByIdServlet?cifrado=QUC1GjXXSiLkydRHJBmbpw%3D%3D&amp;DocumentIdParam=pxRsuS%2B91rIbfsCF5RVOXPcqgMhwrHgaTUARYVi2J6MtKvXR7PKIl6un4xXatlpNr0vdAlXTAIZGEabzyAw04H%2B2sR0/PEbyjO1FGSSdUYNJOVDbGCDM%2BMigrvuVS7Rv" TargetMode="External" Id="rId192" /><Relationship Type="http://schemas.openxmlformats.org/officeDocument/2006/relationships/hyperlink" Target="https://contrataciondelestado.es/FileSystem/servlet/GetDocumentByIdServlet?cifrado=QUC1GjXXSiLkydRHJBmbpw%3D%3D&amp;DocumentIdParam=a5htdh0Put1s1h1x8MxogqHzZewPgCBu6pIjG6XqXvfUAEZ/2Pw7eE2Q3RyTJAPCB0wkXsp%2BmGVP9EcriG15TnKu4wsiJRZBYpBhxKUB/BjVTD3T98KC0nSgQFM0q%2B5s" TargetMode="External" Id="rId193" /><Relationship Type="http://schemas.openxmlformats.org/officeDocument/2006/relationships/hyperlink" Target="https://contrataciondelestado.es/wps/poc?uri=deeplink:detalle_licitacion&amp;idEvl=W5Xfl0CJgx3ECtSnloz%2BZQ%3D%3D" TargetMode="External" Id="rId194"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195" /><Relationship Type="http://schemas.openxmlformats.org/officeDocument/2006/relationships/hyperlink" Target="https://contrataciondelestado.es/FileSystem/servlet/GetDocumentByIdServlet?cifrado=QUC1GjXXSiLkydRHJBmbpw%3D%3D&amp;DocumentIdParam=Ii%2B6bytvnLgoKSTVJHTD4aLoP52BohnyRKFcekHBXmIfjSTw2zU/QgEftpUp87PgHdX3WhS19HVOtUuKcAyFTjr7mXNMwrnf7bZ2TjKCe4c//q7NB2iMZvNyf0xrJmjt" TargetMode="External" Id="rId196" /><Relationship Type="http://schemas.openxmlformats.org/officeDocument/2006/relationships/hyperlink" Target="https://contrataciondelestado.es/wps/poc?uri=deeplink:detalle_licitacion&amp;idEvl=tdcF022LA%2BO9Hd5zqvq9cg%3D%3D" TargetMode="External" Id="rId197"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198" /><Relationship Type="http://schemas.openxmlformats.org/officeDocument/2006/relationships/hyperlink" Target="https://contrataciondelestado.es/FileSystem/servlet/GetDocumentByIdServlet?cifrado=QUC1GjXXSiLkydRHJBmbpw%3D%3D&amp;DocumentIdParam=AWPETSsEiGBzLg5dG8sYusYw5XoyE1Czs%2BAnjMJ%2Bad0%2BesgcGZKPAJdeQCptay37XlSogBjUsZb5IuQLjwM1WQU2FVcreXaJsv9kL2gRmGHfdyQgZAdTm3EfcUAC7CJ6" TargetMode="External" Id="rId199" /><Relationship Type="http://schemas.openxmlformats.org/officeDocument/2006/relationships/hyperlink" Target="https://contrataciondelestado.es/wps/poc?uri=deeplink:detalle_licitacion&amp;idEvl=rU5zHHg4kqLgL1BHd3qjQA%3D%3D" TargetMode="External" Id="rId200" /><Relationship Type="http://schemas.openxmlformats.org/officeDocument/2006/relationships/hyperlink" Target="https://contrataciondelestado.es/FileSystem/servlet/GetDocumentByIdServlet?cifrado=QUC1GjXXSiLkydRHJBmbpw%3D%3D&amp;DocumentIdParam=bajNbnhXynwfdHP9eFpB6NsfYjBbJ/eYjwOqvznjAkX/iCkhj/bWVhWtlBZ/7VJrZlYt4z%2B7A49JzqWV4bJZC0XAQtIfIpFQN30QcM3pdMm1aXEvq3KHa/AEHgtDrQw0" TargetMode="External" Id="rId201" /><Relationship Type="http://schemas.openxmlformats.org/officeDocument/2006/relationships/hyperlink" Target="https://contrataciondelestado.es/FileSystem/servlet/GetDocumentByIdServlet?cifrado=QUC1GjXXSiLkydRHJBmbpw%3D%3D&amp;DocumentIdParam=jscy/i9u6v5HcfQIinvy5g2l/x8%2BmLpqprkomHMAICx2e6S5OTphMsmyRQvpOOKhcuC05Qk1v4nqXkfppMZjgikZL%2B13GRyZR70CZZgkuNxt/o8fNevwsujgRzaBbugn" TargetMode="External" Id="rId202" /><Relationship Type="http://schemas.openxmlformats.org/officeDocument/2006/relationships/hyperlink" Target="https://contrataciondelestado.es/wps/poc?uri=deeplink:detalle_licitacion&amp;idEvl=YoJzqpibWK7XOjazN1Dw9Q%3D%3D" TargetMode="External" Id="rId203"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204" /><Relationship Type="http://schemas.openxmlformats.org/officeDocument/2006/relationships/hyperlink" Target="https://contrataciondelestado.es/wps/poc?uri=deeplink:detalle_licitacion&amp;idEvl=vHEGkLojNQQzjChw4z%2FXvw%3D%3D" TargetMode="External" Id="rId205"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206" /><Relationship Type="http://schemas.openxmlformats.org/officeDocument/2006/relationships/hyperlink" Target="https://contrataciondelestado.es/FileSystem/servlet/GetDocumentByIdServlet?cifrado=QUC1GjXXSiLkydRHJBmbpw%3D%3D&amp;DocumentIdParam=VvEzS7I2qkSQ0vwY1F8D4n4JkyyCOa5cQeELYn4dycEM661AbsOr6MnJ/%2BlWTkYc3pRQ/9hhvPpdEUNFDGBF4Utk%2B%2BgChoiUXLZ7fSMEnmSB0nvVKRzfe4rpHcnlPhSZ" TargetMode="External" Id="rId207" /><Relationship Type="http://schemas.openxmlformats.org/officeDocument/2006/relationships/hyperlink" Target="https://contrataciondelestado.es/wps/poc?uri=deeplink:detalle_licitacion&amp;idEvl=dC%2BQ55A9bI036J9Lctlsuw%3D%3D" TargetMode="External" Id="rId208"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209" /><Relationship Type="http://schemas.openxmlformats.org/officeDocument/2006/relationships/hyperlink" Target="https://contrataciondelestado.es/FileSystem/servlet/GetDocumentByIdServlet?cifrado=QUC1GjXXSiLkydRHJBmbpw%3D%3D&amp;DocumentIdParam=n%2BMEwZX7l/n1OtARUQ30sYN8mOGM0KNwR6sgBbagSKHJOxfVqIMhMrehaowukhhcAXzaImBrbyTcELCMjTGkahn6hHVFc309rMrLEAppY3h45ClyWkoJ44mKM70IFcOu" TargetMode="External" Id="rId210" /><Relationship Type="http://schemas.openxmlformats.org/officeDocument/2006/relationships/hyperlink" Target="https://contrataciondelestado.es/wps/poc?uri=deeplink:detalle_licitacion&amp;idEvl=UY9I%2BuFLCrYIYE3ZiZ%2BxmQ%3D%3D" TargetMode="External" Id="rId211"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212" /><Relationship Type="http://schemas.openxmlformats.org/officeDocument/2006/relationships/hyperlink" Target="https://contrataciondelestado.es/FileSystem/servlet/GetDocumentByIdServlet?cifrado=QUC1GjXXSiLkydRHJBmbpw%3D%3D&amp;DocumentIdParam=hePCGvfj9jhPx/tPgP%2By4QTbn8vU1qWypXSCbcIv2HGKbv9t0KX8RkUnu8PSLd/gUpJqsyl7q8FUkjc9bCDzuIRjXiEg3v6bN9I%2B15Wb4GcZyAJWGsSt0OzTSTyw9JAs" TargetMode="External" Id="rId213" /><Relationship Type="http://schemas.openxmlformats.org/officeDocument/2006/relationships/hyperlink" Target="https://contrataciondelestado.es/wps/poc?uri=deeplink:detalle_licitacion&amp;idEvl=M%2FCIPj1vl9fkY6rls5tG9A%3D%3D" TargetMode="External" Id="rId214"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215" /><Relationship Type="http://schemas.openxmlformats.org/officeDocument/2006/relationships/hyperlink" Target="https://contrataciondelestado.es/FileSystem/servlet/GetDocumentByIdServlet?cifrado=QUC1GjXXSiLkydRHJBmbpw%3D%3D&amp;DocumentIdParam=%2B/qWyENGqYsBhtCCtpVdNkQfcLgkNnvnZ2k2i7AxXVVUzpZGgxwImyNp3JAQQIoQUE/YnRoYKM%2BgAKOmtnd5PvftGOCR79L3YI8oHIfXvuYZyAJWGsSt0OzTSTyw9JAs" TargetMode="External" Id="rId216" /><Relationship Type="http://schemas.openxmlformats.org/officeDocument/2006/relationships/hyperlink" Target="https://contrataciondelestado.es/wps/poc?uri=deeplink:detalle_licitacion&amp;idEvl=AE4x5A02S%2B%2F9pbnDwlaUlg%3D%3D" TargetMode="External" Id="rId217" /><Relationship Type="http://schemas.openxmlformats.org/officeDocument/2006/relationships/hyperlink" Target="https://contrataciondelestado.es/FileSystem/servlet/GetDocumentByIdServlet?cifrado=QUC1GjXXSiLkydRHJBmbpw%3D%3D&amp;DocumentIdParam=x/Kfsu3jQvLa5TMX03QOGn%2BLJZw%2BmmFaab6hU8w8NE0y8vINJyVMiGLasiW6Cg5n7NjfOQTo69eGAFCk4/677FiAnwqesLixkz8t7/zi2kGHAj0WEJrB5sP7amrh2jBD" TargetMode="External" Id="rId218" /><Relationship Type="http://schemas.openxmlformats.org/officeDocument/2006/relationships/hyperlink" Target="https://contrataciondelestado.es/FileSystem/servlet/GetDocumentByIdServlet?cifrado=QUC1GjXXSiLkydRHJBmbpw%3D%3D&amp;DocumentIdParam=VfPZWMVSMG80EPmJE%2B9LafOcG6mh6N7jiX3A9jCFEMVnpyzCVdnL1krRM3oMR%2Bl9HBfh5UFMdDOM1AHeOKY0Ra3dQgQGpcwOOtbNAW4ZVp6Cx2e6p7hqtlp2aFupgHMr" TargetMode="External" Id="rId219" /><Relationship Type="http://schemas.openxmlformats.org/officeDocument/2006/relationships/hyperlink" Target="https://contrataciondelestado.es/wps/poc?uri=deeplink:detalle_licitacion&amp;idEvl=HeQsQVj0vwDIGlsa0Wad%2Bw%3D%3D" TargetMode="External" Id="rId220" /><Relationship Type="http://schemas.openxmlformats.org/officeDocument/2006/relationships/hyperlink" Target="https://contrataciondelestado.es/FileSystem/servlet/GetDocumentByIdServlet?cifrado=QUC1GjXXSiLkydRHJBmbpw%3D%3D&amp;DocumentIdParam=Uka7iGGv2EvL2iPTVISCvfYNJO2uBhQZqQUJnaSd70UZBnr24tNykqf/4oNpZOqKTOj6ik1RPNpE6puAk7Tmdy8J6EiN%2Byb4W6U50eR6ibaB0nvVKRzfe4rpHcnlPhSZ" TargetMode="External" Id="rId221" /><Relationship Type="http://schemas.openxmlformats.org/officeDocument/2006/relationships/hyperlink" Target="https://contrataciondelestado.es/FileSystem/servlet/GetDocumentByIdServlet?cifrado=QUC1GjXXSiLkydRHJBmbpw%3D%3D&amp;DocumentIdParam=PIVmpefPgamIn8ZlG8iPLma0m2X4jmufUMbwFL9n5PN7X7Q2TK1o6HPGtUxgdqkYCVvTUL2Wlv1E1fuoMKJH89lJskxsnnC7vyn9W54WjOb6CYyL7SIrUOBFfNf52ZqA" TargetMode="External" Id="rId222" /><Relationship Type="http://schemas.openxmlformats.org/officeDocument/2006/relationships/hyperlink" Target="https://contrataciondelestado.es/wps/poc?uri=deeplink:detalle_licitacion&amp;idEvl=xQEpTQnYOG2ExvMJXBMHHQ%3D%3D" TargetMode="External" Id="rId223" /><Relationship Type="http://schemas.openxmlformats.org/officeDocument/2006/relationships/hyperlink" Target="https://contrataciondelestado.es/FileSystem/servlet/GetDocumentByIdServlet?cifrado=QUC1GjXXSiLkydRHJBmbpw%3D%3D&amp;DocumentIdParam=kCnN4BkmcnY8W4hY5cswcKViQhMVFrg4CQP9Pj3z3qYrsZu9AUNmPFb7PQGxBqHNIvZMUfcsU3knOMq8ZRRqr0J48uCK03oisX/K7Tk8RBvfdyQgZAdTm3EfcUAC7CJ6" TargetMode="External" Id="rId224" /><Relationship Type="http://schemas.openxmlformats.org/officeDocument/2006/relationships/hyperlink" Target="https://contrataciondelestado.es/FileSystem/servlet/GetDocumentByIdServlet?cifrado=QUC1GjXXSiLkydRHJBmbpw%3D%3D&amp;DocumentIdParam=voTDc3DgMq7Xdukz2hyII/H9dHxgC9m9i7ZG%2BJVgz9W2HUIWc5r1EHaM35DWeqKXC4wRySKjK5ch/WQKHCaheAb3wW20/t%2BfO8bCMKWIO4z3GVhXrFFqN7yFncy7YfRK" TargetMode="External" Id="rId225" /><Relationship Type="http://schemas.openxmlformats.org/officeDocument/2006/relationships/hyperlink" Target="https://contrataciondelestado.es/wps/poc?uri=deeplink:detalle_licitacion&amp;idEvl=mJfTQb89d89q1DdmE7eaXg%3D%3D" TargetMode="External" Id="rId226" /><Relationship Type="http://schemas.openxmlformats.org/officeDocument/2006/relationships/hyperlink" Target="https://contrataciondelestado.es/FileSystem/servlet/GetDocumentByIdServlet?cifrado=QUC1GjXXSiLkydRHJBmbpw%3D%3D&amp;DocumentIdParam=rH7fUm1vbDB1bR4K4g5JdikcGS26Kf7T8H0ojG91sq75hw16n8KunaEcuO4/cjpuagkiBORxFwN0mS1%2B9mawR%2B1m1wP2JhiyLtfzb19os976CYyL7SIrUOBFfNf52ZqA" TargetMode="External" Id="rId227" /><Relationship Type="http://schemas.openxmlformats.org/officeDocument/2006/relationships/hyperlink" Target="https://contrataciondelestado.es/FileSystem/servlet/GetDocumentByIdServlet?cifrado=QUC1GjXXSiLkydRHJBmbpw%3D%3D&amp;DocumentIdParam=3RlEOggsicN8owteC1XeB0dJsk1qNH3TOgrJse0sOD3ZRj7Y69BikRJaLqPTUEhSgeRjEWipIG1aZJsGKwiQZAZkV2NkgUml3BaW5%2BJKrRuCx2e6p7hqtlp2aFupgHMr" TargetMode="External" Id="rId228" /><Relationship Type="http://schemas.openxmlformats.org/officeDocument/2006/relationships/hyperlink" Target="https://contrataciondelestado.es/wps/poc?uri=deeplink:detalle_licitacion&amp;idEvl=llwoI%2FCd5czzAq95uGTrDQ%3D%3D" TargetMode="External" Id="rId229" /><Relationship Type="http://schemas.openxmlformats.org/officeDocument/2006/relationships/hyperlink" Target="https://contrataciondelestado.es/FileSystem/servlet/GetDocumentByIdServlet?cifrado=QUC1GjXXSiLkydRHJBmbpw%3D%3D&amp;DocumentIdParam=iO0fb%2BhCn6hOU9l7klkqt06JfsHRGDWHuv0RtIQZKz/5h%2BMsJHi4YKxeYQkyafw4iSPktDQRQyuJaBgq2zFqrvuqw%2B/5nwfeJ3xK6CrlaFRJOVDbGCDM%2BMigrvuVS7Rv" TargetMode="External" Id="rId230" /><Relationship Type="http://schemas.openxmlformats.org/officeDocument/2006/relationships/hyperlink" Target="https://contrataciondelestado.es/FileSystem/servlet/GetDocumentByIdServlet?cifrado=QUC1GjXXSiLkydRHJBmbpw%3D%3D&amp;DocumentIdParam=DHtXc%2BjgJI%2BGeEw45/7axwEK5W/YEa1gOJKL5FjgYiZPyKHL8K3QLP7fqCRQSuD9nPfhAMN4PEAAQqsarnwhqTSqpuueThQE9Ih8vGah1ok//q7NB2iMZvNyf0xrJmjt" TargetMode="External" Id="rId231" /><Relationship Type="http://schemas.openxmlformats.org/officeDocument/2006/relationships/hyperlink" Target="https://contrataciondelestado.es/wps/poc?uri=deeplink:detalle_licitacion&amp;idEvl=tiZyI1BWseVeKgd8LfVV9g%3D%3D" TargetMode="External" Id="rId232" /><Relationship Type="http://schemas.openxmlformats.org/officeDocument/2006/relationships/hyperlink" Target="https://contrataciondelestado.es/FileSystem/servlet/GetDocumentByIdServlet?cifrado=QUC1GjXXSiLkydRHJBmbpw%3D%3D&amp;DocumentIdParam=osA%2BRrMQi7e1z0QxWAFh97c0vZ/xyJhFeLDTtbBE/b146%2BtKrI3LV/vIc9UHaxAxjLJPJ9qCat6qOwFMhJ%2BTDkkn92%2BYynzPY9d5Xc3jaGqCx2e6p7hqtlp2aFupgHMr" TargetMode="External" Id="rId233" /><Relationship Type="http://schemas.openxmlformats.org/officeDocument/2006/relationships/hyperlink" Target="https://contrataciondelestado.es/FileSystem/servlet/GetDocumentByIdServlet?cifrado=QUC1GjXXSiLkydRHJBmbpw%3D%3D&amp;DocumentIdParam=/rqMl54ts%2BNWDR5sLCYaOBT4AyfoM0/eVOVoea7W6dq7GeojTeoWwT20DlDFtr3BbwQSeFgWLLo9p76vqVFcznLgXT4q3AX2t%2BuGAsa4ccmHAj0WEJrB5sP7amrh2jBD" TargetMode="External" Id="rId234" /><Relationship Type="http://schemas.openxmlformats.org/officeDocument/2006/relationships/hyperlink" Target="https://contrataciondelestado.es/wps/poc?uri=deeplink:detalle_licitacion&amp;idEvl=qx9X1nrITxuHCIsjvJ3rhQ%3D%3D" TargetMode="External" Id="rId235" /><Relationship Type="http://schemas.openxmlformats.org/officeDocument/2006/relationships/hyperlink" Target="https://contrataciondelestado.es/FileSystem/servlet/GetDocumentByIdServlet?cifrado=QUC1GjXXSiLkydRHJBmbpw%3D%3D&amp;DocumentIdParam=Ip6mbJ0n9NEgL7fkohgyxv%2BP7kGkTNqbg88Pb6FU29F26kDa190NAoBbvIfiJBLK63S/zgI3HBSe5h8Qz2MiskTO6EXWn1AN5JJ5aRk7Jj3DdQD9RyhUmzT4jZ2In4zL" TargetMode="External" Id="rId236" /><Relationship Type="http://schemas.openxmlformats.org/officeDocument/2006/relationships/hyperlink" Target="https://contrataciondelestado.es/FileSystem/servlet/GetDocumentByIdServlet?cifrado=QUC1GjXXSiLkydRHJBmbpw%3D%3D&amp;DocumentIdParam=Vs0LMCWmW8qLsCoSMBAjIheUSEB8LC3Vr54UF%2B2Df5w8dlD16eBqW3tStjOZmPnz4BSkXqkeAbrc/oCF9aZCjNG1%2BTV5K3JrjY9WbTx34/h7QB3HKyQaFUExmUVQCerk" TargetMode="External" Id="rId237" /><Relationship Type="http://schemas.openxmlformats.org/officeDocument/2006/relationships/hyperlink" Target="https://contrataciondelestado.es/wps/poc?uri=deeplink:detalle_licitacion&amp;idEvl=fH2paUIzpfvI8aL3PRS10Q%3D%3D" TargetMode="External" Id="rId238"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239" /><Relationship Type="http://schemas.openxmlformats.org/officeDocument/2006/relationships/hyperlink" Target="https://contrataciondelestado.es/FileSystem/servlet/GetDocumentByIdServlet?cifrado=QUC1GjXXSiLkydRHJBmbpw%3D%3D&amp;DocumentIdParam=dfZ1hNqyzekJvDAHhQkbya4qGMMOBIRid2Z4ODc%2BqTGnJD7sjX8dM6K1ucZS5r7Tz04jfpJWyUP8cQ2R3X6KnbrNyXDE4/hvxnQPLUSv99dt/o8fNevwsujgRzaBbugn" TargetMode="External" Id="rId240" /><Relationship Type="http://schemas.openxmlformats.org/officeDocument/2006/relationships/hyperlink" Target="https://contrataciondelestado.es/wps/poc?uri=deeplink:detalle_licitacion&amp;idEvl=1%2F2J38w8wwiS81gZFETWmA%3D%3D" TargetMode="External" Id="rId241" /><Relationship Type="http://schemas.openxmlformats.org/officeDocument/2006/relationships/hyperlink" Target="https://contrataciondelestado.es/FileSystem/servlet/GetDocumentByIdServlet?cifrado=QUC1GjXXSiLkydRHJBmbpw%3D%3D&amp;DocumentIdParam=YI/nEF4h8/Y5gh6bun6EIFHY7FqjhgSuL1CRRyi8SV8eN73CL3zRmDEMC3x6AAvBmfm5Le8ym5j9PD4y0Lag4kIRug01wOlUU0BIFeGomlKB0nvVKRzfe4rpHcnlPhSZ" TargetMode="External" Id="rId242" /><Relationship Type="http://schemas.openxmlformats.org/officeDocument/2006/relationships/hyperlink" Target="https://contrataciondelestado.es/wps/poc?uri=deeplink:detalle_licitacion&amp;idEvl=0jeuIpwipJ3VGIpKDxgsAQ%3D%3D" TargetMode="External" Id="rId243" /><Relationship Type="http://schemas.openxmlformats.org/officeDocument/2006/relationships/hyperlink" Target="https://contrataciondelestado.es/FileSystem/servlet/GetDocumentByIdServlet?cifrado=QUC1GjXXSiLkydRHJBmbpw%3D%3D&amp;DocumentIdParam=3bJIwdBq7PkaELRYiFflsghgEB4OF513cr/YFMLg/xerkSlu4K4ZdziokY9IQy5bF8lKsD%2BhUATVKyzqpFvZxA82hXBKgyyVFM/DMyOXxg145ClyWkoJ44mKM70IFcOu" TargetMode="External" Id="rId244" /><Relationship Type="http://schemas.openxmlformats.org/officeDocument/2006/relationships/hyperlink" Target="https://contrataciondelestado.es/FileSystem/servlet/GetDocumentByIdServlet?cifrado=QUC1GjXXSiLkydRHJBmbpw%3D%3D&amp;DocumentIdParam=aP9JD58oagWE7cXvnO5vjHMR4C5Wloyl1ef4erTFYq5t0ECrMSwCBnj%2BQwnreyZm864CnXgJTEWyjELbeUWZD/KkazfquPPfl416tqE6ORwC1/zDIE0Kw/PWNnLS0Z0z" TargetMode="External" Id="rId245" /><Relationship Type="http://schemas.openxmlformats.org/officeDocument/2006/relationships/hyperlink" Target="https://contrataciondelestado.es/wps/poc?uri=deeplink:detalle_licitacion&amp;idEvl=01od6Zp6%2B6H9pbnDwlaUlg%3D%3D" TargetMode="External" Id="rId246" /><Relationship Type="http://schemas.openxmlformats.org/officeDocument/2006/relationships/hyperlink" Target="https://contrataciondelestado.es/FileSystem/servlet/GetDocumentByIdServlet?cifrado=QUC1GjXXSiLkydRHJBmbpw%3D%3D&amp;DocumentIdParam=OPv1JDIoq/SlFMU1QN%2B/%2BuOrCUaidxxKM4RJGk//oabOs9DSLy0WFfETzM%2Bzd1h6W9csd10SHxtpFtyJPfJ2xDSsjM3rnH58QpqqcID4hL6Cx2e6p7hqtlp2aFupgHMr" TargetMode="External" Id="rId247" /><Relationship Type="http://schemas.openxmlformats.org/officeDocument/2006/relationships/hyperlink" Target="https://contrataciondelestado.es/FileSystem/servlet/GetDocumentByIdServlet?cifrado=QUC1GjXXSiLkydRHJBmbpw%3D%3D&amp;DocumentIdParam=3Orcm%2BUg6BUd33BDsT70%2B%2BnVr%2B3nB1CcYdYWPdDmOUBpRBQLaF6gjOeLjc7hpaZjeL/UUKExFgCaAy73f82bUdLZ5BMhNaot64sGx2f5bbnDdQD9RyhUmzT4jZ2In4zL" TargetMode="External" Id="rId248" /><Relationship Type="http://schemas.openxmlformats.org/officeDocument/2006/relationships/hyperlink" Target="https://contrataciondelestado.es/wps/poc?uri=deeplink:detalle_licitacion&amp;idEvl=9kACiXdrNPNQFSeKCRun4Q%3D%3D" TargetMode="External" Id="rId249" /><Relationship Type="http://schemas.openxmlformats.org/officeDocument/2006/relationships/hyperlink" Target="https://contrataciondelestado.es/FileSystem/servlet/GetDocumentByIdServlet?cifrado=QUC1GjXXSiLkydRHJBmbpw%3D%3D&amp;DocumentIdParam=QfLUTTJ1LF%2BUAVdDLPgyTVnaMQIfLQehVE1dpVZxvVj%2BYiz72BpEc548bbRkgzM8gHD7xBdHMGh4AFaR5ny5HeLoD1pTcqfJ3/qQD3Q%2BU1nfdyQgZAdTm3EfcUAC7CJ6" TargetMode="External" Id="rId250" /><Relationship Type="http://schemas.openxmlformats.org/officeDocument/2006/relationships/hyperlink" Target="https://contrataciondelestado.es/FileSystem/servlet/GetDocumentByIdServlet?cifrado=QUC1GjXXSiLkydRHJBmbpw%3D%3D&amp;DocumentIdParam=V5ql47GUnU8Iti7bn9c9Qw9glL/GYcr5jW5haPTkA1sTJ6qfAApxhx8wiN2Lro1jK/TJv25f2Ons1BIVpEBQD6etIIQ7BHus1hfYNnEJ7trfdyQgZAdTm3EfcUAC7CJ6" TargetMode="External" Id="rId251" /><Relationship Type="http://schemas.openxmlformats.org/officeDocument/2006/relationships/hyperlink" Target="https://contrataciondelestado.es/wps/poc?uri=deeplink:detalle_licitacion&amp;idEvl=sFkzQqi8nMT10HRJw8TEnQ%3D%3D" TargetMode="External" Id="rId252"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253"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254" /><Relationship Type="http://schemas.openxmlformats.org/officeDocument/2006/relationships/hyperlink" Target="https://contrataciondelestado.es/wps/poc?uri=deeplink:detalle_licitacion&amp;idEvl=fDUya87P3%2BEXhk1FZxEyvw%3D%3D" TargetMode="External" Id="rId255" /><Relationship Type="http://schemas.openxmlformats.org/officeDocument/2006/relationships/hyperlink" Target="https://contrataciondelestado.es/FileSystem/servlet/GetDocumentByIdServlet?cifrado=QUC1GjXXSiLkydRHJBmbpw%3D%3D&amp;DocumentIdParam=VADnAGXycshjsGsVk8VBbY6xWc/stgWGBLunOtqmMpkYAW8rMmWrpOeXrUqHvzuydE5CHPhY%2BXRacIcW29d1TRdU5OeZe1MvxwLrcO9raV17QB3HKyQaFUExmUVQCerk" TargetMode="External" Id="rId256" /><Relationship Type="http://schemas.openxmlformats.org/officeDocument/2006/relationships/hyperlink" Target="https://contrataciondelestado.es/wps/poc?uri=deeplink:detalle_licitacion&amp;idEvl=k1%2BGOsQSem%2BdkQsA7ROvsg%3D%3D" TargetMode="External" Id="rId257" /><Relationship Type="http://schemas.openxmlformats.org/officeDocument/2006/relationships/hyperlink" Target="https://contrataciondelestado.es/FileSystem/servlet/GetDocumentByIdServlet?cifrado=QUC1GjXXSiLkydRHJBmbpw%3D%3D&amp;DocumentIdParam=nn/aXGQaJJERcoQi/K3gJOfhNTo/iaCFzWmc/I3ajtHdzLrGs2EQWOSo6/HVGOWPsVtNQR2aJ/BtJeSNcId7TzLRkRNBPbLI2WsSa0Oq%2Bjp7QB3HKyQaFUExmUVQCerk" TargetMode="External" Id="rId258" /><Relationship Type="http://schemas.openxmlformats.org/officeDocument/2006/relationships/hyperlink" Target="https://contrataciondelestado.es/FileSystem/servlet/GetDocumentByIdServlet?cifrado=QUC1GjXXSiLkydRHJBmbpw%3D%3D&amp;DocumentIdParam=8JIgSjJIuwRMpZPKOlaNcxBLy9ITl0cxXhLdwKErAbOVRjMsvMu%2BkbcSMChzFi3V%2BfpMnaqf7H6hUpDb%2BgVNR0H8gPbIGzhXvBFafsuFv9K1aXEvq3KHa/AEHgtDrQw0" TargetMode="External" Id="rId259" /><Relationship Type="http://schemas.openxmlformats.org/officeDocument/2006/relationships/hyperlink" Target="https://contrataciondelestado.es/wps/poc?uri=deeplink:detalle_licitacion&amp;idEvl=scHFVjDX6EBVkTabT%2FRM8A%3D%3D" TargetMode="External" Id="rId260" /><Relationship Type="http://schemas.openxmlformats.org/officeDocument/2006/relationships/hyperlink" Target="https://contrataciondelestado.es/FileSystem/servlet/GetDocumentByIdServlet?cifrado=QUC1GjXXSiLkydRHJBmbpw%3D%3D&amp;DocumentIdParam=fB7E9XZ0Ypp5g%2Bpq97zA95zOEn8KpFs8Vvy%2BJtUU4CCiEujFegd7VGVavCL00xkJREGle5tJ0aiVDGgVw9TKDQBuWaZL5BMdDHPcpJMGgKSCx2e6p7hqtlp2aFupgHMr" TargetMode="External" Id="rId261"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262" /><Relationship Type="http://schemas.openxmlformats.org/officeDocument/2006/relationships/hyperlink" Target="https://contrataciondelestado.es/wps/poc?uri=deeplink:detalle_licitacion&amp;idEvl=%2FoDpoPCaVOtq1DdmE7eaXg%3D%3D" TargetMode="External" Id="rId263" /><Relationship Type="http://schemas.openxmlformats.org/officeDocument/2006/relationships/hyperlink" Target="https://contrataciondelestado.es/FileSystem/servlet/GetDocumentByIdServlet?cifrado=QUC1GjXXSiLkydRHJBmbpw%3D%3D&amp;DocumentIdParam=iQwAO0t9T55jG3RW5sg5HWP4BjqEkGE64iQOoV%2B6nhGQG55KYsnFIwvP8xuWLvWjOomFeOYNTC%2B5qFzhMHhk9VGX/ttTba2IwaFQMLMaH3z3GVhXrFFqN7yFncy7YfRK" TargetMode="External" Id="rId264" /><Relationship Type="http://schemas.openxmlformats.org/officeDocument/2006/relationships/hyperlink" Target="https://contrataciondelestado.es/FileSystem/servlet/GetDocumentByIdServlet?cifrado=QUC1GjXXSiLkydRHJBmbpw%3D%3D&amp;DocumentIdParam=9Vi6QjMar5s36Takcpbmmp48mkWZQkvpJccYIYdvGUjMjspzj2Ze76Z4RE77XlWg0blh3MSQ7WfU4Ba9cKi%2BFtZNGDrEpvxaqhNacSzcEwA//q7NB2iMZvNyf0xrJmjt" TargetMode="External" Id="rId265" /><Relationship Type="http://schemas.openxmlformats.org/officeDocument/2006/relationships/hyperlink" Target="https://contrataciondelestado.es/wps/poc?uri=deeplink:detalle_licitacion&amp;idEvl=IlX0E6F5zp3%2Fa9DgO%2BoYKQ%3D%3D" TargetMode="External" Id="rId266" /><Relationship Type="http://schemas.openxmlformats.org/officeDocument/2006/relationships/hyperlink" Target="https://contrataciondelestado.es/FileSystem/servlet/GetDocumentByIdServlet?cifrado=QUC1GjXXSiLkydRHJBmbpw%3D%3D&amp;DocumentIdParam=gY/GwOFQkEdS/TBZkiqsE2jQpgtbng7bnIuTblX16/XnZ2KvsZWxw7/2qAzj1AvBq22oACkWIMQ35%2BtmkKIsVWOVcPf1RezEz0XTqe/XHyzVTD3T98KC0nSgQFM0q%2B5s" TargetMode="External" Id="rId267" /><Relationship Type="http://schemas.openxmlformats.org/officeDocument/2006/relationships/hyperlink" Target="https://contrataciondelestado.es/FileSystem/servlet/GetDocumentByIdServlet?cifrado=QUC1GjXXSiLkydRHJBmbpw%3D%3D&amp;DocumentIdParam=5C7Afu2/kQ7rbSFTOOuaBgV5s05QKtR02BtR/O/IF7Rg1yrFutt87fwHQYFLjEW97Z5LwoAjXBupU8I8be%2BDZHfoWlsVriPXcAqj%2BlxB0dXVTD3T98KC0nSgQFM0q%2B5s" TargetMode="External" Id="rId268" /><Relationship Type="http://schemas.openxmlformats.org/officeDocument/2006/relationships/hyperlink" Target="https://contrataciondelestado.es/wps/poc?uri=deeplink:detalle_licitacion&amp;idEvl=pLvzx6m6ApqHCIsjvJ3rhQ%3D%3D" TargetMode="External" Id="rId269" /><Relationship Type="http://schemas.openxmlformats.org/officeDocument/2006/relationships/hyperlink" Target="https://contrataciondelestado.es/FileSystem/servlet/GetDocumentByIdServlet?cifrado=QUC1GjXXSiLkydRHJBmbpw%3D%3D&amp;DocumentIdParam=bAKn1gm3hLcZ4m7UiEu3lIJGkMP98Navbv9p3fTOgUeE7iXiQtp5D%2Bw2xyb4sSQYeCNrwTf/Z4CBMgA4FVjgVtawWXBcB25AK6phqAKulfUZyAJWGsSt0OzTSTyw9JAs" TargetMode="External" Id="rId270" /><Relationship Type="http://schemas.openxmlformats.org/officeDocument/2006/relationships/hyperlink" Target="https://contrataciondelestado.es/FileSystem/servlet/GetDocumentByIdServlet?cifrado=QUC1GjXXSiLkydRHJBmbpw%3D%3D&amp;DocumentIdParam=83oVTpRmxiO/2TL2JyZDXrOgFqkW22yRY03bC6SFZIZlrt4lZyhSjUC7faICgv%2BbTVEyGT9Zqq0lmCNK/3tT6nZSp5G6qNWPsdayTRPgnyeB0nvVKRzfe4rpHcnlPhSZ" TargetMode="External" Id="rId271" /><Relationship Type="http://schemas.openxmlformats.org/officeDocument/2006/relationships/hyperlink" Target="https://contrataciondelestado.es/wps/poc?uri=deeplink:detalle_licitacion&amp;idEvl=xYmPPmZ%2FsyEtm4eBPtV6eQ%3D%3D" TargetMode="External" Id="rId272"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273" /><Relationship Type="http://schemas.openxmlformats.org/officeDocument/2006/relationships/hyperlink" Target="https://contrataciondelestado.es/wps/poc?uri=deeplink:detalle_licitacion&amp;idEvl=JLBk4dMPTkNSYrkJkLlFdw%3D%3D" TargetMode="External" Id="rId274" /><Relationship Type="http://schemas.openxmlformats.org/officeDocument/2006/relationships/hyperlink" Target="https://contrataciondelestado.es/FileSystem/servlet/GetDocumentByIdServlet?cifrado=QUC1GjXXSiLkydRHJBmbpw%3D%3D&amp;DocumentIdParam=YyWdjUpYZX6YXQGm2OZiA7/eW%2B67Or01cOUrBlXTzZ0iYLe5ueWQuoqA/SHh6YjgfKR39NvXCDXtbpO8sr2wkRI46j0jPYCpdPTN/20UqSxt/o8fNevwsujgRzaBbugn" TargetMode="External" Id="rId275" /><Relationship Type="http://schemas.openxmlformats.org/officeDocument/2006/relationships/hyperlink" Target="https://contrataciondelestado.es/FileSystem/servlet/GetDocumentByIdServlet?cifrado=QUC1GjXXSiLkydRHJBmbpw%3D%3D&amp;DocumentIdParam=G87FfKnWWsclTdL/G/ndgGx3Qq4vkEYYArYZc8nUQROGti7qctYkBwZbExwMzkKRRRqTrb4PrLmOoIyy1DHxJigJrUTw/nXQvQXIVJFwOf9JOVDbGCDM%2BMigrvuVS7Rv" TargetMode="External" Id="rId276" /><Relationship Type="http://schemas.openxmlformats.org/officeDocument/2006/relationships/hyperlink" Target="https://contrataciondelestado.es/wps/poc?uri=deeplink:detalle_licitacion&amp;idEvl=m3kRQyjsvG65HQrHoP3G5A%3D%3D" TargetMode="External" Id="rId277" /><Relationship Type="http://schemas.openxmlformats.org/officeDocument/2006/relationships/hyperlink" Target="https://contrataciondelestado.es/FileSystem/servlet/GetDocumentByIdServlet?cifrado=QUC1GjXXSiLkydRHJBmbpw%3D%3D&amp;DocumentIdParam=z5KVM%2B9qtFXa9yYBt/%2BRP2WUblQR1XqiHUrQefjHbyTp%2BnR09xV665q%2B9uyElANl32PTAhwmwaak9S%2Bw6sIBtMi4k4GwOr/UJimvYCOcnMF45ClyWkoJ44mKM70IFcOu" TargetMode="External" Id="rId278" /><Relationship Type="http://schemas.openxmlformats.org/officeDocument/2006/relationships/hyperlink" Target="https://contrataciondelestado.es/FileSystem/servlet/GetDocumentByIdServlet?cifrado=QUC1GjXXSiLkydRHJBmbpw%3D%3D&amp;DocumentIdParam=kLux8xYiLoft3nvlpXD%2BMnJagltgj5NuG6c4vfZtt847784UlyrXa4F1mWXEhfugXytuILgfMAPcbVBDHCuZZM9phmpvLq70JVxA3ERuzbDfdyQgZAdTm3EfcUAC7CJ6" TargetMode="External" Id="rId279" /><Relationship Type="http://schemas.openxmlformats.org/officeDocument/2006/relationships/hyperlink" Target="https://contrataciondelestado.es/wps/poc?uri=deeplink:detalle_licitacion&amp;idEvl=MgSULOZxrQbzAq95uGTrDQ%3D%3D" TargetMode="External" Id="rId280" /><Relationship Type="http://schemas.openxmlformats.org/officeDocument/2006/relationships/hyperlink" Target="https://contrataciondelestado.es/FileSystem/servlet/GetDocumentByIdServlet?cifrado=QUC1GjXXSiLkydRHJBmbpw%3D%3D&amp;DocumentIdParam=9m9MFiwk6DmoePz0hr5NFQhIhJxuVuqkUQ8ihN5EVDpss%2BLlLax6FLyiTdLS8ij7frVfLkTkQi%2BtIIolh6Xgl8%2BoqTlG33jnDQa1WcRqXsX6CYyL7SIrUOBFfNf52ZqA" TargetMode="External" Id="rId281" /><Relationship Type="http://schemas.openxmlformats.org/officeDocument/2006/relationships/hyperlink" Target="https://contrataciondelestado.es/FileSystem/servlet/GetDocumentByIdServlet?cifrado=QUC1GjXXSiLkydRHJBmbpw%3D%3D&amp;DocumentIdParam=oJVfMM4KDc%2B6nbU82Udy2ntdpUhg1whh09W1qAyyCBcpl4hyMy/yp8OpecvwpkwXQRJTh9Q6NVWlWa3p1JFKXSv7e/QHzpTxXpq5PYXbtdVt/o8fNevwsujgRzaBbugn" TargetMode="External" Id="rId282" /><Relationship Type="http://schemas.openxmlformats.org/officeDocument/2006/relationships/hyperlink" Target="https://contrataciondelestado.es/wps/poc?uri=deeplink:detalle_licitacion&amp;idEvl=255bY7Ucl5QeIBJRHQiPkQ%3D%3D" TargetMode="External" Id="rId283" /><Relationship Type="http://schemas.openxmlformats.org/officeDocument/2006/relationships/hyperlink" Target="https://contrataciondelestado.es/FileSystem/servlet/GetDocumentByIdServlet?cifrado=QUC1GjXXSiLkydRHJBmbpw%3D%3D&amp;DocumentIdParam=VHdXhiQ1P0FXpdRWBT1oVBsOqI2KP/JYQ5kavyXFLTnyvJjcEv28LE8QpF2OBWpY57M5FM83KZoD8vr%2BpTnjtZup8S0qmkpvIXxGactoRnZt/o8fNevwsujgRzaBbugn" TargetMode="External" Id="rId284" /><Relationship Type="http://schemas.openxmlformats.org/officeDocument/2006/relationships/hyperlink" Target="https://contrataciondelestado.es/FileSystem/servlet/GetDocumentByIdServlet?cifrado=QUC1GjXXSiLkydRHJBmbpw%3D%3D&amp;DocumentIdParam=44SWSgh9cLnPhwX7wtyHXdWfTWcYrgGJO6Xvo0V6ZLOANXKOhS/u5HckFrKHYl%2Bvv20qCSl43kY2c7OlWNk/2I0tVhAhAkqrCZ89%2BagpBULfdyQgZAdTm3EfcUAC7CJ6" TargetMode="External" Id="rId285" /><Relationship Type="http://schemas.openxmlformats.org/officeDocument/2006/relationships/hyperlink" Target="https://contrataciondelestado.es/wps/poc?uri=deeplink:detalle_licitacion&amp;idEvl=DL1uKkNW1NmGCFcHcNGIlQ%3D%3D" TargetMode="External" Id="rId286" /><Relationship Type="http://schemas.openxmlformats.org/officeDocument/2006/relationships/hyperlink" Target="https://contrataciondelestado.es/FileSystem/servlet/GetDocumentByIdServlet?cifrado=QUC1GjXXSiLkydRHJBmbpw%3D%3D&amp;DocumentIdParam=o/QaVMI52Ol7JIzcwhRaheyADsMpkbGSskwIrwnoLzLY1uhstmrHdtB7gypfn8jtmCN6gSQCT9prKxVhFX8QNt8/P/5pjr%2BEvj3Jx96CrgCHAj0WEJrB5sP7amrh2jBD" TargetMode="External" Id="rId287" /><Relationship Type="http://schemas.openxmlformats.org/officeDocument/2006/relationships/hyperlink" Target="https://contrataciondelestado.es/FileSystem/servlet/GetDocumentByIdServlet?cifrado=QUC1GjXXSiLkydRHJBmbpw%3D%3D&amp;DocumentIdParam=30iscyo934jvCcyPdUjlNdSmeHZ5%2BMYMmJyuMA7kMQ7zc4g4JC3UoNdDr2mzOiZtQPe24G62kNmeH3RL4xmTfllnpCNiqTmsYwN3omOe/BcZyAJWGsSt0OzTSTyw9JAs" TargetMode="External" Id="rId288" /><Relationship Type="http://schemas.openxmlformats.org/officeDocument/2006/relationships/hyperlink" Target="https://contrataciondelestado.es/wps/poc?uri=deeplink:detalle_licitacion&amp;idEvl=cMeGEqD9NXV9Zh%2FyRJgM8w%3D%3D" TargetMode="External" Id="rId289"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290" /><Relationship Type="http://schemas.openxmlformats.org/officeDocument/2006/relationships/hyperlink" Target="https://contrataciondelestado.es/FileSystem/servlet/GetDocumentByIdServlet?cifrado=QUC1GjXXSiLkydRHJBmbpw%3D%3D&amp;DocumentIdParam=QO8a5IHiLPzfqLPLloCGp/Z9j%2BGpb09rLCvaj0STgvkvwMOdinOMQBInS7%2BrlGTCfz2C7SSUsvh1KxQJKTJXcecchAxASyOVWZfw5oTLyM/fdyQgZAdTm3EfcUAC7CJ6" TargetMode="External" Id="rId291" /><Relationship Type="http://schemas.openxmlformats.org/officeDocument/2006/relationships/hyperlink" Target="https://contrataciondelestado.es/wps/poc?uri=deeplink:detalle_licitacion&amp;idEvl=JRfwJjPzVTKExvMJXBMHHQ%3D%3D" TargetMode="External" Id="rId292"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293"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294" /><Relationship Type="http://schemas.openxmlformats.org/officeDocument/2006/relationships/hyperlink" Target="https://contrataciondelestado.es/wps/poc?uri=deeplink:detalle_licitacion&amp;idEvl=9kxbkBrlFsFVq4S9zvaQpQ%3D%3D" TargetMode="External" Id="rId295" /><Relationship Type="http://schemas.openxmlformats.org/officeDocument/2006/relationships/table" Target="/xl/tables/table1.xml" Id="rId296"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VDbwTybCsE39pbnDwlaUlg%3D%3D" TargetMode="External" Id="rId1" /><Relationship Type="http://schemas.openxmlformats.org/officeDocument/2006/relationships/hyperlink" Target="https://contrataciondelestado.es/FileSystem/servlet/GetDocumentByIdServlet?cifrado=QUC1GjXXSiLkydRHJBmbpw%3D%3D&amp;DocumentIdParam=vs6DwsWinrIx%2B5x1h6QUcLDAqtQsFf1wxyaasEF0qZuw0hMe9WgTA3KwHBIB/OAf5y0JQUE3C26ZwwWyWJjJuXIxnnRkgqnNlKxQz4ggDanVTD3T98KC0nSgQFM0q%2B5s" TargetMode="External" Id="rId2" /><Relationship Type="http://schemas.openxmlformats.org/officeDocument/2006/relationships/hyperlink" Target="https://contrataciondelestado.es/wps/poc?uri=deeplink:detalle_licitacion&amp;idEvl=hEUEaBQ91x5LAIVZdUs8KA%3D%3D" TargetMode="External" Id="rId3" /><Relationship Type="http://schemas.openxmlformats.org/officeDocument/2006/relationships/hyperlink" Target="https://contrataciondelestado.es/FileSystem/servlet/GetDocumentByIdServlet?cifrado=QUC1GjXXSiLkydRHJBmbpw%3D%3D&amp;DocumentIdParam=dsZVdOzLCo7ZhUUXJw77FiCtRc7d9W0jAOre3DWsZVJhlUzYzO1SEKhy1lOOJB2OqrezbN0v/si%2Blnno32Ec7FgrPM5WbfPpXrnyIYmj4MiB0nvVKRzfe4rpHcnlPhSZ" TargetMode="External" Id="rId4" /><Relationship Type="http://schemas.openxmlformats.org/officeDocument/2006/relationships/hyperlink" Target="https://contrataciondelestado.es/wps/poc?uri=deeplink:detalle_licitacion&amp;idEvl=yjpWvQFKgFPua%2Fi14w%2FPLA%3D%3D" TargetMode="External" Id="rId5" /><Relationship Type="http://schemas.openxmlformats.org/officeDocument/2006/relationships/hyperlink" Target="https://contrataciondelestado.es/FileSystem/servlet/GetDocumentByIdServlet?cifrado=QUC1GjXXSiLkydRHJBmbpw%3D%3D&amp;DocumentIdParam=h37amTyaFfYVI%2BfqRxut3dINTI5K0E0O/C8%2BoKsumv0d85SZXnuV3vlNe6QC0id4%2BztEwZwjGi%2BUokufsqh%2BqK6byVssyIe4M18AgJUr%2BkPVTD3T98KC0nSgQFM0q%2B5s" TargetMode="External" Id="rId6" /><Relationship Type="http://schemas.openxmlformats.org/officeDocument/2006/relationships/hyperlink" Target="https://contrataciondelestado.es/wps/poc?uri=deeplink:detalle_licitacion&amp;idEvl=SeqUt4MEEaLE6P%2FuLemXRw%3D%3D" TargetMode="External" Id="rId7"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8" /><Relationship Type="http://schemas.openxmlformats.org/officeDocument/2006/relationships/hyperlink" Target="https://contrataciondelestado.es/wps/poc?uri=deeplink:detalle_licitacion&amp;idEvl=5Y1xJ%2FKw1l6cCF8sV%2BqtYA%3D%3D" TargetMode="External" Id="rId9" /><Relationship Type="http://schemas.openxmlformats.org/officeDocument/2006/relationships/hyperlink" Target="https://contrataciondelestado.es/wps/poc?uri=deeplink:detalle_licitacion&amp;idEvl=vHEGkLojNQQzjChw4z%2FXvw%3D%3D" TargetMode="External" Id="rId10"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11" /><Relationship Type="http://schemas.openxmlformats.org/officeDocument/2006/relationships/hyperlink" Target="https://contrataciondelestado.es/wps/poc?uri=deeplink:detalle_licitacion&amp;idEvl=FnFpIvHtVOt70UvEyYJSGw%3D%3D" TargetMode="External" Id="rId12" /><Relationship Type="http://schemas.openxmlformats.org/officeDocument/2006/relationships/hyperlink" Target="https://contrataciondelestado.es/FileSystem/servlet/GetDocumentByIdServlet?cifrado=QUC1GjXXSiLkydRHJBmbpw%3D%3D&amp;DocumentIdParam=qOgDabXAj9cxK9J2zHGD3s7ipopS6//uDxZ31gBMepLCfU8peO3iIvkjTkZs5SYVcqNJVxlFk7LzWGp5VV6jkqfRpTkVYDbAnhXKGF4lL8nfdyQgZAdTm3EfcUAC7CJ6" TargetMode="External" Id="rId13" /><Relationship Type="http://schemas.openxmlformats.org/officeDocument/2006/relationships/hyperlink" Target="https://contrataciondelestado.es/wps/poc?uri=deeplink:detalle_licitacion&amp;idEvl=GqNduzGS3fNWhbmkna2nXQ%3D%3D" TargetMode="External" Id="rId14"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15" /><Relationship Type="http://schemas.openxmlformats.org/officeDocument/2006/relationships/hyperlink" Target="https://contrataciondelestado.es/wps/poc?uri=deeplink:detalle_licitacion&amp;idEvl=fARoqzLn1tPN3k3tjedSGw%3D%3D" TargetMode="External" Id="rId16"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17" /><Relationship Type="http://schemas.openxmlformats.org/officeDocument/2006/relationships/hyperlink" Target="https://contrataciondelestado.es/wps/poc?uri=deeplink:detalle_licitacion&amp;idEvl=aRIdqffKCsteKgd8LfVV9g%3D%3D" TargetMode="External" Id="rId18"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19" /><Relationship Type="http://schemas.openxmlformats.org/officeDocument/2006/relationships/hyperlink" Target="https://contrataciondelestado.es/wps/poc?uri=deeplink:detalle_licitacion&amp;idEvl=87A5pXEmWylWhbmkna2nXQ%3D%3D" TargetMode="External" Id="rId20" /><Relationship Type="http://schemas.openxmlformats.org/officeDocument/2006/relationships/hyperlink" Target="https://contrataciondelestado.es/FileSystem/servlet/GetDocumentByIdServlet?cifrado=QUC1GjXXSiLkydRHJBmbpw%3D%3D&amp;DocumentIdParam=qR7KLtQJvwHWguHxUpPGRBwYb9Io3YzQM8cfWGIiS6H4fDGiaG4MEyK3gifYhEoXuPNPKDPDC0Pxd3%2Bu//gO4C1JMFH20Spw4jqi1niigLJJOVDbGCDM%2BMigrvuVS7Rv" TargetMode="External" Id="rId21" /><Relationship Type="http://schemas.openxmlformats.org/officeDocument/2006/relationships/hyperlink" Target="https://contrataciondelestado.es/wps/poc?uri=deeplink:detalle_licitacion&amp;idEvl=kpdpZQCGwKI%2Bk2oCbDosIw%3D%3D" TargetMode="External" Id="rId22"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23" /><Relationship Type="http://schemas.openxmlformats.org/officeDocument/2006/relationships/hyperlink" Target="https://contrataciondelestado.es/wps/poc?uri=deeplink:detalle_licitacion&amp;idEvl=0%2B808IRvVA4%2B1TMyIiZmzw%3D%3D" TargetMode="External" Id="rId24" /><Relationship Type="http://schemas.openxmlformats.org/officeDocument/2006/relationships/hyperlink" Target="https://contrataciondelestado.es/FileSystem/servlet/GetDocumentByIdServlet?cifrado=QUC1GjXXSiLkydRHJBmbpw%3D%3D&amp;DocumentIdParam=JyTAWjou01wDq350AN/G/GmZ5Esnpwx5Wb7GBna49MCY0NXwCC7%2BofasxhIs3X4AOqYOlFA7xghWfmtVVL0TgWFsC6/m/GnMCFH5puSpL2oZyAJWGsSt0OzTSTyw9JAs" TargetMode="External" Id="rId25" /><Relationship Type="http://schemas.openxmlformats.org/officeDocument/2006/relationships/hyperlink" Target="https://contrataciondelestado.es/wps/poc?uri=deeplink:detalle_licitacion&amp;idEvl=RVWhKSKHsWc%2B1TMyIiZmzw%3D%3D" TargetMode="External" Id="rId26" /><Relationship Type="http://schemas.openxmlformats.org/officeDocument/2006/relationships/hyperlink" Target="https://contrataciondelestado.es/FileSystem/servlet/GetDocumentByIdServlet?cifrado=QUC1GjXXSiLkydRHJBmbpw%3D%3D&amp;DocumentIdParam=b3EN11JxF5Tv2KV8mjTIEtd4aV4%2BxxDgWlGULtFr%2BHukumtIkKSIj12cmBkAKPJ0JNmbUzO8hKV82HEJNMgsXpzf2%2B4Nq88I19EvhNCAkC7VTD3T98KC0nSgQFM0q%2B5s" TargetMode="External" Id="rId27" /><Relationship Type="http://schemas.openxmlformats.org/officeDocument/2006/relationships/hyperlink" Target="https://contrataciondelestado.es/wps/poc?uri=deeplink:detalle_licitacion&amp;idEvl=xVkFIEOD%2FC42wEhQbcAqug%3D%3D" TargetMode="External" Id="rId28" /><Relationship Type="http://schemas.openxmlformats.org/officeDocument/2006/relationships/hyperlink" Target="https://contrataciondelestado.es/FileSystem/servlet/GetDocumentByIdServlet?cifrado=QUC1GjXXSiLkydRHJBmbpw%3D%3D&amp;DocumentIdParam=/BVoTciG7JmlepoO4PMBufryZ1xJnXciLDwpvhX8vcj3D0rPFS%2BQTowt9qFstukBxwV/iIcwMgp5HGRZABAXDARyS8%2B53RJn/%2B%2BNMgFRx%2B73GVhXrFFqN7yFncy7YfRK" TargetMode="External" Id="rId29" /><Relationship Type="http://schemas.openxmlformats.org/officeDocument/2006/relationships/hyperlink" Target="https://contrataciondelestado.es/wps/poc?uri=deeplink:detalle_licitacion&amp;idEvl=CIkywIyxEcKkU02jNGj1Fw%3D%3D" TargetMode="External" Id="rId30" /><Relationship Type="http://schemas.openxmlformats.org/officeDocument/2006/relationships/hyperlink" Target="https://contrataciondelestado.es/FileSystem/servlet/GetDocumentByIdServlet?cifrado=QUC1GjXXSiLkydRHJBmbpw%3D%3D&amp;DocumentIdParam=1n7QHL7KnQPrIRSqG076cKIWTwa3d1OfX3PoLf/Gm3Hr7%2BUHJqZbq8DsJBXICczx3VbLrEenRTX6Iz6WaTH%2B9fa7sy2HrEvqSfGba1N32g3fdyQgZAdTm3EfcUAC7CJ6" TargetMode="External" Id="rId31" /><Relationship Type="http://schemas.openxmlformats.org/officeDocument/2006/relationships/hyperlink" Target="https://contrataciondelestado.es/wps/poc?uri=deeplink:detalle_licitacion&amp;idEvl=Dpo54UWF1dK7JOCXkOhcDg%3D%3D" TargetMode="External" Id="rId32" /><Relationship Type="http://schemas.openxmlformats.org/officeDocument/2006/relationships/hyperlink" Target="https://contrataciondelestado.es/FileSystem/servlet/GetDocumentByIdServlet?cifrado=QUC1GjXXSiLkydRHJBmbpw%3D%3D&amp;DocumentIdParam=Zg/wSvTV0yGqo6UDyONve3KgyUzqilSowetWXRauEslmDE3OSRlAacgCpnVh0GXanBgPuECf5d6Z%2Bal9MB6nHwJ89/nv5epV3FlhRCYEqGO1aXEvq3KHa/AEHgtDrQw0" TargetMode="External" Id="rId33" /><Relationship Type="http://schemas.openxmlformats.org/officeDocument/2006/relationships/hyperlink" Target="https://contrataciondelestado.es/wps/poc?uri=deeplink:detalle_licitacion&amp;idEvl=OTphGj8qiOgXhk1FZxEyvw%3D%3D" TargetMode="External" Id="rId34"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35" /><Relationship Type="http://schemas.openxmlformats.org/officeDocument/2006/relationships/hyperlink" Target="https://contrataciondelestado.es/wps/poc?uri=deeplink:detalle_licitacion&amp;idEvl=PvGa5JZVN%2F1rhBlEHQFSKA%3D%3D" TargetMode="External" Id="rId36" /><Relationship Type="http://schemas.openxmlformats.org/officeDocument/2006/relationships/hyperlink" Target="https://contrataciondelestado.es/FileSystem/servlet/GetDocumentByIdServlet?cifrado=QUC1GjXXSiLkydRHJBmbpw%3D%3D&amp;DocumentIdParam=WI4au8fbzmvKdOJ5sCE6gRVwqrd5YykADJi9IIgC0jYW3XaRT0eYPOtrC31fqZ4QZeyBME9cMJKoO8vfsFYl7ZAVtY67G3z4HAd%2BNrYLI7R7QB3HKyQaFUExmUVQCerk" TargetMode="External" Id="rId37" /><Relationship Type="http://schemas.openxmlformats.org/officeDocument/2006/relationships/hyperlink" Target="https://contrataciondelestado.es/wps/poc?uri=deeplink:detalle_licitacion&amp;idEvl=px8hieD9ZUrmnwcj%2BxbdTg%3D%3D" TargetMode="External" Id="rId38"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39" /><Relationship Type="http://schemas.openxmlformats.org/officeDocument/2006/relationships/hyperlink" Target="https://contrataciondelestado.es/wps/poc?uri=deeplink:detalle_licitacion&amp;idEvl=UlpmXkNnrazjHF5qKI4aaw%3D%3D" TargetMode="External" Id="rId40" /><Relationship Type="http://schemas.openxmlformats.org/officeDocument/2006/relationships/hyperlink" Target="https://contrataciondelestado.es/FileSystem/servlet/GetDocumentByIdServlet?cifrado=QUC1GjXXSiLkydRHJBmbpw%3D%3D&amp;DocumentIdParam=BhsZQ8pLHQ5/TRS5CYml2GUp82yXq5VKxhUOFZ3AutdiOK8kb3Wyy35VvPIcQTbRgu%2BvYsEVmQoD9h35PsA/%2BlDFEYKr/now6QxmK7fFw1E//q7NB2iMZvNyf0xrJmjt" TargetMode="External" Id="rId41" /><Relationship Type="http://schemas.openxmlformats.org/officeDocument/2006/relationships/hyperlink" Target="https://contrataciondelestado.es/wps/poc?uri=deeplink:detalle_licitacion&amp;idEvl=Fei3NXJw2cB%2FR5QFTlaM4A%3D%3D" TargetMode="External" Id="rId42"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43" /><Relationship Type="http://schemas.openxmlformats.org/officeDocument/2006/relationships/hyperlink" Target="https://contrataciondelestado.es/wps/poc?uri=deeplink:detalle_licitacion&amp;idEvl=qx9X1nrITxuHCIsjvJ3rhQ%3D%3D" TargetMode="External" Id="rId44" /><Relationship Type="http://schemas.openxmlformats.org/officeDocument/2006/relationships/hyperlink" Target="https://contrataciondelestado.es/FileSystem/servlet/GetDocumentByIdServlet?cifrado=QUC1GjXXSiLkydRHJBmbpw%3D%3D&amp;DocumentIdParam=osA%2BRrMQi7e1z0QxWAFh97c0vZ/xyJhFeLDTtbBE/b146%2BtKrI3LV/vIc9UHaxAxjLJPJ9qCat6qOwFMhJ%2BTDkkn92%2BYynzPY9d5Xc3jaGqCx2e6p7hqtlp2aFupgHMr" TargetMode="External" Id="rId45" /><Relationship Type="http://schemas.openxmlformats.org/officeDocument/2006/relationships/hyperlink" Target="https://contrataciondelestado.es/wps/poc?uri=deeplink:detalle_licitacion&amp;idEvl=Fb7D6oScwJOFlFRHfEzEaw%3D%3D" TargetMode="External" Id="rId46"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47" /><Relationship Type="http://schemas.openxmlformats.org/officeDocument/2006/relationships/hyperlink" Target="https://contrataciondelestado.es/wps/poc?uri=deeplink:detalle_licitacion&amp;idEvl=EQb2pbRa%2BoJeKgd8LfVV9g%3D%3D" TargetMode="External" Id="rId48" /><Relationship Type="http://schemas.openxmlformats.org/officeDocument/2006/relationships/hyperlink" Target="https://contrataciondelestado.es/FileSystem/servlet/GetDocumentByIdServlet?cifrado=QUC1GjXXSiLkydRHJBmbpw%3D%3D&amp;DocumentIdParam=y57QL7vApiojCwHrbUsnJffRjMMoTbrDUym6swSZWBIbYWHG4AsXM8IQ2224tjcGJ2uJYT0iiuYkyxhHGd2Z9%2BhI%2BR/%2BZRSygi85zlKiUgN45ClyWkoJ44mKM70IFcOu" TargetMode="External" Id="rId49" /><Relationship Type="http://schemas.openxmlformats.org/officeDocument/2006/relationships/hyperlink" Target="https://contrataciondelestado.es/wps/poc?uri=deeplink:detalle_licitacion&amp;idEvl=ugqzsN97RgdrhBlEHQFSKA%3D%3D" TargetMode="External" Id="rId50"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51" /><Relationship Type="http://schemas.openxmlformats.org/officeDocument/2006/relationships/hyperlink" Target="https://contrataciondelestado.es/wps/poc?uri=deeplink:detalle_licitacion&amp;idEvl=sF86%2FXU3WD6sNfRW6APEDw%3D%3D" TargetMode="External" Id="rId52" /><Relationship Type="http://schemas.openxmlformats.org/officeDocument/2006/relationships/hyperlink" Target="https://contrataciondelestado.es/FileSystem/servlet/GetDocumentByIdServlet?cifrado=QUC1GjXXSiLkydRHJBmbpw%3D%3D&amp;DocumentIdParam=FZVfsHZrc15/CWKhePv9bDcA3DmxlzDwIokZPoh8/%2B16D9Gk%2BtHqZMgqJnuNKaDuiUfeZtQAnn4cFU2HuqXoHvpXtQicrztVotJdm4fwrpEZyAJWGsSt0OzTSTyw9JAs" TargetMode="External" Id="rId53" /><Relationship Type="http://schemas.openxmlformats.org/officeDocument/2006/relationships/hyperlink" Target="https://contrataciondelestado.es/wps/poc?uri=deeplink:detalle_licitacion&amp;idEvl=fpSCVgU0wZNeKgd8LfVV9g%3D%3D" TargetMode="External" Id="rId54" /><Relationship Type="http://schemas.openxmlformats.org/officeDocument/2006/relationships/hyperlink" Target="https://contrataciondelestado.es/FileSystem/servlet/GetDocumentByIdServlet?cifrado=QUC1GjXXSiLkydRHJBmbpw%3D%3D&amp;DocumentIdParam=Uj6GzmvkmIABmueu9GEgNNOGftDtHXSeeiOESbnRpPXD216GUL8qy2NNCCUpzVI9ZRG8JnXed6W7FsVZnplY0YxeVjl310PDeUAWBZG%2B4os//q7NB2iMZvNyf0xrJmjt" TargetMode="External" Id="rId55" /><Relationship Type="http://schemas.openxmlformats.org/officeDocument/2006/relationships/hyperlink" Target="https://contrataciondelestado.es/wps/poc?uri=deeplink:detalle_licitacion&amp;idEvl=W%2FtjItVqIyM4NavIWzMcHA%3D%3D" TargetMode="External" Id="rId56"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57" /><Relationship Type="http://schemas.openxmlformats.org/officeDocument/2006/relationships/hyperlink" Target="https://contrataciondelestado.es/wps/poc?uri=deeplink:detalle_licitacion&amp;idEvl=34sGRaFxjbxVYjgxA4nMUw%3D%3D" TargetMode="External" Id="rId58" /><Relationship Type="http://schemas.openxmlformats.org/officeDocument/2006/relationships/hyperlink" Target="https://contrataciondelestado.es/FileSystem/servlet/GetDocumentByIdServlet?cifrado=QUC1GjXXSiLkydRHJBmbpw%3D%3D&amp;DocumentIdParam=HVMnAvwJJ4G9CovJgEhLy4ZXnBmZbrNzIz3H5IO9onnLFGBW9gtXUK0HbFmd7pW3HqvU2QM8hpO/6%2Bqla/B5wvEYHwpg8Hy191RHmA7%2BM4Z7QB3HKyQaFUExmUVQCerk" TargetMode="External" Id="rId59" /><Relationship Type="http://schemas.openxmlformats.org/officeDocument/2006/relationships/hyperlink" Target="https://contrataciondelestado.es/wps/poc?uri=deeplink:detalle_licitacion&amp;idEvl=255bY7Ucl5QeIBJRHQiPkQ%3D%3D" TargetMode="External" Id="rId60" /><Relationship Type="http://schemas.openxmlformats.org/officeDocument/2006/relationships/hyperlink" Target="https://contrataciondelestado.es/FileSystem/servlet/GetDocumentByIdServlet?cifrado=QUC1GjXXSiLkydRHJBmbpw%3D%3D&amp;DocumentIdParam=9m9MFiwk6DmoePz0hr5NFQhIhJxuVuqkUQ8ihN5EVDpss%2BLlLax6FLyiTdLS8ij7frVfLkTkQi%2BtIIolh6Xgl8%2BoqTlG33jnDQa1WcRqXsX6CYyL7SIrUOBFfNf52ZqA" TargetMode="External" Id="rId61" /><Relationship Type="http://schemas.openxmlformats.org/officeDocument/2006/relationships/hyperlink" Target="https://contrataciondelestado.es/wps/poc?uri=deeplink:detalle_licitacion&amp;idEvl=KAMM8PiM%2B%2B%2FpxJFXpLZ%2B2A%3D%3D" TargetMode="External" Id="rId62" /><Relationship Type="http://schemas.openxmlformats.org/officeDocument/2006/relationships/hyperlink" Target="https://contrataciondelestado.es/FileSystem/servlet/GetDocumentByIdServlet?cifrado=QUC1GjXXSiLkydRHJBmbpw%3D%3D&amp;DocumentIdParam=XknMl0kuZI18VgUSqiGqbvKZjs%2BcnIC0sJQQd2ZJQXXP9z2dTdugVeNqDA0zA3gVyA8VzEZ7f6SbAYSaktKkI4KT1nrwUBOKaTdCZPAYZeI//q7NB2iMZvNyf0xrJmjt" TargetMode="External" Id="rId63" /><Relationship Type="http://schemas.openxmlformats.org/officeDocument/2006/relationships/hyperlink" Target="https://contrataciondelestado.es/wps/poc?uri=deeplink:detalle_licitacion&amp;idEvl=fkCZd%2B0aeFmdkQsA7ROvsg%3D%3D" TargetMode="External" Id="rId64"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65" /><Relationship Type="http://schemas.openxmlformats.org/officeDocument/2006/relationships/hyperlink" Target="https://contrataciondelestado.es/wps/poc?uri=deeplink:detalle_licitacion&amp;idEvl=LdaHeFUK9DHI8aL3PRS10Q%3D%3D" TargetMode="External" Id="rId66"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67" /><Relationship Type="http://schemas.openxmlformats.org/officeDocument/2006/relationships/hyperlink" Target="https://contrataciondelestado.es/wps/poc?uri=deeplink:detalle_licitacion&amp;idEvl=KJ%2B7NAo4kwFSYrkJkLlFdw%3D%3D" TargetMode="External" Id="rId68" /><Relationship Type="http://schemas.openxmlformats.org/officeDocument/2006/relationships/hyperlink" Target="https://contrataciondelestado.es/wps/wcm/connect/PLACE_es/Site/area/docAccCmpnt?srv=cmpnt&amp;cmpntname=GetDocumentsById&amp;source=library&amp;DocumentIdParam=a6ea0412-3da4-4bbb-8a5b-4883d8aadfa3" TargetMode="External" Id="rId69" /><Relationship Type="http://schemas.openxmlformats.org/officeDocument/2006/relationships/hyperlink" Target="https://contrataciondelestado.es/wps/poc?uri=deeplink:detalle_licitacion&amp;idEvl=vD6q3qZ1EIbgL1BHd3qjQA%3D%3D" TargetMode="External" Id="rId70" /><Relationship Type="http://schemas.openxmlformats.org/officeDocument/2006/relationships/hyperlink" Target="https://contrataciondelestado.es/FileSystem/servlet/GetDocumentByIdServlet?cifrado=QUC1GjXXSiLkydRHJBmbpw%3D%3D&amp;DocumentIdParam=3qVkzdBT525e7xPvDARq3GB52LmLhC8vPDO3kgyXSWI9/gh5mtgeGxv15VTxRFCx4OmuzhXbBP6D6QtMDAy%2B6nmrgYL/HuwFR/aflONRcK%2BCx2e6p7hqtlp2aFupgHMr" TargetMode="External" Id="rId71" /><Relationship Type="http://schemas.openxmlformats.org/officeDocument/2006/relationships/hyperlink" Target="https://contrataciondelestado.es/wps/poc?uri=deeplink:detalle_licitacion&amp;idEvl=i8kwFP0P8itrhBlEHQFSKA%3D%3D" TargetMode="External" Id="rId72" /><Relationship Type="http://schemas.openxmlformats.org/officeDocument/2006/relationships/hyperlink" Target="https://contrataciondelestado.es/FileSystem/servlet/GetDocumentByIdServlet?cifrado=QUC1GjXXSiLkydRHJBmbpw%3D%3D&amp;DocumentIdParam=omdxRB9FC2MwpQcypY5WQi0xmL19srvvoF03T2MRrj8JOX1rBwVQo4ZAvMFZt1ZHp7/tgUZv6kUTh6Wc2rHRLjc0qR5zs%2Bbanvre1EXjno9JOVDbGCDM%2BMigrvuVS7Rv" TargetMode="External" Id="rId73" /><Relationship Type="http://schemas.openxmlformats.org/officeDocument/2006/relationships/hyperlink" Target="https://contrataciondelestado.es/wps/poc?uri=deeplink:detalle_licitacion&amp;idEvl=uRz0Z1i20pO2gkLQ8TeYKA%3D%3D" TargetMode="External" Id="rId74"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75" /><Relationship Type="http://schemas.openxmlformats.org/officeDocument/2006/relationships/hyperlink" Target="https://contrataciondelestado.es/wps/poc?uri=deeplink:detalle_licitacion&amp;idEvl=gL7zBtrm4BA7u6%2B%2FR7DUoA%3D%3D" TargetMode="External" Id="rId76" /><Relationship Type="http://schemas.openxmlformats.org/officeDocument/2006/relationships/hyperlink" Target="https://contrataciondelestado.es/FileSystem/servlet/GetDocumentByIdServlet?cifrado=QUC1GjXXSiLkydRHJBmbpw%3D%3D&amp;DocumentIdParam=glrOa7b3uXXd1ooOVPLEbKL%2BB66iGMaa6VdBjox8Z4WOpfQvZuImiA2mgzwXaK4a4cvq3DpjZ%2BRR4DZpTV6amSI8KSMbmrPNXX7A6Dd9lCx45ClyWkoJ44mKM70IFcOu" TargetMode="External" Id="rId77" /><Relationship Type="http://schemas.openxmlformats.org/officeDocument/2006/relationships/hyperlink" Target="https://contrataciondelestado.es/wps/poc?uri=deeplink:detalle_licitacion&amp;idEvl=a2Fx7tVz7juopEMYCmrbmw%3D%3D" TargetMode="External" Id="rId78" /><Relationship Type="http://schemas.openxmlformats.org/officeDocument/2006/relationships/hyperlink" Target="https://contrataciondelestado.es/FileSystem/servlet/GetDocumentByIdServlet?cifrado=QUC1GjXXSiLkydRHJBmbpw%3D%3D&amp;DocumentIdParam=aQiZsJ4MySJ9ZqTU1C8Lm4It6tnZT73Kmxf0qGgpoIxLcoZVompzEVeyrWldWwfavgLC09xPmrQFv93xO5NMPtNtrnQqeFLqW3hcShqQyPvDdQD9RyhUmzT4jZ2In4zL" TargetMode="External" Id="rId79" /><Relationship Type="http://schemas.openxmlformats.org/officeDocument/2006/relationships/hyperlink" Target="https://contrataciondelestado.es/wps/poc?uri=deeplink:detalle_licitacion&amp;idEvl=284IE%2BmruCe7JOCXkOhcDg%3D%3D" TargetMode="External" Id="rId80"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81" /><Relationship Type="http://schemas.openxmlformats.org/officeDocument/2006/relationships/hyperlink" Target="https://contrataciondelestado.es/wps/poc?uri=deeplink:detalle_licitacion&amp;idEvl=B6t%2F%2FrlHQPQmMOlAXxDEjw%3D%3D" TargetMode="External" Id="rId82"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83" /><Relationship Type="http://schemas.openxmlformats.org/officeDocument/2006/relationships/hyperlink" Target="https://contrataciondelestado.es/wps/poc?uri=deeplink:detalle_licitacion&amp;idEvl=UKvSiwL8n%2B%2BcCF8sV%2BqtYA%3D%3D" TargetMode="External" Id="rId84" /><Relationship Type="http://schemas.openxmlformats.org/officeDocument/2006/relationships/hyperlink" Target="https://contrataciondelestado.es/FileSystem/servlet/GetDocumentByIdServlet?cifrado=QUC1GjXXSiLkydRHJBmbpw%3D%3D&amp;DocumentIdParam=T0b5BfBAwHdBBnWUIAnH06oDzxXx0ZE4MEuC7q8tZPDYTKWgDpmGUUIQ46bXySmD%2BSPUGzRXvGlACBNI5sb1BnrXrvs1bhIq/arLhJPfrvt45ClyWkoJ44mKM70IFcOu" TargetMode="External" Id="rId85" /><Relationship Type="http://schemas.openxmlformats.org/officeDocument/2006/relationships/hyperlink" Target="https://contrataciondelestado.es/wps/poc?uri=deeplink:detalle_licitacion&amp;idEvl=YooO3GxCacb5Rey58Yagpg%3D%3D" TargetMode="External" Id="rId86"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87" /><Relationship Type="http://schemas.openxmlformats.org/officeDocument/2006/relationships/hyperlink" Target="https://contrataciondelestado.es/wps/poc?uri=deeplink:detalle_licitacion&amp;idEvl=Eakbu5Y%2B67KS81gZFETWmA%3D%3D" TargetMode="External" Id="rId88" /><Relationship Type="http://schemas.openxmlformats.org/officeDocument/2006/relationships/hyperlink" Target="https://contrataciondelestado.es/FileSystem/servlet/GetDocumentByIdServlet?cifrado=QUC1GjXXSiLkydRHJBmbpw%3D%3D&amp;DocumentIdParam=Hk7/q/PJKgOagV71dR8Q2qjHdGD3/Q6FxqE%2BUhW7kF6wuh2QMaCOMT5e4zEE0b7ZERPdLMYuKhZOH7FDqduwqsqj/M1erOWSEtbRqrsCpz%2BHAj0WEJrB5sP7amrh2jBD" TargetMode="External" Id="rId89" /><Relationship Type="http://schemas.openxmlformats.org/officeDocument/2006/relationships/hyperlink" Target="https://contrataciondelestado.es/wps/poc?uri=deeplink:detalle_licitacion&amp;idEvl=LTCDRupdLR2opEMYCmrbmw%3D%3D" TargetMode="External" Id="rId90" /><Relationship Type="http://schemas.openxmlformats.org/officeDocument/2006/relationships/hyperlink" Target="https://contrataciondelestado.es/FileSystem/servlet/GetDocumentByIdServlet?cifrado=QUC1GjXXSiLkydRHJBmbpw%3D%3D&amp;DocumentIdParam=3nNV8letEzlpWTv0P9iLTt%2BVRaf7sZob6l1nizNBn4HGJyJ4wpiFpeFgtTF5Br7fLIeRYRLuj20x6lOsnG4mf/yrswgLaEl3HSxAUYF%2B7c%2B1aXEvq3KHa/AEHgtDrQw0" TargetMode="External" Id="rId91" /><Relationship Type="http://schemas.openxmlformats.org/officeDocument/2006/relationships/hyperlink" Target="https://contrataciondelestado.es/wps/poc?uri=deeplink:detalle_licitacion&amp;idEvl=xpHK%2BemYbHy7JOCXkOhcDg%3D%3D" TargetMode="External" Id="rId92" /><Relationship Type="http://schemas.openxmlformats.org/officeDocument/2006/relationships/hyperlink" Target="https://contrataciondelestado.es/FileSystem/servlet/GetDocumentByIdServlet?cifrado=QUC1GjXXSiLkydRHJBmbpw%3D%3D&amp;DocumentIdParam=4KIzFT3g2%2BmoiXDItWR/VtXhXqyarJ1C8QbNwGjyucA5rTXaFC1styrTmiquXHSETDss1zs%2B9uRHAPAfmxK92/16no7zj8HKdQYjl8ZLEj1JOVDbGCDM%2BMigrvuVS7Rv" TargetMode="External" Id="rId93" /><Relationship Type="http://schemas.openxmlformats.org/officeDocument/2006/relationships/hyperlink" Target="https://contrataciondelestado.es/wps/poc?uri=deeplink:detalle_licitacion&amp;idEvl=Kj2XwvoU3IaHCIsjvJ3rhQ%3D%3D" TargetMode="External" Id="rId94"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95" /><Relationship Type="http://schemas.openxmlformats.org/officeDocument/2006/relationships/hyperlink" Target="https://contrataciondelestado.es/wps/poc?uri=deeplink:detalle_licitacion&amp;idEvl=9RQIGue%2B%2Bw0QyBAnWzHfCg%3D%3D" TargetMode="External" Id="rId96" /><Relationship Type="http://schemas.openxmlformats.org/officeDocument/2006/relationships/hyperlink" Target="https://contrataciondelestado.es/FileSystem/servlet/GetDocumentByIdServlet?cifrado=QUC1GjXXSiLkydRHJBmbpw%3D%3D&amp;DocumentIdParam=EFPm730F5kcBfGFfoMs6srqn/u1y0KhcmvHqIxYjl7ww2nuDsbSDsZhXssqDQzkH7f5q5BLRU2aXPhuTtyURby/W814vfZpvjJm8pzOAEfmHAj0WEJrB5sP7amrh2jBD" TargetMode="External" Id="rId97" /><Relationship Type="http://schemas.openxmlformats.org/officeDocument/2006/relationships/hyperlink" Target="https://contrataciondelestado.es/wps/poc?uri=deeplink:detalle_licitacion&amp;idEvl=mnbNKP2n%2F883vLk2DU2Ddg%3D%3D" TargetMode="External" Id="rId98" /><Relationship Type="http://schemas.openxmlformats.org/officeDocument/2006/relationships/hyperlink" Target="https://contrataciondelestado.es/FileSystem/servlet/GetDocumentByIdServlet?cifrado=QUC1GjXXSiLkydRHJBmbpw%3D%3D&amp;DocumentIdParam=IIJwF4gm1SDuUh%2BhchoM0JPYDlG%2B9eg7lmwfU3uLwmE9W%2BZg2oGZFk675OMJDOfDJaLKXmOZH3gdPU0WDyyJ4uWF8faRkd4Tj0/LsqII6sUZyAJWGsSt0OzTSTyw9JAs" TargetMode="External" Id="rId99" /><Relationship Type="http://schemas.openxmlformats.org/officeDocument/2006/relationships/hyperlink" Target="https://contrataciondelestado.es/wps/poc?uri=deeplink:detalle_licitacion&amp;idEvl=vaVsAXA811jgL1BHd3qjQA%3D%3D" TargetMode="External" Id="rId100" /><Relationship Type="http://schemas.openxmlformats.org/officeDocument/2006/relationships/hyperlink" Target="https://contrataciondelestado.es/FileSystem/servlet/GetDocumentByIdServlet?cifrado=QUC1GjXXSiLkydRHJBmbpw%3D%3D&amp;DocumentIdParam=n4wYgCG0ujc9J4Y9ISnMoErsBP5A1PsDBYDEu%2BI3Ig5nq8pQ6b/blCP32eQ%2BF45mmpD/R46xuuSS7Fw951mMQ0%2B54TTFDgkVayUyn21uky7VTD3T98KC0nSgQFM0q%2B5s" TargetMode="External" Id="rId101" /><Relationship Type="http://schemas.openxmlformats.org/officeDocument/2006/relationships/hyperlink" Target="https://contrataciondelestado.es/wps/poc?uri=deeplink:detalle_licitacion&amp;idEvl=algU0wqbRbGExvMJXBMHHQ%3D%3D" TargetMode="External" Id="rId102" /><Relationship Type="http://schemas.openxmlformats.org/officeDocument/2006/relationships/hyperlink" Target="https://contrataciondelestado.es/FileSystem/servlet/GetDocumentByIdServlet?cifrado=QUC1GjXXSiLkydRHJBmbpw%3D%3D&amp;DocumentIdParam=aWd55uU5Ux7Hpag4ijN4NyERZ8wK8NxNdrm4rBChbf95InZ7hQRGgYXAUAr8UGA3J/EUiuUfHaw5nVWUZxXUprzpjwZFxbNYIfQnZJADqlB7QB3HKyQaFUExmUVQCerk" TargetMode="External" Id="rId103" /><Relationship Type="http://schemas.openxmlformats.org/officeDocument/2006/relationships/hyperlink" Target="https://contrataciondelestado.es/wps/poc?uri=deeplink:detalle_licitacion&amp;idEvl=ETmr3TJwWVG5HQrHoP3G5A%3D%3D" TargetMode="External" Id="rId104" /><Relationship Type="http://schemas.openxmlformats.org/officeDocument/2006/relationships/hyperlink" Target="https://contrataciondelestado.es/FileSystem/servlet/GetDocumentByIdServlet?cifrado=QUC1GjXXSiLkydRHJBmbpw%3D%3D&amp;DocumentIdParam=1%2B%2Be3kWvSz10jgffvgY5i2NDlGLtwrXZPq5O2CeGgHkdGobcndSjKMoNRTRq6ZtK9FnCjwt/A05BOWAaxGEVYp4XOGqTM%2BTctZUNMLWY0Cg//q7NB2iMZvNyf0xrJmjt" TargetMode="External" Id="rId105" /><Relationship Type="http://schemas.openxmlformats.org/officeDocument/2006/relationships/hyperlink" Target="https://contrataciondelestado.es/wps/poc?uri=deeplink:detalle_licitacion&amp;idEvl=dpnpfgm7YqkkJPJS%2BPS9vg%3D%3D" TargetMode="External" Id="rId106" /><Relationship Type="http://schemas.openxmlformats.org/officeDocument/2006/relationships/hyperlink" Target="https://contrataciondelestado.es/FileSystem/servlet/GetDocumentByIdServlet?cifrado=QUC1GjXXSiLkydRHJBmbpw%3D%3D&amp;DocumentIdParam=Pw1RmxoRMDcCanSS%2BtCgzCzPRwS6L90WjKPG0lY5Yi6aUpFmTO6fHJN3mRoMX7ZaWW0VkIntO02l2giAGnI9/pTAs4gX6JCTXCIkKULI8BC1aXEvq3KHa/AEHgtDrQw0" TargetMode="External" Id="rId107" /><Relationship Type="http://schemas.openxmlformats.org/officeDocument/2006/relationships/hyperlink" Target="https://contrataciondelestado.es/wps/poc?uri=deeplink:detalle_licitacion&amp;idEvl=7shazR5gSVR4zIRvjBVCSw%3D%3D" TargetMode="External" Id="rId108" /><Relationship Type="http://schemas.openxmlformats.org/officeDocument/2006/relationships/hyperlink" Target="https://contrataciondelestado.es/FileSystem/servlet/GetDocumentByIdServlet?cifrado=QUC1GjXXSiLkydRHJBmbpw%3D%3D&amp;DocumentIdParam=KmKvHYsK2oEKCi764RnkYLhV8YBuR6b7rhR6SumRE6zooj6ELhMwfIRSh3RA3td95vDt01E1XaOTGjT8DT7I%2BH/hoIoDbX6HC9joNRlWwKbVTD3T98KC0nSgQFM0q%2B5s" TargetMode="External" Id="rId109" /><Relationship Type="http://schemas.openxmlformats.org/officeDocument/2006/relationships/hyperlink" Target="https://contrataciondelestado.es/wps/poc?uri=deeplink:detalle_licitacion&amp;idEvl=Nl2uJbkRJA%2Bzz8fXU2i3eQ%3D%3D" TargetMode="External" Id="rId110" /><Relationship Type="http://schemas.openxmlformats.org/officeDocument/2006/relationships/hyperlink" Target="https://contrataciondelestado.es/FileSystem/servlet/GetDocumentByIdServlet?cifrado=QUC1GjXXSiLkydRHJBmbpw%3D%3D&amp;DocumentIdParam=3ECFf%2BeW3qd4sFbc5YWr4w61TUFwaMKi4rWk0KSEmoPRKPMZ2X4dOl3Auc9n5Bx55YMZN1WaYn2DOZ8YmDAz1uIUA7CTThgGfJD264cb83HVTD3T98KC0nSgQFM0q%2B5s" TargetMode="External" Id="rId111" /><Relationship Type="http://schemas.openxmlformats.org/officeDocument/2006/relationships/hyperlink" Target="https://contrataciondelestado.es/wps/poc?uri=deeplink:detalle_licitacion&amp;idEvl=XiQKMyOLLfCP%2Bo96UAV7cQ%3D%3D" TargetMode="External" Id="rId112" /><Relationship Type="http://schemas.openxmlformats.org/officeDocument/2006/relationships/hyperlink" Target="https://contrataciondelestado.es/FileSystem/servlet/GetDocumentByIdServlet?cifrado=QUC1GjXXSiLkydRHJBmbpw%3D%3D&amp;DocumentIdParam=Elzmc%2B7byAqiYxoVO5F5hBJgXK1PoVV/XqdwugIEVVRYOk1wK1VR0AMP3FqszFeBYRp4IIqNK2Tc9AgPljduiu9RITfd3vFkMcJJLqUXyB0ZyAJWGsSt0OzTSTyw9JAs" TargetMode="External" Id="rId113" /><Relationship Type="http://schemas.openxmlformats.org/officeDocument/2006/relationships/hyperlink" Target="https://contrataciondelestado.es/wps/poc?uri=deeplink:detalle_licitacion&amp;idEvl=SVSIrIPYsFOLAncw3qdZkA%3D%3D" TargetMode="External" Id="rId114" /><Relationship Type="http://schemas.openxmlformats.org/officeDocument/2006/relationships/hyperlink" Target="https://contrataciondelestado.es/FileSystem/servlet/GetDocumentByIdServlet?cifrado=QUC1GjXXSiLkydRHJBmbpw%3D%3D&amp;DocumentIdParam=m1KM/VqfDwSrB62udcpgLTjhIZcMwgpS5OQr1fYaN63OFcpSWFJb1yOragVs59Ds82Osk0Vr4EhxGMN9WofvJ3kqZObj/e7W9nX4hlEXfeRt/o8fNevwsujgRzaBbugn" TargetMode="External" Id="rId115" /><Relationship Type="http://schemas.openxmlformats.org/officeDocument/2006/relationships/hyperlink" Target="https://contrataciondelestado.es/wps/poc?uri=deeplink:detalle_licitacion&amp;idEvl=r%2FoEG3BHIzkeIBJRHQiPkQ%3D%3D" TargetMode="External" Id="rId116" /><Relationship Type="http://schemas.openxmlformats.org/officeDocument/2006/relationships/hyperlink" Target="https://contrataciondelestado.es/FileSystem/servlet/GetDocumentByIdServlet?cifrado=QUC1GjXXSiLkydRHJBmbpw%3D%3D&amp;DocumentIdParam=hePCGvfj9jhPx/tPgP%2By4XMc1QDzez8W4C2fV%2B9RM%2Br0if90hcUg2Z82eonvB7MPC3vvG4mUIJeYZm/OdCanM4msS8VAe4cLQ%2BrZ%2BfJzera1aXEvq3KHa/AEHgtDrQw0" TargetMode="External" Id="rId117" /><Relationship Type="http://schemas.openxmlformats.org/officeDocument/2006/relationships/hyperlink" Target="https://contrataciondelestado.es/wps/poc?uri=deeplink:detalle_licitacion&amp;idEvl=8OqhvGk27Bx6nTs9LZ9RhQ%3D%3D" TargetMode="External" Id="rId118" /><Relationship Type="http://schemas.openxmlformats.org/officeDocument/2006/relationships/hyperlink" Target="https://contrataciondelestado.es/FileSystem/servlet/GetDocumentByIdServlet?cifrado=QUC1GjXXSiLkydRHJBmbpw%3D%3D&amp;DocumentIdParam=6aqFGdmIIGxvp%2BDa/CncpgOqb6LYa%2BK8nug5LbpqvMMHkGh5whjTmYbCDEzAj3nxEi3gWolLpewYy3Squx2NcwhZ8y5JV68qkSYXOyhny1145ClyWkoJ44mKM70IFcOu" TargetMode="External" Id="rId119" /><Relationship Type="http://schemas.openxmlformats.org/officeDocument/2006/relationships/hyperlink" Target="https://contrataciondelestado.es/wps/poc?uri=deeplink:detalle_licitacion&amp;idEvl=NuabY4JzB8icCF8sV%2BqtYA%3D%3D" TargetMode="External" Id="rId120" /><Relationship Type="http://schemas.openxmlformats.org/officeDocument/2006/relationships/hyperlink" Target="https://contrataciondelestado.es/FileSystem/servlet/GetDocumentByIdServlet?cifrado=QUC1GjXXSiLkydRHJBmbpw%3D%3D&amp;DocumentIdParam=tZIZKolR9tGVj8UKz2JExSDHi2pScMhQbeLRQVG4ahDSPIY%2BQZePS4LQY2StFAdFs30xKgLr0ztFk2kXYNurlcswYK6uQsegdA7XiWRTlZs//q7NB2iMZvNyf0xrJmjt" TargetMode="External" Id="rId121" /><Relationship Type="http://schemas.openxmlformats.org/officeDocument/2006/relationships/hyperlink" Target="https://contrataciondelestado.es/wps/poc?uri=deeplink:detalle_licitacion&amp;idEvl=QgcjPowAQRmLAncw3qdZkA%3D%3D" TargetMode="External" Id="rId122" /><Relationship Type="http://schemas.openxmlformats.org/officeDocument/2006/relationships/hyperlink" Target="https://contrataciondelestado.es/FileSystem/servlet/GetDocumentByIdServlet?cifrado=QUC1GjXXSiLkydRHJBmbpw%3D%3D&amp;DocumentIdParam=Wzm4Hd4pUeJ9xXzjcn5qKRTL6o%2BZ59ruJmJuaBtKTNgRHtMJTLswcqeJ6aiZ87c5WFh%2Bi3zcLzJyfOsHxWU7kLzP6BuZEhiAWt%2BzFSd0VjzVTD3T98KC0nSgQFM0q%2B5s" TargetMode="External" Id="rId123" /><Relationship Type="http://schemas.openxmlformats.org/officeDocument/2006/relationships/hyperlink" Target="https://contrataciondelestado.es/wps/poc?uri=deeplink:detalle_licitacion&amp;idEvl=fH2paUIzpfvI8aL3PRS10Q%3D%3D" TargetMode="External" Id="rId124" /><Relationship Type="http://schemas.openxmlformats.org/officeDocument/2006/relationships/hyperlink" Target="https://contrataciondelestado.es/FileSystem/servlet/GetDocumentByIdServlet?cifrado=QUC1GjXXSiLkydRHJBmbpw%3D%3D&amp;DocumentIdParam=Ip6mbJ0n9NEgL7fkohgyxv%2BP7kGkTNqbg88Pb6FU29F26kDa190NAoBbvIfiJBLK63S/zgI3HBSe5h8Qz2MiskTO6EXWn1AN5JJ5aRk7Jj3DdQD9RyhUmzT4jZ2In4zL" TargetMode="External" Id="rId125" /><Relationship Type="http://schemas.openxmlformats.org/officeDocument/2006/relationships/hyperlink" Target="https://contrataciondelestado.es/wps/poc?uri=deeplink:detalle_licitacion&amp;idEvl=TjRER17giBO8ebB%2FXTwy0A%3D%3D" TargetMode="External" Id="rId126" /><Relationship Type="http://schemas.openxmlformats.org/officeDocument/2006/relationships/hyperlink" Target="https://contrataciondelestado.es/FileSystem/servlet/GetDocumentByIdServlet?cifrado=QUC1GjXXSiLkydRHJBmbpw%3D%3D&amp;DocumentIdParam=JV47cgDDOMpYJBi0jb6fAiEHGMGijFj2AQWJ9waVxUJ1bPlaU8G2%2B347Tty1QEtL965NVa/rTezqjvAuJsp3L/HrL8M8q6MOs7CZKxUi0t4ZyAJWGsSt0OzTSTyw9JAs" TargetMode="External" Id="rId127" /><Relationship Type="http://schemas.openxmlformats.org/officeDocument/2006/relationships/hyperlink" Target="https://contrataciondelestado.es/wps/poc?uri=deeplink:detalle_licitacion&amp;idEvl=M%2Fv5WQvhHDaFQ%2FlhRK79lA%3D%3D" TargetMode="External" Id="rId128" /><Relationship Type="http://schemas.openxmlformats.org/officeDocument/2006/relationships/hyperlink" Target="https://contrataciondelestado.es/wps/wcm/connect/PLACE_es/Site/area/docAccCmpnt?srv=cmpnt&amp;cmpntname=GetDocumentsById&amp;source=library&amp;DocumentIdParam=b64d783a-5ba0-41d4-8347-3ff2797b70c2" TargetMode="External" Id="rId129" /><Relationship Type="http://schemas.openxmlformats.org/officeDocument/2006/relationships/hyperlink" Target="https://contrataciondelestado.es/wps/poc?uri=deeplink:detalle_licitacion&amp;idEvl=GNctyTEkeOR%2FP7lJ7Fu0SA%3D%3D" TargetMode="External" Id="rId130" /><Relationship Type="http://schemas.openxmlformats.org/officeDocument/2006/relationships/hyperlink" Target="https://contrataciondelestado.es/FileSystem/servlet/GetDocumentByIdServlet?cifrado=QUC1GjXXSiLkydRHJBmbpw%3D%3D&amp;DocumentIdParam=rWXs6MNGOYAo5blCdJxRGMQbLwMY29h2uB0TMifx8k1UUL4JaGgYUAO9HJQ3t3/ZvJv/GHM0KLag7AMLsvgQ9MzTWQdAKH/kF%2BLcd2di8PS1aXEvq3KHa/AEHgtDrQw0" TargetMode="External" Id="rId131" /><Relationship Type="http://schemas.openxmlformats.org/officeDocument/2006/relationships/hyperlink" Target="https://contrataciondelestado.es/wps/poc?uri=deeplink:detalle_licitacion&amp;idEvl=LjTiPqZ8uMlrSd8H4b2soA%3D%3D" TargetMode="External" Id="rId132"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133" /><Relationship Type="http://schemas.openxmlformats.org/officeDocument/2006/relationships/hyperlink" Target="https://contrataciondelestado.es/wps/poc?uri=deeplink:detalle_licitacion&amp;idEvl=y3kJ8at8qXJ9PLkba5eRog%3D%3D" TargetMode="External" Id="rId134" /><Relationship Type="http://schemas.openxmlformats.org/officeDocument/2006/relationships/hyperlink" Target="https://contrataciondelestado.es/FileSystem/servlet/GetDocumentByIdServlet?cifrado=QUC1GjXXSiLkydRHJBmbpw%3D%3D&amp;DocumentIdParam=ov8veW/I0Rxk5todQ4F0LyN06H/seXMKO5o5/QwR8ZipkTfPDuPJw%2BFKzeVUxG9UzZi4bXND7U8Mdj%2BHUt1SvQY925sPmij3hl7Rfdy2uZaCx2e6p7hqtlp2aFupgHMr" TargetMode="External" Id="rId135" /><Relationship Type="http://schemas.openxmlformats.org/officeDocument/2006/relationships/hyperlink" Target="https://contrataciondelestado.es/wps/poc?uri=deeplink:detalle_licitacion&amp;idEvl=13nUHr%2BYAKA%2B1TMyIiZmzw%3D%3D" TargetMode="External" Id="rId136" /><Relationship Type="http://schemas.openxmlformats.org/officeDocument/2006/relationships/hyperlink" Target="https://contrataciondelestado.es/FileSystem/servlet/GetDocumentByIdServlet?cifrado=QUC1GjXXSiLkydRHJBmbpw%3D%3D&amp;DocumentIdParam=XkZoPPyFfMs0uki9oaI2ZySKHGHC0HtmnE6pX%2B0TL23PjJcu8WKW4dGofYpfR3O807isF7f5kdOuy5wpUeLMwfvQNxXVHyh9W35qDs3UqsrfdyQgZAdTm3EfcUAC7CJ6" TargetMode="External" Id="rId137" /><Relationship Type="http://schemas.openxmlformats.org/officeDocument/2006/relationships/hyperlink" Target="https://contrataciondelestado.es/wps/poc?uri=deeplink:detalle_licitacion&amp;idEvl=Yi6gMcKDzuRWhbmkna2nXQ%3D%3D" TargetMode="External" Id="rId138" /><Relationship Type="http://schemas.openxmlformats.org/officeDocument/2006/relationships/hyperlink" Target="https://contrataciondelestado.es/FileSystem/servlet/GetDocumentByIdServlet?cifrado=QUC1GjXXSiLkydRHJBmbpw%3D%3D&amp;DocumentIdParam=S3V%2BCo5xX8ptnvMQanMR58rTu2IZG2b0hnDfOWhhx%2BBezBWW5tOxFmdhCLTEDhO4nOERx/C2wrqzq34Raa347n1f0FuB%2BpqGe5oHMWtH5fQZyAJWGsSt0OzTSTyw9JAs" TargetMode="External" Id="rId139" /><Relationship Type="http://schemas.openxmlformats.org/officeDocument/2006/relationships/hyperlink" Target="https://contrataciondelestado.es/wps/poc?uri=deeplink:detalle_licitacion&amp;idEvl=QVNbImRcmHn5Rey58Yagpg%3D%3D" TargetMode="External" Id="rId140" /><Relationship Type="http://schemas.openxmlformats.org/officeDocument/2006/relationships/hyperlink" Target="https://contrataciondelestado.es/FileSystem/servlet/GetDocumentByIdServlet?cifrado=QUC1GjXXSiLkydRHJBmbpw%3D%3D&amp;DocumentIdParam=L2VwOEQjIF3%2B1PC7J5NozDJ9V510giShFXEUJw2HvL879kk6bpkKnxqxT8PZqsEKTKPI9bwziynSTYYoQtMjND8B6MLb07g9VOw9CqWOTI%2BHAj0WEJrB5sP7amrh2jBD" TargetMode="External" Id="rId141" /><Relationship Type="http://schemas.openxmlformats.org/officeDocument/2006/relationships/hyperlink" Target="https://contrataciondelestado.es/wps/poc?uri=deeplink:detalle_licitacion&amp;idEvl=JRfwJjPzVTKExvMJXBMHHQ%3D%3D" TargetMode="External" Id="rId142"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143" /><Relationship Type="http://schemas.openxmlformats.org/officeDocument/2006/relationships/hyperlink" Target="https://contrataciondelestado.es/wps/poc?uri=deeplink:detalle_licitacion&amp;idEvl=nDuDUWix%2BiXyoM4us5k4vw%3D%3D" TargetMode="External" Id="rId144" /><Relationship Type="http://schemas.openxmlformats.org/officeDocument/2006/relationships/hyperlink" Target="https://contrataciondelestado.es/FileSystem/servlet/GetDocumentByIdServlet?cifrado=QUC1GjXXSiLkydRHJBmbpw%3D%3D&amp;DocumentIdParam=fLOKwnns2Zot0Mvx9ffJDbz%2BE5RU4Q25z4LqRzsdOM2TNP5X4ncrEWMCng0RAN/v8uAzEolWOKwy9B2SMOoRnxfrNsZfkqsZyo8u6/T/a1zDdQD9RyhUmzT4jZ2In4zL" TargetMode="External" Id="rId145" /><Relationship Type="http://schemas.openxmlformats.org/officeDocument/2006/relationships/hyperlink" Target="https://contrataciondelestado.es/wps/poc?uri=deeplink:detalle_licitacion&amp;idEvl=Y6p9XUFUZFTua%2Fi14w%2FPLA%3D%3D" TargetMode="External" Id="rId146" /><Relationship Type="http://schemas.openxmlformats.org/officeDocument/2006/relationships/hyperlink" Target="https://contrataciondelestado.es/FileSystem/servlet/GetDocumentByIdServlet?cifrado=QUC1GjXXSiLkydRHJBmbpw%3D%3D&amp;DocumentIdParam=aQrwLl7fYwnUaQtREc0Y0oeLZrU5qoOWpqV1VB/%2B3K9hCdTMtkJfAwD4mejytBG0Uh8lIjihC2GgQJY20gFXCUiJBGGo1uOVFDuCUoV4%2BJFJOVDbGCDM%2BMigrvuVS7Rv" TargetMode="External" Id="rId147" /><Relationship Type="http://schemas.openxmlformats.org/officeDocument/2006/relationships/hyperlink" Target="https://contrataciondelestado.es/wps/poc?uri=deeplink:detalle_licitacion&amp;idEvl=%2BN%2F%2BnjJ44S4S7pcxhTeWOg%3D%3D" TargetMode="External" Id="rId148" /><Relationship Type="http://schemas.openxmlformats.org/officeDocument/2006/relationships/hyperlink" Target="https://contrataciondelestado.es/FileSystem/servlet/GetDocumentByIdServlet?cifrado=QUC1GjXXSiLkydRHJBmbpw%3D%3D&amp;DocumentIdParam=rxcgB/CNiJNoHLVVkj6fz%2BIjT5IJYL4OLg0ze4rR3ZDwZDYxX12BV3Jgymdk5YqDYNyy1J8BAWqZW5UQNKTPnEgRRIulV3cdhpShs8W1xHnfdyQgZAdTm3EfcUAC7CJ6" TargetMode="External" Id="rId149" /><Relationship Type="http://schemas.openxmlformats.org/officeDocument/2006/relationships/hyperlink" Target="https://contrataciondelestado.es/wps/poc?uri=deeplink:detalle_licitacion&amp;idEvl=GjmYktKpw3CcCF8sV%2BqtYA%3D%3D" TargetMode="External" Id="rId150" /><Relationship Type="http://schemas.openxmlformats.org/officeDocument/2006/relationships/hyperlink" Target="https://contrataciondelestado.es/wps/wcm/connect/PLACE_es/Site/area/docAccCmpnt?srv=cmpnt&amp;cmpntname=GetDocumentsById&amp;source=library&amp;DocumentIdParam=4e5c3b61-df20-4790-9aea-d8070a0c556a" TargetMode="External" Id="rId151" /><Relationship Type="http://schemas.openxmlformats.org/officeDocument/2006/relationships/hyperlink" Target="https://contrataciondelestado.es/wps/poc?uri=deeplink:detalle_licitacion&amp;idEvl=21mj%2F437wAEUqXM96WStVA%3D%3D" TargetMode="External" Id="rId152"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153" /><Relationship Type="http://schemas.openxmlformats.org/officeDocument/2006/relationships/hyperlink" Target="https://contrataciondelestado.es/wps/poc?uri=deeplink:detalle_licitacion&amp;idEvl=ilbX5O61acW8ebB%2FXTwy0A%3D%3D" TargetMode="External" Id="rId154" /><Relationship Type="http://schemas.openxmlformats.org/officeDocument/2006/relationships/hyperlink" Target="https://contrataciondelestado.es/FileSystem/servlet/GetDocumentByIdServlet?cifrado=QUC1GjXXSiLkydRHJBmbpw%3D%3D&amp;DocumentIdParam=mck%2BvvBxJCT44bOKuwJHbM/h7y%2BB8yXPjNC5mRgEk2gpgSUMVyQvLp2Tqh8Hd5KVY8i8qjNCmwiWGRDxrVoHt1D8Id%2BU9iku0safe3nGBYx45ClyWkoJ44mKM70IFcOu" TargetMode="External" Id="rId155" /><Relationship Type="http://schemas.openxmlformats.org/officeDocument/2006/relationships/hyperlink" Target="https://contrataciondelestado.es/wps/poc?uri=deeplink:detalle_licitacion&amp;idEvl=rpbklGzRUy6sNfRW6APEDw%3D%3D" TargetMode="External" Id="rId156" /><Relationship Type="http://schemas.openxmlformats.org/officeDocument/2006/relationships/hyperlink" Target="https://contrataciondelestado.es/FileSystem/servlet/GetDocumentByIdServlet?cifrado=QUC1GjXXSiLkydRHJBmbpw%3D%3D&amp;DocumentIdParam=QO8a5IHiLPzfqLPLloCGp4EyWjJDnVaI0w1N2mYxReolzZubrLGcOZBACgAilqxy3iEoCTxadf7%2BSeFESoyL%2BEjNWLp0Vs9Z5wgbtFRUIghJOVDbGCDM%2BMigrvuVS7Rv" TargetMode="External" Id="rId157" /><Relationship Type="http://schemas.openxmlformats.org/officeDocument/2006/relationships/hyperlink" Target="https://contrataciondelestado.es/wps/poc?uri=deeplink:detalle_licitacion&amp;idEvl=qa5ZIAztgqNt5r0ngvMetA%3D%3D" TargetMode="External" Id="rId158" /><Relationship Type="http://schemas.openxmlformats.org/officeDocument/2006/relationships/hyperlink" Target="https://contrataciondelestado.es/FileSystem/servlet/GetDocumentByIdServlet?cifrado=QUC1GjXXSiLkydRHJBmbpw%3D%3D&amp;DocumentIdParam=yrMvsGyqoj7zM3K9rZ6QWU8raFwXkBx2NWJrIndf5iEBjNEWWBG/3X9aAvFRI7j6q8Mhnufr/9QZYvWxByz8qWaORp5vg56aZslud5xHH8ZJOVDbGCDM%2BMigrvuVS7Rv" TargetMode="External" Id="rId159" /><Relationship Type="http://schemas.openxmlformats.org/officeDocument/2006/relationships/hyperlink" Target="https://contrataciondelestado.es/wps/poc?uri=deeplink:detalle_licitacion&amp;idEvl=bXdvm9dgqLceIBJRHQiPkQ%3D%3D" TargetMode="External" Id="rId160" /><Relationship Type="http://schemas.openxmlformats.org/officeDocument/2006/relationships/hyperlink" Target="https://contrataciondelestado.es/FileSystem/servlet/GetDocumentByIdServlet?cifrado=QUC1GjXXSiLkydRHJBmbpw%3D%3D&amp;DocumentIdParam=OThDVvmTVL/kbJK7er6yLfsQ72ND52V7H1TQgjNknQ86%2B1KPLFbikOCvW1ZAQYHq5eQlqTeTcOBEy4%2BYq%2B66tUx5lzZZIEZrSqzi0XbqQ/sZyAJWGsSt0OzTSTyw9JAs" TargetMode="External" Id="rId161" /><Relationship Type="http://schemas.openxmlformats.org/officeDocument/2006/relationships/hyperlink" Target="https://contrataciondelestado.es/wps/poc?uri=deeplink:detalle_licitacion&amp;idEvl=14YnbXpj6OkZDGvgaZEVxQ%3D%3D" TargetMode="External" Id="rId162" /><Relationship Type="http://schemas.openxmlformats.org/officeDocument/2006/relationships/hyperlink" Target="https://contrataciondelestado.es/FileSystem/servlet/GetDocumentByIdServlet?cifrado=QUC1GjXXSiLkydRHJBmbpw%3D%3D&amp;DocumentIdParam=ITwH4msNKHR8%2BF3MfxaqpaFYSLYoAUNmxpsJ5YGeJqzyHwUkBT71E0/%2BSEmffo%2BhY9vSCa320RF4N4p0T9cvYzcOhJxQiHuoqn3zVjdyx4WHAj0WEJrB5sP7amrh2jBD" TargetMode="External" Id="rId163" /><Relationship Type="http://schemas.openxmlformats.org/officeDocument/2006/relationships/hyperlink" Target="https://contrataciondelestado.es/wps/poc?uri=deeplink:detalle_licitacion&amp;idEvl=7ZLQVoiM6%2BU4NavIWzMcHA%3D%3D" TargetMode="External" Id="rId164" /><Relationship Type="http://schemas.openxmlformats.org/officeDocument/2006/relationships/hyperlink" Target="https://contrataciondelestado.es/FileSystem/servlet/GetDocumentByIdServlet?cifrado=QUC1GjXXSiLkydRHJBmbpw%3D%3D&amp;DocumentIdParam=4CQ036XksITA6/3Rmw/70zSEQlC0nEnDn80HqUBS8rtNeu1ngM/AHp4i/FJmBVGNoUyQJb9DiY51O9bvxLREnUGbkuAdVlzwYYK7Fxm8/jJt/o8fNevwsujgRzaBbugn" TargetMode="External" Id="rId165" /><Relationship Type="http://schemas.openxmlformats.org/officeDocument/2006/relationships/hyperlink" Target="https://contrataciondelestado.es/wps/poc?uri=deeplink:detalle_licitacion&amp;idEvl=HedqIb0Mj%2BjkY6rls5tG9A%3D%3D" TargetMode="External" Id="rId166" /><Relationship Type="http://schemas.openxmlformats.org/officeDocument/2006/relationships/hyperlink" Target="https://contrataciondelestado.es/FileSystem/servlet/GetDocumentByIdServlet?cifrado=QUC1GjXXSiLkydRHJBmbpw%3D%3D&amp;DocumentIdParam=rBt7dWmCyGUdiVy/n0DY/lZ0cW8weNioJhQQgE6VRKSOcAXlx%2BFG7dC6hSWdpcVbGNm8K%2BWl2RmYsF2KKolHwvu1QPpxq%2BLodKizPnpEVU145ClyWkoJ44mKM70IFcOu" TargetMode="External" Id="rId167" /><Relationship Type="http://schemas.openxmlformats.org/officeDocument/2006/relationships/hyperlink" Target="https://contrataciondelestado.es/wps/poc?uri=deeplink:detalle_licitacion&amp;idEvl=On8m0nw%2FqEprSd8H4b2soA%3D%3D" TargetMode="External" Id="rId168" /><Relationship Type="http://schemas.openxmlformats.org/officeDocument/2006/relationships/hyperlink" Target="https://contrataciondelestado.es/FileSystem/servlet/GetDocumentByIdServlet?cifrado=QUC1GjXXSiLkydRHJBmbpw%3D%3D&amp;DocumentIdParam=USnfwLdwo3j03cC/iMox8oEyLpNaLt//nxfYZ0hD2/d35q/NmGHW/1HNEYYGof19FEwmujdj8OM3koO4TuhYCIjolEweoJU8bGJvIIVjBBHDdQD9RyhUmzT4jZ2In4zL" TargetMode="External" Id="rId169" /><Relationship Type="http://schemas.openxmlformats.org/officeDocument/2006/relationships/hyperlink" Target="https://contrataciondelestado.es/wps/poc?uri=deeplink:detalle_licitacion&amp;idEvl=KlTqhQ7jHnukU02jNGj1Fw%3D%3D" TargetMode="External" Id="rId170" /><Relationship Type="http://schemas.openxmlformats.org/officeDocument/2006/relationships/hyperlink" Target="https://contrataciondelestado.es/FileSystem/servlet/GetDocumentByIdServlet?cifrado=QUC1GjXXSiLkydRHJBmbpw%3D%3D&amp;DocumentIdParam=GxiVYsHpthzmR44ME/6n22XuZ9lmWVkhDRpLrYv9/Im7EtFgHrXpQfPS/sATUFru11mENJHpNFuudgTIAPMaM5zHs4DD4aNWmNtopDORY6p7QB3HKyQaFUExmUVQCerk" TargetMode="External" Id="rId171" /><Relationship Type="http://schemas.openxmlformats.org/officeDocument/2006/relationships/hyperlink" Target="https://contrataciondelestado.es/wps/poc?uri=deeplink:detalle_licitacion&amp;idEvl=ECP4DJaACzjVGIpKDxgsAQ%3D%3D" TargetMode="External" Id="rId172" /><Relationship Type="http://schemas.openxmlformats.org/officeDocument/2006/relationships/hyperlink" Target="https://contrataciondelestado.es/FileSystem/servlet/GetDocumentByIdServlet?DocumentIdParam=LTZP263wYNmXet1YXwsWwN5MiS/9shhjKPuFMQMzNbZoM4%2BVe46KASk29EvfvtSJp1/MKhH9eKBhg53r43iqo4mk5IrWdKi7YZyP6/gNrzmB0nvVKRzfe4rpHcnlPhSZ&amp;cifrado=QUC1GjXXSiLkydRHJBmbpw%3D%3D" TargetMode="External" Id="rId173" /><Relationship Type="http://schemas.openxmlformats.org/officeDocument/2006/relationships/hyperlink" Target="https://contrataciondelestado.es/wps/poc?uri=deeplink:detalle_licitacion&amp;idEvl=qEQEcTLZZ82HCIsjvJ3rhQ%3D%3D" TargetMode="External" Id="rId174" /><Relationship Type="http://schemas.openxmlformats.org/officeDocument/2006/relationships/hyperlink" Target="https://contrataciondelestado.es/FileSystem/servlet/GetDocumentByIdServlet?cifrado=QUC1GjXXSiLkydRHJBmbpw%3D%3D&amp;DocumentIdParam=LnhPfuptw4RGG27oGJBVnYBbMIFOFgTtDqNTz4MHAjzFTq08FnAs5CzxkQNyGKeuct8RVzvDrTfcxBh3FJJ/XXL8h8dGNrSVB8QxYDp5SNQ//q7NB2iMZvNyf0xrJmjt" TargetMode="External" Id="rId175" /><Relationship Type="http://schemas.openxmlformats.org/officeDocument/2006/relationships/hyperlink" Target="https://contrataciondelestado.es/wps/poc?uri=deeplink:detalle_licitacion&amp;idEvl=%2FoDpoPCaVOtq1DdmE7eaXg%3D%3D" TargetMode="External" Id="rId176" /><Relationship Type="http://schemas.openxmlformats.org/officeDocument/2006/relationships/hyperlink" Target="https://contrataciondelestado.es/FileSystem/servlet/GetDocumentByIdServlet?cifrado=QUC1GjXXSiLkydRHJBmbpw%3D%3D&amp;DocumentIdParam=fB7E9XZ0Ypp5g%2Bpq97zA95zOEn8KpFs8Vvy%2BJtUU4CCiEujFegd7VGVavCL00xkJREGle5tJ0aiVDGgVw9TKDQBuWaZL5BMdDHPcpJMGgKSCx2e6p7hqtlp2aFupgHMr" TargetMode="External" Id="rId177" /><Relationship Type="http://schemas.openxmlformats.org/officeDocument/2006/relationships/hyperlink" Target="https://contrataciondelestado.es/wps/poc?uri=deeplink:detalle_licitacion&amp;idEvl=1cge%2Bk6G7rol5NjlNci%2BtA%3D%3D" TargetMode="External" Id="rId178" /><Relationship Type="http://schemas.openxmlformats.org/officeDocument/2006/relationships/hyperlink" Target="https://contrataciondelestado.es/FileSystem/servlet/GetDocumentByIdServlet?cifrado=QUC1GjXXSiLkydRHJBmbpw%3D%3D&amp;DocumentIdParam=2CHsoHb5Wdn0u5FbNNnRve3cSxMcOKYCH7uinpYdG408QgLSXDxYdB15jlPlruFITJZN1L5x2cTScBycunOqnvTd277iSqlrf3TN5vGi5reHAj0WEJrB5sP7amrh2jBD" TargetMode="External" Id="rId179" /><Relationship Type="http://schemas.openxmlformats.org/officeDocument/2006/relationships/hyperlink" Target="https://contrataciondelestado.es/wps/poc?uri=deeplink:detalle_licitacion&amp;idEvl=enzDfA00KP4%2Bk2oCbDosIw%3D%3D" TargetMode="External" Id="rId180" /><Relationship Type="http://schemas.openxmlformats.org/officeDocument/2006/relationships/hyperlink" Target="https://contrataciondelestado.es/wps/wcm/connect/PLACE_es/Site/area/docAccCmpnt?srv=cmpnt&amp;cmpntname=GetDocumentsById&amp;source=library&amp;DocumentIdParam=99cec37b-6f37-4c35-a40a-3415d66cf486" TargetMode="External" Id="rId181" /><Relationship Type="http://schemas.openxmlformats.org/officeDocument/2006/relationships/hyperlink" Target="https://contrataciondelestado.es/wps/poc?uri=deeplink:detalle_licitacion&amp;idEvl=FdpYRzWRmzrua%2Fi14w%2FPLA%3D%3D" TargetMode="External" Id="rId182" /><Relationship Type="http://schemas.openxmlformats.org/officeDocument/2006/relationships/hyperlink" Target="https://contrataciondelestado.es/FileSystem/servlet/GetDocumentByIdServlet?cifrado=QUC1GjXXSiLkydRHJBmbpw%3D%3D&amp;DocumentIdParam=2et/%2BPwdZZERsXM9C5YslsF88J2VAG6aYMk7H2Ic5S%2BGnn20lbr7ulVNIKn3jZEocgC44B64bRHBCPHVEgt8jsNMbpydm/z5BY73ccsHYIVt/o8fNevwsujgRzaBbugn" TargetMode="External" Id="rId183" /><Relationship Type="http://schemas.openxmlformats.org/officeDocument/2006/relationships/hyperlink" Target="https://contrataciondelestado.es/wps/poc?uri=deeplink:detalle_licitacion&amp;idEvl=KAUJiYxZYJ%2FzAq95uGTrDQ%3D%3D" TargetMode="External" Id="rId184" /><Relationship Type="http://schemas.openxmlformats.org/officeDocument/2006/relationships/hyperlink" Target="https://contrataciondelestado.es/FileSystem/servlet/GetDocumentByIdServlet?cifrado=QUC1GjXXSiLkydRHJBmbpw%3D%3D&amp;DocumentIdParam=YT6JPBSl4vzEdmckXX0fDGZsuB4c7u3nz%2BN4PM8eK8lmDXLUFknBquexYWT3PzaM%2BfHG7F359H8j1i3esgzUy0%2B9xGtgLnxNt6owRBmr/T/DdQD9RyhUmzT4jZ2In4zL" TargetMode="External" Id="rId185" /><Relationship Type="http://schemas.openxmlformats.org/officeDocument/2006/relationships/hyperlink" Target="https://contrataciondelestado.es/wps/poc?uri=deeplink:detalle_licitacion&amp;idEvl=xQEpTQnYOG2ExvMJXBMHHQ%3D%3D" TargetMode="External" Id="rId186" /><Relationship Type="http://schemas.openxmlformats.org/officeDocument/2006/relationships/hyperlink" Target="https://contrataciondelestado.es/FileSystem/servlet/GetDocumentByIdServlet?cifrado=QUC1GjXXSiLkydRHJBmbpw%3D%3D&amp;DocumentIdParam=Uka7iGGv2EvL2iPTVISCvfYNJO2uBhQZqQUJnaSd70UZBnr24tNykqf/4oNpZOqKTOj6ik1RPNpE6puAk7Tmdy8J6EiN%2Byb4W6U50eR6ibaB0nvVKRzfe4rpHcnlPhSZ" TargetMode="External" Id="rId187" /><Relationship Type="http://schemas.openxmlformats.org/officeDocument/2006/relationships/hyperlink" Target="https://contrataciondelestado.es/wps/poc?uri=deeplink:detalle_licitacion&amp;idEvl=saKOamrRJNHi0Kd8%2Brcp6w%3D%3D" TargetMode="External" Id="rId188" /><Relationship Type="http://schemas.openxmlformats.org/officeDocument/2006/relationships/hyperlink" Target="https://contrataciondelestado.es/FileSystem/servlet/GetDocumentByIdServlet?cifrado=QUC1GjXXSiLkydRHJBmbpw%3D%3D&amp;DocumentIdParam=j7JLZZPS4JmSxfbDcI2xKqDFlSTo7GE2lt2FgeSbrNVuSZmwpgFEh0gtUibsFOAd5pTBqUrvrDH28t8r7AXFLCB041vcJoYoUBFqevYNyv3fdyQgZAdTm3EfcUAC7CJ6" TargetMode="External" Id="rId189" /><Relationship Type="http://schemas.openxmlformats.org/officeDocument/2006/relationships/hyperlink" Target="https://contrataciondelestado.es/wps/poc?uri=deeplink:detalle_licitacion&amp;idEvl=o6XUL3R7HPUIYE3ZiZ%2BxmQ%3D%3D" TargetMode="External" Id="rId190" /><Relationship Type="http://schemas.openxmlformats.org/officeDocument/2006/relationships/hyperlink" Target="https://contrataciondelestado.es/FileSystem/servlet/GetDocumentByIdServlet?DocumentIdParam=12sHnJ1DyDz/jE4GjuJsRCbA5piDmGR9BhBQDfCgvECFkVpS%2B3E%2BkwoICTYLwPeyJNDT0SGAM2KB2UrT8FNUjxGqt0tqGj/GKM0AHlxRlWr3GVhXrFFqN7yFncy7YfRK&amp;cifrado=QUC1GjXXSiLkydRHJBmbpw%3D%3D" TargetMode="External" Id="rId191" /><Relationship Type="http://schemas.openxmlformats.org/officeDocument/2006/relationships/hyperlink" Target="https://contrataciondelestado.es/wps/poc?uri=deeplink:detalle_licitacion&amp;idEvl=G%2FssM%2FgyCVKcTfjQf3USOg%3D%3D" TargetMode="External" Id="rId192" /><Relationship Type="http://schemas.openxmlformats.org/officeDocument/2006/relationships/hyperlink" Target="https://contrataciondelestado.es/FileSystem/servlet/GetDocumentByIdServlet?cifrado=QUC1GjXXSiLkydRHJBmbpw%3D%3D&amp;DocumentIdParam=v1YUNz0IHWlmcI/uqBPWIER9ROnZiBZDsBQGxSrcCAaPtweIAbEXeZdEMb9jZp0kmo1tp9fNRB8PpPB1wjKJw8dFd/pXGrF96oF7MX/4xSW1aXEvq3KHa/AEHgtDrQw0" TargetMode="External" Id="rId193" /><Relationship Type="http://schemas.openxmlformats.org/officeDocument/2006/relationships/hyperlink" Target="https://contrataciondelestado.es/wps/poc?uri=deeplink:detalle_licitacion&amp;idEvl=3GYQZoC9g%2Fj5Rey58Yagpg%3D%3D" TargetMode="External" Id="rId194" /><Relationship Type="http://schemas.openxmlformats.org/officeDocument/2006/relationships/hyperlink" Target="https://contrataciondelestado.es/FileSystem/servlet/GetDocumentByIdServlet?cifrado=QUC1GjXXSiLkydRHJBmbpw%3D%3D&amp;DocumentIdParam=y6PUttHvBTKnu5EEuwIArfvpoW438SqWwoBhURFLjdV7WAjqDUzjxA%2BduSso4Zubrp6neTSjSTDhe8YjOt4d3UHJo597phcoGUgCnKqmXt6HAj0WEJrB5sP7amrh2jBD" TargetMode="External" Id="rId195" /><Relationship Type="http://schemas.openxmlformats.org/officeDocument/2006/relationships/hyperlink" Target="https://contrataciondelestado.es/wps/poc?uri=deeplink:detalle_licitacion&amp;idEvl=gX2lqjMbP7uP%2Bo96UAV7cQ%3D%3D" TargetMode="External" Id="rId196"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197" /><Relationship Type="http://schemas.openxmlformats.org/officeDocument/2006/relationships/hyperlink" Target="https://contrataciondelestado.es/wps/poc?uri=deeplink:detalle_licitacion&amp;idEvl=Nmuz1%2BddNLhrhBlEHQFSKA%3D%3D" TargetMode="External" Id="rId198" /><Relationship Type="http://schemas.openxmlformats.org/officeDocument/2006/relationships/hyperlink" Target="https://contrataciondelestado.es/FileSystem/servlet/GetDocumentByIdServlet?cifrado=QUC1GjXXSiLkydRHJBmbpw%3D%3D&amp;DocumentIdParam=OrIsFxHojO%2Bzn299vYIbE4LUo5dVGvYp2TWrhpnZ18tvjT0zxU5bghoQ2HJsjA75EyOBE6Cyg/NbR9WKJ2EwFHnZj6jHydU7eqPN9O4Q2ssZyAJWGsSt0OzTSTyw9JAs" TargetMode="External" Id="rId199" /><Relationship Type="http://schemas.openxmlformats.org/officeDocument/2006/relationships/hyperlink" Target="https://contrataciondelestado.es/wps/poc?uri=deeplink:detalle_licitacion&amp;idEvl=J7Oi2FUA0L1QFSeKCRun4Q%3D%3D" TargetMode="External" Id="rId200" /><Relationship Type="http://schemas.openxmlformats.org/officeDocument/2006/relationships/hyperlink" Target="https://contrataciondelestado.es/FileSystem/servlet/GetDocumentByIdServlet?cifrado=QUC1GjXXSiLkydRHJBmbpw%3D%3D&amp;DocumentIdParam=GBwhb3kGmOeAuWlNz9whKLvuFYnPiuRHX7iQ8IHbWf64XipaR3qRdsu%2BZN4k1HBJyObtR3kj2pH6uWIDeb9Dw0GCyt8zL8bnQyaMMNPWzl145ClyWkoJ44mKM70IFcOu" TargetMode="External" Id="rId201" /><Relationship Type="http://schemas.openxmlformats.org/officeDocument/2006/relationships/hyperlink" Target="https://contrataciondelestado.es/wps/poc?uri=deeplink:detalle_licitacion&amp;idEvl=W7mQ%2BhEvSLiIzo3LHNPGcQ%3D%3D" TargetMode="External" Id="rId202" /><Relationship Type="http://schemas.openxmlformats.org/officeDocument/2006/relationships/hyperlink" Target="https://contrataciondelestado.es/FileSystem/servlet/GetDocumentByIdServlet?cifrado=QUC1GjXXSiLkydRHJBmbpw%3D%3D&amp;DocumentIdParam=TjhDF/IOBW6fTv3sykNHtKQTKh3ystQCdeeAXNBxI3R0lXICGpTMbKMNWJvMAXp45bKVJabYCufJ5jzpsc2hR0ApUmmDxwMGtLUqIopoNZE//q7NB2iMZvNyf0xrJmjt" TargetMode="External" Id="rId203" /><Relationship Type="http://schemas.openxmlformats.org/officeDocument/2006/relationships/hyperlink" Target="https://contrataciondelestado.es/wps/poc?uri=deeplink:detalle_licitacion&amp;idEvl=IafXpkUjapq5HQrHoP3G5A%3D%3D" TargetMode="External" Id="rId204" /><Relationship Type="http://schemas.openxmlformats.org/officeDocument/2006/relationships/hyperlink" Target="https://contrataciondelestado.es/FileSystem/servlet/GetDocumentByIdServlet?cifrado=QUC1GjXXSiLkydRHJBmbpw%3D%3D&amp;DocumentIdParam=aT0WsxGV%2BFqfcew5rhXTSvLDoeWvIHIAsHIADdv2XJWsHKqtUI5nCFtfAGyiNID9KEHAL1qEVsRDM%2Bdjog3Gx38%2BXRt2AOPIOEqqLQWw7oWCx2e6p7hqtlp2aFupgHMr" TargetMode="External" Id="rId205" /><Relationship Type="http://schemas.openxmlformats.org/officeDocument/2006/relationships/hyperlink" Target="https://contrataciondelestado.es/wps/poc?uri=deeplink:detalle_licitacion&amp;idEvl=dbZTwVAjBOPLIx6q1oPaMg%3D%3D" TargetMode="External" Id="rId206"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207" /><Relationship Type="http://schemas.openxmlformats.org/officeDocument/2006/relationships/hyperlink" Target="https://contrataciondelestado.es/wps/poc?uri=deeplink:detalle_licitacion&amp;idEvl=4VAx3nVBI2wQyBAnWzHfCg%3D%3D" TargetMode="External" Id="rId208" /><Relationship Type="http://schemas.openxmlformats.org/officeDocument/2006/relationships/hyperlink" Target="https://contrataciondelestado.es/FileSystem/servlet/GetDocumentByIdServlet?cifrado=QUC1GjXXSiLkydRHJBmbpw%3D%3D&amp;DocumentIdParam=LGpBWBn3QPPOlHR7nQd2kCBHP/HPRrpkwN99vYjVKP5Mh9gKFTEoPyVSDnIcRgg/EFQECkfAohpckLIT8kgb%2BLNX9tehcKRsNVxiuodO0Ms//q7NB2iMZvNyf0xrJmjt" TargetMode="External" Id="rId209" /><Relationship Type="http://schemas.openxmlformats.org/officeDocument/2006/relationships/hyperlink" Target="https://contrataciondelestado.es/wps/poc?uri=deeplink:detalle_licitacion&amp;idEvl=2o%2FWD6BqyCVLAIVZdUs8KA%3D%3D" TargetMode="External" Id="rId210" /><Relationship Type="http://schemas.openxmlformats.org/officeDocument/2006/relationships/hyperlink" Target="https://contrataciondelestado.es/FileSystem/servlet/GetDocumentByIdServlet?cifrado=QUC1GjXXSiLkydRHJBmbpw%3D%3D&amp;DocumentIdParam=qS9Qm27knPxAPSmAgS/RXjXVn74LMnNIZwQj6bECwyljuFiSzO6isD1MBJ/paqaD7QAjhzU2fZ2OEUhq%2BB1fgqK03Bpehj8SL3r7s/gvdIeCx2e6p7hqtlp2aFupgHMr" TargetMode="External" Id="rId211" /><Relationship Type="http://schemas.openxmlformats.org/officeDocument/2006/relationships/hyperlink" Target="https://contrataciondelestado.es/wps/poc?uri=deeplink:detalle_licitacion&amp;idEvl=NWu0ogUeVKZ6nTs9LZ9RhQ%3D%3D" TargetMode="External" Id="rId212" /><Relationship Type="http://schemas.openxmlformats.org/officeDocument/2006/relationships/hyperlink" Target="https://contrataciondelestado.es/FileSystem/servlet/GetDocumentByIdServlet?cifrado=QUC1GjXXSiLkydRHJBmbpw%3D%3D&amp;DocumentIdParam=4Od%2BhMumHxPMo3r9D5SIgratxUagMeP7nlnB44nZFXRo90ZXJw7f1dtzbo7saEAJDnjLeWGrpANRkWfbHVffmwmPSzOo8p%2BI19ysw7j6jkJt/o8fNevwsujgRzaBbugn" TargetMode="External" Id="rId213" /><Relationship Type="http://schemas.openxmlformats.org/officeDocument/2006/relationships/hyperlink" Target="https://contrataciondelestado.es/wps/poc?uri=deeplink:detalle_licitacion&amp;idEvl=8%2F5etUWRhK%2BHCIsjvJ3rhQ%3D%3D" TargetMode="External" Id="rId214" /><Relationship Type="http://schemas.openxmlformats.org/officeDocument/2006/relationships/hyperlink" Target="https://contrataciondelestado.es/FileSystem/servlet/GetDocumentByIdServlet?cifrado=QUC1GjXXSiLkydRHJBmbpw%3D%3D&amp;DocumentIdParam=4bWqnRyBKbYzQCQUTjUr7jpY67p1nfackozeq70rwo6Ck9d8vshJwvWbwij0khmn2uEBBuoNir16XSIeMicaP60SWYSb4HM5uV2WuHJ%2BGmQC1/zDIE0Kw/PWNnLS0Z0z" TargetMode="External" Id="rId215" /><Relationship Type="http://schemas.openxmlformats.org/officeDocument/2006/relationships/hyperlink" Target="https://contrataciondelestado.es/wps/poc?uri=deeplink:detalle_licitacion&amp;idEvl=W7Ta0%2F2Kqev%2B3JAijKO%2Bkg%3D%3D" TargetMode="External" Id="rId216" /><Relationship Type="http://schemas.openxmlformats.org/officeDocument/2006/relationships/hyperlink" Target="https://contrataciondelestado.es/FileSystem/servlet/GetDocumentByIdServlet?cifrado=QUC1GjXXSiLkydRHJBmbpw%3D%3D&amp;DocumentIdParam=kcbHdy%2BRMGjMu6haHVfSdVy%2BrUjMiNuJhpl2XbSr7D9GO9Gw%2BkbfWKd01zEUNXUn8xMW4APML9SmuhfN0sLVIBYk47yQZ4Mrn4ISdPNT5Txt/o8fNevwsujgRzaBbugn" TargetMode="External" Id="rId217" /><Relationship Type="http://schemas.openxmlformats.org/officeDocument/2006/relationships/hyperlink" Target="https://contrataciondelestado.es/wps/poc?uri=deeplink:detalle_licitacion&amp;idEvl=du%2Fxm7ljqXHCfVQHDepjGQ%3D%3D" TargetMode="External" Id="rId218" /><Relationship Type="http://schemas.openxmlformats.org/officeDocument/2006/relationships/hyperlink" Target="https://contrataciondelestado.es/FileSystem/servlet/GetDocumentByIdServlet?cifrado=QUC1GjXXSiLkydRHJBmbpw%3D%3D&amp;DocumentIdParam=HLWaDOnSof0uqVPxFsxzFklCKvanzN3NhZAeQqd6hADECNwWVSwuqtVwK6g976QWZSdcVjp79NL5OaLU%2BhtPH9sNldWLyRKXmLWiPhqhhRjVTD3T98KC0nSgQFM0q%2B5s" TargetMode="External" Id="rId219" /><Relationship Type="http://schemas.openxmlformats.org/officeDocument/2006/relationships/hyperlink" Target="https://contrataciondelestado.es/wps/poc?uri=deeplink:detalle_licitacion&amp;idEvl=m3kRQyjsvG65HQrHoP3G5A%3D%3D" TargetMode="External" Id="rId220" /><Relationship Type="http://schemas.openxmlformats.org/officeDocument/2006/relationships/hyperlink" Target="https://contrataciondelestado.es/FileSystem/servlet/GetDocumentByIdServlet?cifrado=QUC1GjXXSiLkydRHJBmbpw%3D%3D&amp;DocumentIdParam=YyWdjUpYZX6YXQGm2OZiA7/eW%2B67Or01cOUrBlXTzZ0iYLe5ueWQuoqA/SHh6YjgfKR39NvXCDXtbpO8sr2wkRI46j0jPYCpdPTN/20UqSxt/o8fNevwsujgRzaBbugn" TargetMode="External" Id="rId221" /><Relationship Type="http://schemas.openxmlformats.org/officeDocument/2006/relationships/hyperlink" Target="https://contrataciondelestado.es/wps/poc?uri=deeplink:detalle_licitacion&amp;idEvl=Dz3saeFLnfh%2BF6L2uCfUWg%3D%3D" TargetMode="External" Id="rId222" /><Relationship Type="http://schemas.openxmlformats.org/officeDocument/2006/relationships/hyperlink" Target="https://contrataciondelestado.es/FileSystem/servlet/GetDocumentByIdServlet?cifrado=QUC1GjXXSiLkydRHJBmbpw%3D%3D&amp;DocumentIdParam=%2BV0jwCK0b%2B%2BnE86Yf6bEuMQrBGRVeEazKUTsOcdZGbi/QshEZZ1otrfMbc0F1vikiyGusUZM5wr9YpV31PgXMgpT4ymnCUSOn8yYTM1Bm9v3GVhXrFFqN7yFncy7YfRK" TargetMode="External" Id="rId223" /><Relationship Type="http://schemas.openxmlformats.org/officeDocument/2006/relationships/hyperlink" Target="https://contrataciondelestado.es/wps/poc?uri=deeplink:detalle_licitacion&amp;idEvl=WjNqYODdob0%2Bk2oCbDosIw%3D%3D" TargetMode="External" Id="rId224"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225" /><Relationship Type="http://schemas.openxmlformats.org/officeDocument/2006/relationships/hyperlink" Target="https://contrataciondelestado.es/wps/poc?uri=deeplink:detalle_licitacion&amp;idEvl=rrE6pXmmxrd6nTs9LZ9RhQ%3D%3D" TargetMode="External" Id="rId226" /><Relationship Type="http://schemas.openxmlformats.org/officeDocument/2006/relationships/hyperlink" Target="https://contrataciondelestado.es/FileSystem/servlet/GetDocumentByIdServlet?cifrado=QUC1GjXXSiLkydRHJBmbpw%3D%3D&amp;DocumentIdParam=oqp5pbPtTFp8OcIp5v/PJG0seWrHHAHAfzvvKh7piiPxoilETxyBaZzYG/6bylQzMH%2BX5pxYD7CMgH68xz3YuOVRnjxev5ML/Xv2wCvBG6pJOVDbGCDM%2BMigrvuVS7Rv" TargetMode="External" Id="rId227" /><Relationship Type="http://schemas.openxmlformats.org/officeDocument/2006/relationships/hyperlink" Target="https://contrataciondelestado.es/wps/poc?uri=deeplink:detalle_licitacion&amp;idEvl=ZLyk719iKaWOUi78BmzhOQ%3D%3D" TargetMode="External" Id="rId228" /><Relationship Type="http://schemas.openxmlformats.org/officeDocument/2006/relationships/hyperlink" Target="https://contrataciondelestado.es/FileSystem/servlet/GetDocumentByIdServlet?cifrado=QUC1GjXXSiLkydRHJBmbpw%3D%3D&amp;DocumentIdParam=a%2B1CmDvUXKo5PYPXfdBfz0gdj%2BXz2MXhMxVaejX2ysN3Y%2Bt//sNoUv4ARj3mFpjk5IReRSpVyBzhFo7uasInNWxDB3Y22ukULsWwb%2BO1rli1aXEvq3KHa/AEHgtDrQw0" TargetMode="External" Id="rId229" /><Relationship Type="http://schemas.openxmlformats.org/officeDocument/2006/relationships/hyperlink" Target="https://contrataciondelestado.es/wps/poc?uri=deeplink:detalle_licitacion&amp;idEvl=m1nIP6MDwXHN3k3tjedSGw%3D%3D" TargetMode="External" Id="rId230"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231" /><Relationship Type="http://schemas.openxmlformats.org/officeDocument/2006/relationships/hyperlink" Target="https://contrataciondelestado.es/wps/poc?uri=deeplink:detalle_licitacion&amp;idEvl=XfLCrUnszFQ36J9Lctlsuw%3D%3D" TargetMode="External" Id="rId232" /><Relationship Type="http://schemas.openxmlformats.org/officeDocument/2006/relationships/hyperlink" Target="https://contrataciondelestado.es/FileSystem/servlet/GetDocumentByIdServlet?cifrado=QUC1GjXXSiLkydRHJBmbpw%3D%3D&amp;DocumentIdParam=KgFOa/mm5B4h3hr/Yd0AfEXpBSryDXIYpAm8CpWqa/bNeb%2BWmSMqDnAL9Dd7AHOO%2BSP1O003/pJKoazho7Ui%2BPOXas6vOAXnC9P3NxzoT/T3GVhXrFFqN7yFncy7YfRK" TargetMode="External" Id="rId233" /><Relationship Type="http://schemas.openxmlformats.org/officeDocument/2006/relationships/hyperlink" Target="https://contrataciondelestado.es/wps/poc?uri=deeplink:detalle_licitacion&amp;idEvl=lJM1CEVy987jHF5qKI4aaw%3D%3D" TargetMode="External" Id="rId234" /><Relationship Type="http://schemas.openxmlformats.org/officeDocument/2006/relationships/hyperlink" Target="https://contrataciondelestado.es/FileSystem/servlet/GetDocumentByIdServlet?DocumentIdParam=GiwGW2fAcqfhFPVql5QBkQ7RqyRaOYbaS6VhMQz8W42L3YenOA5CYCXMQ/yU9nVgQTkJIVDZOOl7xvjWV5EeCRJvgNVu5Vrr7mUnA1PrO3TDdQD9RyhUmzT4jZ2In4zL&amp;cifrado=QUC1GjXXSiLkydRHJBmbpw%3D%3D" TargetMode="External" Id="rId235" /><Relationship Type="http://schemas.openxmlformats.org/officeDocument/2006/relationships/hyperlink" Target="https://contrataciondelestado.es/wps/poc?uri=deeplink:detalle_licitacion&amp;idEvl=J6oR05R41Vx9PLkba5eRog%3D%3D" TargetMode="External" Id="rId236" /><Relationship Type="http://schemas.openxmlformats.org/officeDocument/2006/relationships/hyperlink" Target="https://contrataciondelestado.es/FileSystem/servlet/GetDocumentByIdServlet?DocumentIdParam=P56sHYl28vdOSnjx7EtMgg6VeAP6e5KWxm1C9FJfZJWTFL2ZQXGXWwoFjH3mReZkxUPFZ6jjI3DkAnUZKiCMC93kUBT970bUNcCgoqvnagfVTD3T98KC0nSgQFM0q%2B5s&amp;cifrado=QUC1GjXXSiLkydRHJBmbpw%3D%3D" TargetMode="External" Id="rId237" /><Relationship Type="http://schemas.openxmlformats.org/officeDocument/2006/relationships/hyperlink" Target="https://contrataciondelestado.es/wps/poc?uri=deeplink:detalle_licitacion&amp;idEvl=YnlZxMRZUPezz8fXU2i3eQ%3D%3D" TargetMode="External" Id="rId238" /><Relationship Type="http://schemas.openxmlformats.org/officeDocument/2006/relationships/hyperlink" Target="https://contrataciondelestado.es/FileSystem/servlet/GetDocumentByIdServlet?cifrado=QUC1GjXXSiLkydRHJBmbpw%3D%3D&amp;DocumentIdParam=sDgLau912JMJSOnIyE6DYzmPAiNqd5x2NCDGvSnp4KlBcccUoYcdKumtuXppYZGujEKjuxYLywiR7k%2BNFiQfV7RJsJNIFLk3A3sAQQc0xdx45ClyWkoJ44mKM70IFcOu" TargetMode="External" Id="rId239" /><Relationship Type="http://schemas.openxmlformats.org/officeDocument/2006/relationships/hyperlink" Target="https://contrataciondelestado.es/wps/poc?uri=deeplink:detalle_licitacion&amp;idEvl=P7czqjHsseh70UvEyYJSGw%3D%3D" TargetMode="External" Id="rId240" /><Relationship Type="http://schemas.openxmlformats.org/officeDocument/2006/relationships/hyperlink" Target="https://contrataciondelestado.es/FileSystem/servlet/GetDocumentByIdServlet?cifrado=QUC1GjXXSiLkydRHJBmbpw%3D%3D&amp;DocumentIdParam=qzYFDYFoyQtX4NRWLCGBgchF5j4ubans8alX0Idf0Xyyx/W/8PnpON/wRuruDnRlZ6bi/gZ101m6bFOgILr1hDlvVwhhvFPvG0/YEfRy92WHAj0WEJrB5sP7amrh2jBD" TargetMode="External" Id="rId241" /><Relationship Type="http://schemas.openxmlformats.org/officeDocument/2006/relationships/hyperlink" Target="https://contrataciondelestado.es/wps/poc?uri=deeplink:detalle_licitacion&amp;idEvl=G4DBmgJ6JNO9Hd5zqvq9cg%3D%3D" TargetMode="External" Id="rId242"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243" /><Relationship Type="http://schemas.openxmlformats.org/officeDocument/2006/relationships/hyperlink" Target="https://contrataciondelestado.es/wps/poc?uri=deeplink:detalle_licitacion&amp;idEvl=8n%2BfaXpvKQYmMOlAXxDEjw%3D%3D" TargetMode="External" Id="rId244"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245" /><Relationship Type="http://schemas.openxmlformats.org/officeDocument/2006/relationships/hyperlink" Target="https://contrataciondelestado.es/wps/poc?uri=deeplink:detalle_licitacion&amp;idEvl=rYQVU5y9%2F1vCfVQHDepjGQ%3D%3D" TargetMode="External" Id="rId246" /><Relationship Type="http://schemas.openxmlformats.org/officeDocument/2006/relationships/hyperlink" Target="https://contrataciondelestado.es/FileSystem/servlet/GetDocumentByIdServlet?cifrado=QUC1GjXXSiLkydRHJBmbpw%3D%3D&amp;DocumentIdParam=pqo/4w54nB67UlP3swHDlmMdJ9ITq1AzOfUrG0N9u5zsaPM7SeNbiiQpCz9j6iHE0wgkRsPYCeDalztujWZP6iLKOwDAW8nECua/rLbnwYXDdQD9RyhUmzT4jZ2In4zL" TargetMode="External" Id="rId247" /><Relationship Type="http://schemas.openxmlformats.org/officeDocument/2006/relationships/hyperlink" Target="https://contrataciondelestado.es/wps/poc?uri=deeplink:detalle_licitacion&amp;idEvl=%2F90%2F0hZTCz59PLkba5eRog%3D%3D" TargetMode="External" Id="rId248" /><Relationship Type="http://schemas.openxmlformats.org/officeDocument/2006/relationships/hyperlink" Target="https://contrataciondelestado.es/FileSystem/servlet/GetDocumentByIdServlet?cifrado=QUC1GjXXSiLkydRHJBmbpw%3D%3D&amp;DocumentIdParam=0gijwjDX0iFzx5Zc0Ak%2BE1%2BBSAISgxq0sbx2uUwzaA2cdDS2eN5vjGSF3iYnSZ2abloBxWB0wZAUZXl8EUkkzG8EhI8%2Bd0Zls3brOJ6vRCl45ClyWkoJ44mKM70IFcOu" TargetMode="External" Id="rId249" /><Relationship Type="http://schemas.openxmlformats.org/officeDocument/2006/relationships/hyperlink" Target="https://contrataciondelestado.es/wps/poc?uri=deeplink:detalle_licitacion&amp;idEvl=Q5aX479A6hrXOjazN1Dw9Q%3D%3D" TargetMode="External" Id="rId250" /><Relationship Type="http://schemas.openxmlformats.org/officeDocument/2006/relationships/hyperlink" Target="https://contrataciondelestado.es/FileSystem/servlet/GetDocumentByIdServlet?cifrado=QUC1GjXXSiLkydRHJBmbpw%3D%3D&amp;DocumentIdParam=pZ5KW8UYga23YRaCcBb6W2zmfn8dx3jNL1VesfFsiTpO3DvHITXXq7/oUw4YXBs9kh3P4Io/skLcasMZkDonQyb63kBxUp%2BPj/rnExq/x2vfdyQgZAdTm3EfcUAC7CJ6" TargetMode="External" Id="rId251" /><Relationship Type="http://schemas.openxmlformats.org/officeDocument/2006/relationships/hyperlink" Target="https://contrataciondelestado.es/wps/poc?uri=deeplink:detalle_licitacion&amp;idEvl=Q6EHGPqh3IU4NavIWzMcHA%3D%3D" TargetMode="External" Id="rId252" /><Relationship Type="http://schemas.openxmlformats.org/officeDocument/2006/relationships/hyperlink" Target="https://contrataciondelestado.es/FileSystem/servlet/GetDocumentByIdServlet?cifrado=QUC1GjXXSiLkydRHJBmbpw%3D%3D&amp;DocumentIdParam=1QEaTJNDbjQYLaWXnOPvE4/mr%2BHr4fkKkcNJFYcy6dDqbqRXj0WApytAXJtz6gl7Rwn76kLbONZZzoSOemcZY/1cUnt%2BmK/ks1Gs1XsrH3f6CYyL7SIrUOBFfNf52ZqA" TargetMode="External" Id="rId253" /><Relationship Type="http://schemas.openxmlformats.org/officeDocument/2006/relationships/hyperlink" Target="https://contrataciondelestado.es/wps/poc?uri=deeplink:detalle_licitacion&amp;idEvl=Xg8BRcG9V1BrSd8H4b2soA%3D%3D" TargetMode="External" Id="rId254" /><Relationship Type="http://schemas.openxmlformats.org/officeDocument/2006/relationships/hyperlink" Target="https://contrataciondelestado.es/FileSystem/servlet/GetDocumentByIdServlet?cifrado=QUC1GjXXSiLkydRHJBmbpw%3D%3D&amp;DocumentIdParam=NjoCG5XoRR/6j%2BXiB42xy9cNDLFNN17BnkZHFmJO8WggkevAreYLjGuNG6UMhRCFZjrcfoccGMYDX00Nc3Af0TFX53wpf9C0fh2nXyCWeLOHAj0WEJrB5sP7amrh2jBD" TargetMode="External" Id="rId255" /><Relationship Type="http://schemas.openxmlformats.org/officeDocument/2006/relationships/hyperlink" Target="https://contrataciondelestado.es/wps/poc?uri=deeplink:detalle_licitacion&amp;idEvl=vLubkuHJ39I%2B1TMyIiZmzw%3D%3D" TargetMode="External" Id="rId256" /><Relationship Type="http://schemas.openxmlformats.org/officeDocument/2006/relationships/hyperlink" Target="https://contrataciondelestado.es/FileSystem/servlet/GetDocumentByIdServlet?cifrado=QUC1GjXXSiLkydRHJBmbpw%3D%3D&amp;DocumentIdParam=G4g76MwCpJRoOX/0VZ33VlhMDt1XnQHGsACGxix/fS1HYHEdCBk1cNAPikVuzvGUqWM1RqXWleJC/a4cf9Z0P9Mwiu4hlH0mrYeHQxiA4Ez6CYyL7SIrUOBFfNf52ZqA" TargetMode="External" Id="rId257" /><Relationship Type="http://schemas.openxmlformats.org/officeDocument/2006/relationships/hyperlink" Target="https://contrataciondelestado.es/wps/poc?uri=deeplink:detalle_licitacion&amp;idEvl=EL5cpzP0XDxq1DdmE7eaXg%3D%3D" TargetMode="External" Id="rId258" /><Relationship Type="http://schemas.openxmlformats.org/officeDocument/2006/relationships/hyperlink" Target="https://contrataciondelestado.es/FileSystem/servlet/GetDocumentByIdServlet?cifrado=QUC1GjXXSiLkydRHJBmbpw%3D%3D&amp;DocumentIdParam=AAPA79BN9DkG7BxUYW4CNgXRS86AdjKH3VlJVbR9sZOpTNZ8BPFCCI9wL5MRREAgyvQ4oFRNxBkDdNRD/iVraNwfVMPtq%2BlOZKYJXuFIjke1aXEvq3KHa/AEHgtDrQw0" TargetMode="External" Id="rId259" /><Relationship Type="http://schemas.openxmlformats.org/officeDocument/2006/relationships/hyperlink" Target="https://contrataciondelestado.es/wps/poc?uri=deeplink:detalle_licitacion&amp;idEvl=q74ZIQyi616TylGzYmBF9Q%3D%3D" TargetMode="External" Id="rId260" /><Relationship Type="http://schemas.openxmlformats.org/officeDocument/2006/relationships/hyperlink" Target="https://contrataciondelestado.es/FileSystem/servlet/GetDocumentByIdServlet?cifrado=QUC1GjXXSiLkydRHJBmbpw%3D%3D&amp;DocumentIdParam=TweDv8RMQCj8Uht5GvKUgr%2BbeLRWZjEcRvyfQ9FpDVVBb7kspC%2BLNRI6epEiulghch0O8Sb8lPg8DMEJ1HglgwlqyKBJD7aSbOzq7Ytheu8//q7NB2iMZvNyf0xrJmjt" TargetMode="External" Id="rId261" /><Relationship Type="http://schemas.openxmlformats.org/officeDocument/2006/relationships/hyperlink" Target="https://contrataciondelestado.es/wps/poc?uri=deeplink:detalle_licitacion&amp;idEvl=HmH34gJh%2FnNVYjgxA4nMUw%3D%3D" TargetMode="External" Id="rId262" /><Relationship Type="http://schemas.openxmlformats.org/officeDocument/2006/relationships/hyperlink" Target="https://contrataciondelestado.es/FileSystem/servlet/GetDocumentByIdServlet?cifrado=QUC1GjXXSiLkydRHJBmbpw%3D%3D&amp;DocumentIdParam=qm50hr20sdVftR8S7biVQnGQvPTypf5FNqAkycFMyBI9CNAHoJAGi6kfw8eWDlfUzdIM0IMyrFKG0sv1eDXm8Vlz0lGWzMPYXirXq%2BqPHO6B0nvVKRzfe4rpHcnlPhSZ" TargetMode="External" Id="rId263" /><Relationship Type="http://schemas.openxmlformats.org/officeDocument/2006/relationships/hyperlink" Target="https://contrataciondelestado.es/wps/poc?uri=deeplink:detalle_licitacion&amp;idEvl=sqrBRzTVXT2zz8fXU2i3eQ%3D%3D" TargetMode="External" Id="rId264" /><Relationship Type="http://schemas.openxmlformats.org/officeDocument/2006/relationships/hyperlink" Target="https://contrataciondelestado.es/FileSystem/servlet/GetDocumentByIdServlet?cifrado=QUC1GjXXSiLkydRHJBmbpw%3D%3D&amp;DocumentIdParam=/%2BQ/74YfnyeSh0g3cs2%2Bis4CKcQdeEXtwNqiWWeF/7r8zimrhQprjhYMuFegORXJ6dgD7wR2vuJtcM4fbFw5rDv9mv8/viMM90AE9TvgEnWHAj0WEJrB5sP7amrh2jBD" TargetMode="External" Id="rId265" /><Relationship Type="http://schemas.openxmlformats.org/officeDocument/2006/relationships/hyperlink" Target="https://contrataciondelestado.es/wps/poc?uri=deeplink:detalle_licitacion&amp;idEvl=zhety5%2FC4wPmnwcj%2BxbdTg%3D%3D" TargetMode="External" Id="rId266"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267" /><Relationship Type="http://schemas.openxmlformats.org/officeDocument/2006/relationships/hyperlink" Target="https://contrataciondelestado.es/wps/poc?uri=deeplink:detalle_licitacion&amp;idEvl=ucwJ8fnO%2FChVkTabT%2FRM8A%3D%3D" TargetMode="External" Id="rId268" /><Relationship Type="http://schemas.openxmlformats.org/officeDocument/2006/relationships/hyperlink" Target="https://contrataciondelestado.es/FileSystem/servlet/GetDocumentByIdServlet?cifrado=QUC1GjXXSiLkydRHJBmbpw%3D%3D&amp;DocumentIdParam=HZtzec53Z%2BZkg5UdG78%2BreGuw0g5OD0f2/1bLrh91vqKZGkN46c53JFtOqM%2Bs4oPCaiZADAoeJ00gsyhG2/xe/JlvuDjl4gl5skCgirCuX7DdQD9RyhUmzT4jZ2In4zL" TargetMode="External" Id="rId269" /><Relationship Type="http://schemas.openxmlformats.org/officeDocument/2006/relationships/hyperlink" Target="https://contrataciondelestado.es/wps/poc?uri=deeplink:detalle_licitacion&amp;idEvl=1wt8EvcvNnyAAM7L03kM8A%3D%3D" TargetMode="External" Id="rId270" /><Relationship Type="http://schemas.openxmlformats.org/officeDocument/2006/relationships/hyperlink" Target="https://contrataciondelestado.es/FileSystem/servlet/GetDocumentByIdServlet?DocumentIdParam=FmZ56zt0xcd4xZ0m42B8QMHycl6ObH%2BUCbYZxHkfOg2xv/9wd4CtB0fUcE%2BluAkWw/7YOvQzXS7alnTCE/2rU1Fb2iDa14%2BsbJ28FhFCrVlJOVDbGCDM%2BMigrvuVS7Rv&amp;cifrado=QUC1GjXXSiLkydRHJBmbpw%3D%3D" TargetMode="External" Id="rId271" /><Relationship Type="http://schemas.openxmlformats.org/officeDocument/2006/relationships/hyperlink" Target="https://contrataciondelestado.es/wps/poc?uri=deeplink:detalle_licitacion&amp;idEvl=20NJzMtzC%2FLnSoTX3z%2F7wA%3D%3D" TargetMode="External" Id="rId272" /><Relationship Type="http://schemas.openxmlformats.org/officeDocument/2006/relationships/hyperlink" Target="https://contrataciondelestado.es/wps/wcm/connect/PLACE_es/Site/area/docAccCmpnt?srv=cmpnt&amp;cmpntname=GetDocumentsById&amp;source=library&amp;DocumentIdParam=cdaf9f55-a636-4f00-8d66-0a6b7b74784f" TargetMode="External" Id="rId273" /><Relationship Type="http://schemas.openxmlformats.org/officeDocument/2006/relationships/hyperlink" Target="https://contrataciondelestado.es/wps/poc?uri=deeplink:detalle_licitacion&amp;idEvl=HQJebDpmHEpVkTabT%2FRM8A%3D%3D" TargetMode="External" Id="rId274" /><Relationship Type="http://schemas.openxmlformats.org/officeDocument/2006/relationships/hyperlink" Target="https://contrataciondelestado.es/FileSystem/servlet/GetDocumentByIdServlet?cifrado=QUC1GjXXSiLkydRHJBmbpw%3D%3D&amp;DocumentIdParam=r4yEk5ux7LvrY8HuU/m1I8EO8iMHl/7z2h8h6vyki9CIpX5V9iIotHC33G9%2B2CnPKWqONiRceCIXM2gYN/8o1HU0vnfYk4no869fGS9GM5vVTD3T98KC0nSgQFM0q%2B5s" TargetMode="External" Id="rId275" /><Relationship Type="http://schemas.openxmlformats.org/officeDocument/2006/relationships/hyperlink" Target="https://contrataciondelestado.es/wps/poc?uri=deeplink:detalle_licitacion&amp;idEvl=SlOqN8gj1dSLAncw3qdZkA%3D%3D" TargetMode="External" Id="rId276" /><Relationship Type="http://schemas.openxmlformats.org/officeDocument/2006/relationships/hyperlink" Target="https://contrataciondelestado.es/FileSystem/servlet/GetDocumentByIdServlet?DocumentIdParam=VcLVhSQNsLUd/doi%2BzJbEPdmBbyIAgS3wlqe9RYn8bQBalSziGsHMJpEYNd21MkcWNSYHtqDYLwcHso%2B0Uz9Sjyu4C5hDYdAkYv9u6V055UC1/zDIE0Kw/PWNnLS0Z0z&amp;cifrado=QUC1GjXXSiLkydRHJBmbpw%3D%3D" TargetMode="External" Id="rId277" /><Relationship Type="http://schemas.openxmlformats.org/officeDocument/2006/relationships/hyperlink" Target="https://contrataciondelestado.es/wps/poc?uri=deeplink:detalle_licitacion&amp;idEvl=dqyU34FKKtHN3k3tjedSGw%3D%3D" TargetMode="External" Id="rId278" /><Relationship Type="http://schemas.openxmlformats.org/officeDocument/2006/relationships/hyperlink" Target="https://contrataciondelestado.es/FileSystem/servlet/GetDocumentByIdServlet?cifrado=QUC1GjXXSiLkydRHJBmbpw%3D%3D&amp;DocumentIdParam=c/sALy8qqjQ6gk0QrdMTvcacG3E4ObFhKd77yNJ7pE9PSxv3ucSpWbGRhXtSfynRlogDKuJA8jC7tDKTAlffOYyzgZzNGBxXRjqszOYlMTKB0nvVKRzfe4rpHcnlPhSZ" TargetMode="External" Id="rId279" /><Relationship Type="http://schemas.openxmlformats.org/officeDocument/2006/relationships/hyperlink" Target="https://contrataciondelestado.es/wps/poc?uri=deeplink:detalle_licitacion&amp;idEvl=xYmPPmZ%2FsyEtm4eBPtV6eQ%3D%3D" TargetMode="External" Id="rId280" /><Relationship Type="http://schemas.openxmlformats.org/officeDocument/2006/relationships/hyperlink" Target="https://contrataciondelestado.es/FileSystem/servlet/GetDocumentByIdServlet?cifrado=QUC1GjXXSiLkydRHJBmbpw%3D%3D&amp;DocumentIdParam=bAKn1gm3hLcZ4m7UiEu3lIJGkMP98Navbv9p3fTOgUeE7iXiQtp5D%2Bw2xyb4sSQYeCNrwTf/Z4CBMgA4FVjgVtawWXBcB25AK6phqAKulfUZyAJWGsSt0OzTSTyw9JAs" TargetMode="External" Id="rId281" /><Relationship Type="http://schemas.openxmlformats.org/officeDocument/2006/relationships/hyperlink" Target="https://contrataciondelestado.es/wps/poc?uri=deeplink:detalle_licitacion&amp;idEvl=3BGv8%2FTQdjbECtSnloz%2BZQ%3D%3D" TargetMode="External" Id="rId282"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283" /><Relationship Type="http://schemas.openxmlformats.org/officeDocument/2006/relationships/hyperlink" Target="https://contrataciondelestado.es/wps/poc?uri=deeplink:detalle_licitacion&amp;idEvl=Myxb62vHkBvpxJFXpLZ%2B2A%3D%3D" TargetMode="External" Id="rId284" /><Relationship Type="http://schemas.openxmlformats.org/officeDocument/2006/relationships/hyperlink" Target="https://contrataciondelestado.es/FileSystem/servlet/GetDocumentByIdServlet?cifrado=QUC1GjXXSiLkydRHJBmbpw%3D%3D&amp;DocumentIdParam=0vf97H8LJaBGJ%2B6FS4wxFJ3XajW3cO84Tv/V6NY46HNi1GKI0WrgSDGYAewwFdCiINOZb%2BPL5taUqSmWX%2Bv5wEImv%2BUcwGKftadyTArm26z3GVhXrFFqN7yFncy7YfRK" TargetMode="External" Id="rId285" /><Relationship Type="http://schemas.openxmlformats.org/officeDocument/2006/relationships/hyperlink" Target="https://contrataciondelestado.es/wps/poc?uri=deeplink:detalle_licitacion&amp;idEvl=j2YBe8c%2BU2WdkQsA7ROvsg%3D%3D" TargetMode="External" Id="rId286" /><Relationship Type="http://schemas.openxmlformats.org/officeDocument/2006/relationships/hyperlink" Target="https://contrataciondelestado.es/FileSystem/servlet/GetDocumentByIdServlet?DocumentIdParam=dD6mybgov6Xbi2eheRURUSsjERwq15f6W5dbR8Nynsc2fEQkOwG%2Bl36cIuzgHhv5XT7v9%2B%2BVKSCN6HLXhMPlLV/AXDszcZnoEpXspF2tgytJOVDbGCDM%2BMigrvuVS7Rv&amp;cifrado=QUC1GjXXSiLkydRHJBmbpw%3D%3D" TargetMode="External" Id="rId287" /><Relationship Type="http://schemas.openxmlformats.org/officeDocument/2006/relationships/hyperlink" Target="https://contrataciondelestado.es/wps/poc?uri=deeplink:detalle_licitacion&amp;idEvl=tVRnFsXz8%2BE36J9Lctlsuw%3D%3D" TargetMode="External" Id="rId288" /><Relationship Type="http://schemas.openxmlformats.org/officeDocument/2006/relationships/hyperlink" Target="https://contrataciondelestado.es/FileSystem/servlet/GetDocumentByIdServlet?cifrado=QUC1GjXXSiLkydRHJBmbpw%3D%3D&amp;DocumentIdParam=lnyFkqPLu/FAyXsL2o3yLKOIjTFJnybKaPRVkICX4yUP0xGH8orcQTfr/B2fBAXIAitH3mdYuplkS/a9YXAoYTDrcgPgRBgeElKRjhtN9Q5JOVDbGCDM%2BMigrvuVS7Rv" TargetMode="External" Id="rId289" /><Relationship Type="http://schemas.openxmlformats.org/officeDocument/2006/relationships/hyperlink" Target="https://contrataciondelestado.es/wps/poc?uri=deeplink:detalle_licitacion&amp;idEvl=rZPaAeW0FEQIYE3ZiZ%2BxmQ%3D%3D" TargetMode="External" Id="rId290" /><Relationship Type="http://schemas.openxmlformats.org/officeDocument/2006/relationships/hyperlink" Target="https://contrataciondelestado.es/FileSystem/servlet/GetDocumentByIdServlet?cifrado=QUC1GjXXSiLkydRHJBmbpw%3D%3D&amp;DocumentIdParam=5MfGRFMmlP8NyLFLcrWCYwAos%2BCoWEXHOAvR3V/Bqg6Z0ZDBAi7EjVuF01Q//xQTQ3uCuo7C8cvFtYQElCzV42duLp%2BY12OjKfE4uW0RUqK1aXEvq3KHa/AEHgtDrQw0" TargetMode="External" Id="rId291" /><Relationship Type="http://schemas.openxmlformats.org/officeDocument/2006/relationships/hyperlink" Target="https://contrataciondelestado.es/wps/poc?uri=deeplink:detalle_licitacion&amp;idEvl=hNyOnamJnHd9Zh%2FyRJgM8w%3D%3D" TargetMode="External" Id="rId292" /><Relationship Type="http://schemas.openxmlformats.org/officeDocument/2006/relationships/hyperlink" Target="https://contrataciondelestado.es/FileSystem/servlet/GetDocumentByIdServlet?cifrado=QUC1GjXXSiLkydRHJBmbpw%3D%3D&amp;DocumentIdParam=OuKV0fhxn/Ke2ApJnXqhutH/9EGAshtNt/yVDjptaX%2BHwxCQtBI9gDFEKKfQkQcQl2/pBsYPQTo4o%2BScd7Mduf2YBDjaShlxcTS1m%2BdTd%2B2B0nvVKRzfe4rpHcnlPhSZ" TargetMode="External" Id="rId293" /><Relationship Type="http://schemas.openxmlformats.org/officeDocument/2006/relationships/hyperlink" Target="https://contrataciondelestado.es/wps/poc?uri=deeplink:detalle_licitacion&amp;idEvl=qjXdyFzdpX%2BFQ%2FlhRK79lA%3D%3D" TargetMode="External" Id="rId294" /><Relationship Type="http://schemas.openxmlformats.org/officeDocument/2006/relationships/hyperlink" Target="https://contrataciondelestado.es/FileSystem/servlet/GetDocumentByIdServlet?cifrado=QUC1GjXXSiLkydRHJBmbpw%3D%3D&amp;DocumentIdParam=k4QW8lqBZqPhd7igVBLTMxt/qgyRcUbJqYKYdWjYry/gPE53WLU6VotOPMjsdDu9AqyItTapTwQlyvm0V04faa4vbxQnv4hfffELlYxxrHZ7QB3HKyQaFUExmUVQCerk" TargetMode="External" Id="rId295" /><Relationship Type="http://schemas.openxmlformats.org/officeDocument/2006/relationships/hyperlink" Target="https://contrataciondelestado.es/wps/poc?uri=deeplink:detalle_licitacion&amp;idEvl=rr9sX%2Fm%2B6hSOUi78BmzhOQ%3D%3D" TargetMode="External" Id="rId296"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297" /><Relationship Type="http://schemas.openxmlformats.org/officeDocument/2006/relationships/hyperlink" Target="https://contrataciondelestado.es/wps/poc?uri=deeplink:detalle_licitacion&amp;idEvl=c5gL%2FsjCVMt%2FP7lJ7Fu0SA%3D%3D" TargetMode="External" Id="rId298" /><Relationship Type="http://schemas.openxmlformats.org/officeDocument/2006/relationships/hyperlink" Target="https://contrataciondelestado.es/FileSystem/servlet/GetDocumentByIdServlet?cifrado=QUC1GjXXSiLkydRHJBmbpw%3D%3D&amp;DocumentIdParam=Sf4vIdJy9fCIuM2WgYFsj2NbJTIcvZ7BWJdUM4WOhiXcvMEYPh62Rmm%2B/mc0kQBAdcyJ4xSxXpDLzmh7RvkWFR1TMlEINAGHXQ59zEtkpauCx2e6p7hqtlp2aFupgHMr" TargetMode="External" Id="rId299" /><Relationship Type="http://schemas.openxmlformats.org/officeDocument/2006/relationships/hyperlink" Target="https://contrataciondelestado.es/wps/poc?uri=deeplink:detalle_licitacion&amp;idEvl=NmwwtRPW5Mq9Hd5zqvq9cg%3D%3D" TargetMode="External" Id="rId300" /><Relationship Type="http://schemas.openxmlformats.org/officeDocument/2006/relationships/hyperlink" Target="https://contrataciondelestado.es/FileSystem/servlet/GetDocumentByIdServlet?cifrado=QUC1GjXXSiLkydRHJBmbpw%3D%3D&amp;DocumentIdParam=aGBPSMdKhBoHVdi6zTlf4iFtK/Ty5y6gHihpx2pB2sutip%2BlJWKFBDnw7bBkUg43IDM5UfUvpEUov1b5FwFBgrb6xK/Uvyd2HzeFQxIOpx7fdyQgZAdTm3EfcUAC7CJ6" TargetMode="External" Id="rId301" /><Relationship Type="http://schemas.openxmlformats.org/officeDocument/2006/relationships/hyperlink" Target="https://contrataciondelestado.es/wps/poc?uri=deeplink:detalle_licitacion&amp;idEvl=T0cCRaYHDdr%2Fa9DgO%2BoYKQ%3D%3D" TargetMode="External" Id="rId302" /><Relationship Type="http://schemas.openxmlformats.org/officeDocument/2006/relationships/hyperlink" Target="https://contrataciondelestado.es/FileSystem/servlet/GetDocumentByIdServlet?cifrado=QUC1GjXXSiLkydRHJBmbpw%3D%3D&amp;DocumentIdParam=oHWyx2ut6vzZXEy2vIzBaMYTkJh7yR92i3fxJepcJPttSdivUCdrTJaaeS/4Tjx9rjAuHiuc2XSoGRGnr2xqw4xxAjgirqy8YN7E9x8ofn8ZyAJWGsSt0OzTSTyw9JAs" TargetMode="External" Id="rId303" /><Relationship Type="http://schemas.openxmlformats.org/officeDocument/2006/relationships/hyperlink" Target="https://contrataciondelestado.es/wps/poc?uri=deeplink:detalle_licitacion&amp;idEvl=PaAYsVrMyYT%2Fa9DgO%2BoYKQ%3D%3D" TargetMode="External" Id="rId304" /><Relationship Type="http://schemas.openxmlformats.org/officeDocument/2006/relationships/hyperlink" Target="https://contrataciondelestado.es/wps/poc?uri=deeplink:detalle_licitacion&amp;idEvl=UyJuZ5fn5kVt5r0ngvMetA%3D%3D" TargetMode="External" Id="rId305" /><Relationship Type="http://schemas.openxmlformats.org/officeDocument/2006/relationships/hyperlink" Target="https://contrataciondelestado.es/FileSystem/servlet/GetDocumentByIdServlet?cifrado=QUC1GjXXSiLkydRHJBmbpw%3D%3D&amp;DocumentIdParam=izdUCwB9INXVU9hgz1%2Bz7fPSCSAX8wSKoDo/77KrcMv5gdCydZQnFLSGAvZMiS4AVr1cDe51Iw5t9Cn5yhSfi1I5P4YD2zXE/r8NhhNO5/zfdyQgZAdTm3EfcUAC7CJ6" TargetMode="External" Id="rId306" /><Relationship Type="http://schemas.openxmlformats.org/officeDocument/2006/relationships/hyperlink" Target="https://contrataciondelestado.es/wps/poc?uri=deeplink:detalle_licitacion&amp;idEvl=bGzn1DrAfMnVGIpKDxgsAQ%3D%3D" TargetMode="External" Id="rId307" /><Relationship Type="http://schemas.openxmlformats.org/officeDocument/2006/relationships/hyperlink" Target="https://contrataciondelestado.es/FileSystem/servlet/GetDocumentByIdServlet?DocumentIdParam=L66twaJ4iVOlvKoCerDP6JqqKkE%2ByaPO8kAgC2N85HS1NXzm9UKyyyZag20BmFm/rZjwmLJ57oqpnw/KcXEH2uSOJYOU9h2af4tHr1zjaSrVTD3T98KC0nSgQFM0q%2B5s&amp;cifrado=QUC1GjXXSiLkydRHJBmbpw%3D%3D" TargetMode="External" Id="rId308" /><Relationship Type="http://schemas.openxmlformats.org/officeDocument/2006/relationships/hyperlink" Target="https://contrataciondelestado.es/wps/poc?uri=deeplink:detalle_licitacion&amp;idEvl=Rfw8%2Ffi49wYwYTJJ03sHog%3D%3D" TargetMode="External" Id="rId309" /><Relationship Type="http://schemas.openxmlformats.org/officeDocument/2006/relationships/hyperlink" Target="https://contrataciondelestado.es/FileSystem/servlet/GetDocumentByIdServlet?cifrado=QUC1GjXXSiLkydRHJBmbpw%3D%3D&amp;DocumentIdParam=S14nX20NFePV8quO9dFY%2BCw2s6/LTPXP%2Bxx%2B7Z3jb5/ETCnPEuio6P1azwIiJNzBrlNKZY%2BNi%2B%2BpQ5LttcayjuJxiHdlU/QT58n1S6fNRIJ7QB3HKyQaFUExmUVQCerk" TargetMode="External" Id="rId310" /><Relationship Type="http://schemas.openxmlformats.org/officeDocument/2006/relationships/hyperlink" Target="https://contrataciondelestado.es/wps/poc?uri=deeplink:detalle_licitacion&amp;idEvl=ma4ASEb85nvzAq95uGTrDQ%3D%3D" TargetMode="External" Id="rId311" /><Relationship Type="http://schemas.openxmlformats.org/officeDocument/2006/relationships/hyperlink" Target="https://contrataciondelestado.es/FileSystem/servlet/GetDocumentByIdServlet?cifrado=QUC1GjXXSiLkydRHJBmbpw%3D%3D&amp;DocumentIdParam=SCwaa%2BfhIJdvWeCIGozDOuF1HNB8J7sTrCrrULQlEPGAqyXJNSEx3lxnHCUTBW4tpofuyivi9zOTxn5yGDJNJYB7ixpO%2Bxr/N86LcflKA3KHAj0WEJrB5sP7amrh2jBD" TargetMode="External" Id="rId312" /><Relationship Type="http://schemas.openxmlformats.org/officeDocument/2006/relationships/hyperlink" Target="https://contrataciondelestado.es/wps/poc?uri=deeplink:detalle_licitacion&amp;idEvl=iU%2B2wUNe3QaFlFRHfEzEaw%3D%3D" TargetMode="External" Id="rId313" /><Relationship Type="http://schemas.openxmlformats.org/officeDocument/2006/relationships/hyperlink" Target="https://contrataciondelestado.es/FileSystem/servlet/GetDocumentByIdServlet?cifrado=QUC1GjXXSiLkydRHJBmbpw%3D%3D&amp;DocumentIdParam=786DHU%2B9qw6yNpvf2%2BanzSoTIjTrN0miGyuW9QWVAcPCFEJan4tbUQ2qteL2XLNhhcjFyrNi6VJgvoSc5fHP4KYa2WPgx1%2BXPHVwAAc9VBj6CYyL7SIrUOBFfNf52ZqA" TargetMode="External" Id="rId314" /><Relationship Type="http://schemas.openxmlformats.org/officeDocument/2006/relationships/hyperlink" Target="https://contrataciondelestado.es/wps/poc?uri=deeplink:detalle_licitacion&amp;idEvl=qTvc%2B2x9Ie6opEMYCmrbmw%3D%3D" TargetMode="External" Id="rId315" /><Relationship Type="http://schemas.openxmlformats.org/officeDocument/2006/relationships/hyperlink" Target="https://contrataciondelestado.es/FileSystem/servlet/GetDocumentByIdServlet?cifrado=QUC1GjXXSiLkydRHJBmbpw%3D%3D&amp;DocumentIdParam=Y/X3L1qjz6TZIVIfqq4uhnbbhcJaRCXDRThK%2BU2ehID6J9ZYh5V3JEKk8Uh4iUphq%2BjSr//AJQ3lOkTJE6B5vCZml93SYT0HTyTyN0GrwXEZyAJWGsSt0OzTSTyw9JAs" TargetMode="External" Id="rId316" /><Relationship Type="http://schemas.openxmlformats.org/officeDocument/2006/relationships/hyperlink" Target="https://contrataciondelestado.es/wps/poc?uri=deeplink:detalle_licitacion&amp;idEvl=tkw26M4CbrPCfVQHDepjGQ%3D%3D" TargetMode="External" Id="rId317" /><Relationship Type="http://schemas.openxmlformats.org/officeDocument/2006/relationships/hyperlink" Target="https://contrataciondelestado.es/FileSystem/servlet/GetDocumentByIdServlet?cifrado=QUC1GjXXSiLkydRHJBmbpw%3D%3D&amp;DocumentIdParam=funxe032b5GUOL2%2Bjq9TbNE1xMXdw19HFUCsIrcARSf3C17ZiHa9PDMjDc9hZMLSslZ9COG9QzuWjgPwnp7w1InPAj7y7kS9yNtTZKoJAdIZyAJWGsSt0OzTSTyw9JAs" TargetMode="External" Id="rId318" /><Relationship Type="http://schemas.openxmlformats.org/officeDocument/2006/relationships/hyperlink" Target="https://contrataciondelestado.es/wps/poc?uri=deeplink:detalle_licitacion&amp;idEvl=7FwhyLzmn%2BMwYTJJ03sHog%3D%3D" TargetMode="External" Id="rId319" /><Relationship Type="http://schemas.openxmlformats.org/officeDocument/2006/relationships/hyperlink" Target="https://contrataciondelestado.es/FileSystem/servlet/GetDocumentByIdServlet?cifrado=QUC1GjXXSiLkydRHJBmbpw%3D%3D&amp;DocumentIdParam=r7zDwFi1%2B/ik3Kn2mNRZcGRVzE8699f7KKPwvbFolaMeWqzPEYMxrDfGvd%2B35wOOY9uDxtWL4TijWG7fJ7otzvYNoKPhDMdL9VXysu079njDdQD9RyhUmzT4jZ2In4zL" TargetMode="External" Id="rId320" /><Relationship Type="http://schemas.openxmlformats.org/officeDocument/2006/relationships/hyperlink" Target="https://contrataciondelestado.es/wps/poc?uri=deeplink:detalle_licitacion&amp;idEvl=F56FK%2BLUm64l5NjlNci%2BtA%3D%3D" TargetMode="External" Id="rId321" /><Relationship Type="http://schemas.openxmlformats.org/officeDocument/2006/relationships/hyperlink" Target="https://contrataciondelestado.es/FileSystem/servlet/GetDocumentByIdServlet?cifrado=QUC1GjXXSiLkydRHJBmbpw%3D%3D&amp;DocumentIdParam=0jsYJyOL9qAtNknnJleZCWG/bzL8L4aAlM6opUTpLAR4y/PtJLRj07idWl%2BXa4QJ%2B4ARv806bq8wERPJdUb0IVBIz2UjnicInuChsvNhi5TDdQD9RyhUmzT4jZ2In4zL" TargetMode="External" Id="rId322" /><Relationship Type="http://schemas.openxmlformats.org/officeDocument/2006/relationships/hyperlink" Target="https://contrataciondelestado.es/wps/poc?uri=deeplink:detalle_licitacion&amp;idEvl=jEHx5LYFrB2AAM7L03kM8A%3D%3D" TargetMode="External" Id="rId323" /><Relationship Type="http://schemas.openxmlformats.org/officeDocument/2006/relationships/hyperlink" Target="https://contrataciondelestado.es/FileSystem/servlet/GetDocumentByIdServlet?cifrado=QUC1GjXXSiLkydRHJBmbpw%3D%3D&amp;DocumentIdParam=e2FmlXvkQIvf/UQi4O7nGSBgaUS%2B5vP3ACYYDMpdbRpBG0fdNZLhkefqWM68LuE/rmtwHA/M//GWP02n71tb6i0RsgZ1jpe%2B1LTmiHtf4mbfdyQgZAdTm3EfcUAC7CJ6" TargetMode="External" Id="rId324" /><Relationship Type="http://schemas.openxmlformats.org/officeDocument/2006/relationships/hyperlink" Target="https://contrataciondelestado.es/wps/poc?uri=deeplink:detalle_licitacion&amp;idEvl=qrQr7AH7X14Xhk1FZxEyvw%3D%3D" TargetMode="External" Id="rId325" /><Relationship Type="http://schemas.openxmlformats.org/officeDocument/2006/relationships/hyperlink" Target="https://contrataciondelestado.es/FileSystem/servlet/GetDocumentByIdServlet?cifrado=QUC1GjXXSiLkydRHJBmbpw%3D%3D&amp;DocumentIdParam=Ha3qTsZfFMim3CNnKzBYy5sRJJACg9FAj3pH1rSW9EoDKfedF/YzM04z68OM9gvUKnqEeMcrLg7ov4NEj6Rf25LGlTaYecg3U5VmtrQ9WtyB0nvVKRzfe4rpHcnlPhSZ" TargetMode="External" Id="rId326" /><Relationship Type="http://schemas.openxmlformats.org/officeDocument/2006/relationships/hyperlink" Target="https://contrataciondelestado.es/wps/poc?uri=deeplink:detalle_licitacion&amp;idEvl=DrPmzDZYBPg3vLk2DU2Ddg%3D%3D" TargetMode="External" Id="rId327"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328" /><Relationship Type="http://schemas.openxmlformats.org/officeDocument/2006/relationships/hyperlink" Target="https://contrataciondelestado.es/wps/poc?uri=deeplink:detalle_licitacion&amp;idEvl=llwoI%2FCd5czzAq95uGTrDQ%3D%3D" TargetMode="External" Id="rId329" /><Relationship Type="http://schemas.openxmlformats.org/officeDocument/2006/relationships/hyperlink" Target="https://contrataciondelestado.es/FileSystem/servlet/GetDocumentByIdServlet?cifrado=QUC1GjXXSiLkydRHJBmbpw%3D%3D&amp;DocumentIdParam=rH7fUm1vbDB1bR4K4g5JdikcGS26Kf7T8H0ojG91sq75hw16n8KunaEcuO4/cjpuagkiBORxFwN0mS1%2B9mawR%2B1m1wP2JhiyLtfzb19os976CYyL7SIrUOBFfNf52ZqA" TargetMode="External" Id="rId330" /><Relationship Type="http://schemas.openxmlformats.org/officeDocument/2006/relationships/hyperlink" Target="https://contrataciondelestado.es/wps/poc?uri=deeplink:detalle_licitacion&amp;idEvl=TSAPTRtvAOCdkQsA7ROvsg%3D%3D" TargetMode="External" Id="rId331" /><Relationship Type="http://schemas.openxmlformats.org/officeDocument/2006/relationships/hyperlink" Target="https://contrataciondelestado.es/FileSystem/servlet/GetDocumentByIdServlet?cifrado=QUC1GjXXSiLkydRHJBmbpw%3D%3D&amp;DocumentIdParam=zeEGQUeyZ6sW20AcQiOPviROmOR9MqEzLCRJjF/W8ayG9EzTYscucv5fCJX5DTUBu0usSFNCdoXiaDeptgrLW63klP/6BW24TIvBrjrzeYh45ClyWkoJ44mKM70IFcOu" TargetMode="External" Id="rId332" /><Relationship Type="http://schemas.openxmlformats.org/officeDocument/2006/relationships/hyperlink" Target="https://contrataciondelestado.es/wps/poc?uri=deeplink:detalle_licitacion&amp;idEvl=Tpq1utGtj9J%2FR5QFTlaM4A%3D%3D" TargetMode="External" Id="rId333"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334" /><Relationship Type="http://schemas.openxmlformats.org/officeDocument/2006/relationships/hyperlink" Target="https://contrataciondelestado.es/wps/poc?uri=deeplink:detalle_licitacion&amp;idEvl=9Qi6%2B2K2nFv9pbnDwlaUlg%3D%3D" TargetMode="External" Id="rId335"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336" /><Relationship Type="http://schemas.openxmlformats.org/officeDocument/2006/relationships/hyperlink" Target="https://contrataciondelestado.es/wps/poc?uri=deeplink:detalle_licitacion&amp;idEvl=ZsUXw5ChLKizz8fXU2i3eQ%3D%3D" TargetMode="External" Id="rId337" /><Relationship Type="http://schemas.openxmlformats.org/officeDocument/2006/relationships/hyperlink" Target="https://contrataciondelestado.es/FileSystem/servlet/GetDocumentByIdServlet?cifrado=QUC1GjXXSiLkydRHJBmbpw%3D%3D&amp;DocumentIdParam=1VR3hOvsmzk2BkeZftdMtKP7MeXZhY/MPbnksLKV12RSiU14izBEz9bbLPBxHamtInghSj6nyQms4JS3e8And8k2nHtdp9oqjsOBy2uRXS76CYyL7SIrUOBFfNf52ZqA" TargetMode="External" Id="rId338" /><Relationship Type="http://schemas.openxmlformats.org/officeDocument/2006/relationships/hyperlink" Target="https://contrataciondelestado.es/wps/poc?uri=deeplink:detalle_licitacion&amp;idEvl=%2FUTIL4IjFRp70UvEyYJSGw%3D%3D" TargetMode="External" Id="rId339" /><Relationship Type="http://schemas.openxmlformats.org/officeDocument/2006/relationships/hyperlink" Target="https://contrataciondelestado.es/FileSystem/servlet/GetDocumentByIdServlet?cifrado=QUC1GjXXSiLkydRHJBmbpw%3D%3D&amp;DocumentIdParam=eas3y0Sf7eciAUpg7Nad5wIqLRZDhNJQF7zsDoJCsoYoJi4pxXMOxhG7/3H/quxWwXYwM/CjaktK7MtOuXnYg9Nwd9RZDHzKSbcp91GN5th7QB3HKyQaFUExmUVQCerk" TargetMode="External" Id="rId340" /><Relationship Type="http://schemas.openxmlformats.org/officeDocument/2006/relationships/hyperlink" Target="https://contrataciondelestado.es/wps/poc?uri=deeplink:detalle_licitacion&amp;idEvl=2L7RFJG7gzEkJPJS%2BPS9vg%3D%3D" TargetMode="External" Id="rId341" /><Relationship Type="http://schemas.openxmlformats.org/officeDocument/2006/relationships/hyperlink" Target="https://contrataciondelestado.es/FileSystem/servlet/GetDocumentByIdServlet?cifrado=QUC1GjXXSiLkydRHJBmbpw%3D%3D&amp;DocumentIdParam=Uka7iGGv2EvL2iPTVISCvRSSayvh46NahdoC2R6ozEiCyYwSFwYGaSJGAAXBgI7XUD9USSP5nJl3cMxCNLa/lyCmNbJTm6Z%2BEseO5RD/aB2B0nvVKRzfe4rpHcnlPhSZ" TargetMode="External" Id="rId342" /><Relationship Type="http://schemas.openxmlformats.org/officeDocument/2006/relationships/hyperlink" Target="https://contrataciondelestado.es/wps/poc?uri=deeplink:detalle_licitacion&amp;idEvl=Be%2FSow2xetri0Kd8%2Brcp6w%3D%3D" TargetMode="External" Id="rId343"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344" /><Relationship Type="http://schemas.openxmlformats.org/officeDocument/2006/relationships/hyperlink" Target="https://contrataciondelestado.es/wps/poc?uri=deeplink:detalle_licitacion&amp;idEvl=ExSMOnymFb2KeVWTb9Scog%3D%3D" TargetMode="External" Id="rId345" /><Relationship Type="http://schemas.openxmlformats.org/officeDocument/2006/relationships/hyperlink" Target="https://contrataciondelestado.es/FileSystem/servlet/GetDocumentByIdServlet?cifrado=QUC1GjXXSiLkydRHJBmbpw%3D%3D&amp;DocumentIdParam=43uicL5ER3ZiXZiTUJscLs8R78fFXUULILd%2BUpin40WEacQk43bLx6uLtwdy9dOTc1XE747YaZ0LYBdxirZCxID4NCMBEuhFl6T/BwmY0lfVTD3T98KC0nSgQFM0q%2B5s" TargetMode="External" Id="rId346" /><Relationship Type="http://schemas.openxmlformats.org/officeDocument/2006/relationships/hyperlink" Target="https://contrataciondelestado.es/wps/poc?uri=deeplink:detalle_licitacion&amp;idEvl=Tfq5WEVf26txseVhcqrkhw%3D%3D" TargetMode="External" Id="rId347"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348" /><Relationship Type="http://schemas.openxmlformats.org/officeDocument/2006/relationships/hyperlink" Target="https://contrataciondelestado.es/wps/poc?uri=deeplink:detalle_licitacion&amp;idEvl=OYjVSwYi0SYkJPJS%2BPS9vg%3D%3D" TargetMode="External" Id="rId349" /><Relationship Type="http://schemas.openxmlformats.org/officeDocument/2006/relationships/hyperlink" Target="https://contrataciondelestado.es/FileSystem/servlet/GetDocumentByIdServlet?cifrado=QUC1GjXXSiLkydRHJBmbpw%3D%3D&amp;DocumentIdParam=fhcoW3jHPoLmSnlKY8v1zi7F3aFj%2BBqv1vGD4WNXAhxnhUydiZVaNnhHvagJ8CVUzBWUqL93Hce%2BPpHs2FwS8VEtYDp0WLIrYZL4ouydmjLDdQD9RyhUmzT4jZ2In4zL" TargetMode="External" Id="rId350" /><Relationship Type="http://schemas.openxmlformats.org/officeDocument/2006/relationships/hyperlink" Target="https://contrataciondelestado.es/wps/poc?uri=deeplink:detalle_licitacion&amp;idEvl=SoHgriVAxU0ZDGvgaZEVxQ%3D%3D" TargetMode="External" Id="rId351" /><Relationship Type="http://schemas.openxmlformats.org/officeDocument/2006/relationships/hyperlink" Target="https://contrataciondelestado.es/FileSystem/servlet/GetDocumentByIdServlet?cifrado=QUC1GjXXSiLkydRHJBmbpw%3D%3D&amp;DocumentIdParam=Ap9SKqM6eXPdjicl/DzZ3%2BJ2zfXj%2BxNu316E0P97ns/Mib46LXbMndu47ZS4mK2smi1RdWYwm5seaPu44oqRuJJpUhq0L8Djwr4MKWm%2B3gkZyAJWGsSt0OzTSTyw9JAs" TargetMode="External" Id="rId352" /><Relationship Type="http://schemas.openxmlformats.org/officeDocument/2006/relationships/hyperlink" Target="https://contrataciondelestado.es/wps/poc?uri=deeplink:detalle_licitacion&amp;idEvl=zUVHUc0JZMNq1DdmE7eaXg%3D%3D" TargetMode="External" Id="rId353" /><Relationship Type="http://schemas.openxmlformats.org/officeDocument/2006/relationships/hyperlink" Target="https://contrataciondelestado.es/FileSystem/servlet/GetDocumentByIdServlet?cifrado=QUC1GjXXSiLkydRHJBmbpw%3D%3D&amp;DocumentIdParam=o45v/vZNx91sLlZ1%2BVkuQRDuUvodUivqjbQ1TjFPZQR2OXIiZ9kuK6mgkXgPrSoMTOKCJXxswAoysE5qq7LLtAdxykbXMQGJEt%2BN69ujhkyCx2e6p7hqtlp2aFupgHMr" TargetMode="External" Id="rId354" /><Relationship Type="http://schemas.openxmlformats.org/officeDocument/2006/relationships/hyperlink" Target="https://contrataciondelestado.es/wps/poc?uri=deeplink:detalle_licitacion&amp;idEvl=dcjypY2O7YHi0Kd8%2Brcp6w%3D%3D" TargetMode="External" Id="rId355" /><Relationship Type="http://schemas.openxmlformats.org/officeDocument/2006/relationships/hyperlink" Target="https://contrataciondelestado.es/FileSystem/servlet/GetDocumentByIdServlet?cifrado=QUC1GjXXSiLkydRHJBmbpw%3D%3D&amp;DocumentIdParam=lNCx0gn0PCb7qJWgsa6QZ1EosHBhnJxDjIPnphC%2Brt7Kxhutte5obpCs8GkjtKsGoVRtxrMZJZjGcm3cq167aR3S8BP/%2BOMFGwIhe2nS87P3GVhXrFFqN7yFncy7YfRK" TargetMode="External" Id="rId356" /><Relationship Type="http://schemas.openxmlformats.org/officeDocument/2006/relationships/hyperlink" Target="https://contrataciondelestado.es/wps/poc?uri=deeplink:detalle_licitacion&amp;idEvl=FjnKAyia99hLAIVZdUs8KA%3D%3D" TargetMode="External" Id="rId357"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358" /><Relationship Type="http://schemas.openxmlformats.org/officeDocument/2006/relationships/hyperlink" Target="https://contrataciondelestado.es/wps/poc?uri=deeplink:detalle_licitacion&amp;idEvl=o4iQsT0mwtP9pbnDwlaUlg%3D%3D" TargetMode="External" Id="rId359" /><Relationship Type="http://schemas.openxmlformats.org/officeDocument/2006/relationships/hyperlink" Target="https://contrataciondelestado.es/FileSystem/servlet/GetDocumentByIdServlet?cifrado=QUC1GjXXSiLkydRHJBmbpw%3D%3D&amp;DocumentIdParam=Y/X3L1qjz6TZIVIfqq4uhmaj2UK5Yf1yxXsM8vCTZQgJOPr%2BaVUcNWoscHx10QIS%2Bg40MYqLNSstzftsrBSZcLn1G14CgOp1GkzwWfx8wzk//q7NB2iMZvNyf0xrJmjt" TargetMode="External" Id="rId360" /><Relationship Type="http://schemas.openxmlformats.org/officeDocument/2006/relationships/hyperlink" Target="https://contrataciondelestado.es/wps/poc?uri=deeplink:detalle_licitacion&amp;idEvl=sOTshav9qdfL1rX3q%2FMAPA%3D%3D" TargetMode="External" Id="rId361" /><Relationship Type="http://schemas.openxmlformats.org/officeDocument/2006/relationships/hyperlink" Target="https://contrataciondelestado.es/FileSystem/servlet/GetDocumentByIdServlet?cifrado=QUC1GjXXSiLkydRHJBmbpw%3D%3D&amp;DocumentIdParam=/nD63Z7Ap/aH0nh4XQgfG6wW94dy%2BzOyNuYTc1JTU24k1kZm4G4iKLyYruyoeBD7uitS01fkjP6VyUJG0Jm5p/9kd6tCkt3BV%2Bo1fuZVBWy1aXEvq3KHa/AEHgtDrQw0" TargetMode="External" Id="rId362" /><Relationship Type="http://schemas.openxmlformats.org/officeDocument/2006/relationships/hyperlink" Target="https://contrataciondelestado.es/wps/poc?uri=deeplink:detalle_licitacion&amp;idEvl=hmbllBwQGjR9Zh%2FyRJgM8w%3D%3D" TargetMode="External" Id="rId363" /><Relationship Type="http://schemas.openxmlformats.org/officeDocument/2006/relationships/hyperlink" Target="https://contrataciondelestado.es/FileSystem/servlet/GetDocumentByIdServlet?cifrado=QUC1GjXXSiLkydRHJBmbpw%3D%3D&amp;DocumentIdParam=AJLw7QuR22eqzjSDszstoVcf%2BX532Fq6dYHJV0Erbrl0blcUV7kH0jyHw2/nqooWEscSpkYe9y4RiFNs2oLw3EDu61ZtR29u/E8eYUgcaK/6CYyL7SIrUOBFfNf52ZqA" TargetMode="External" Id="rId364" /><Relationship Type="http://schemas.openxmlformats.org/officeDocument/2006/relationships/hyperlink" Target="https://contrataciondelestado.es/wps/poc?uri=deeplink:detalle_licitacion&amp;idEvl=KbPRjiekqoj%2Fa9DgO%2BoYKQ%3D%3D" TargetMode="External" Id="rId365" /><Relationship Type="http://schemas.openxmlformats.org/officeDocument/2006/relationships/hyperlink" Target="https://contrataciondelestado.es/FileSystem/servlet/GetDocumentByIdServlet?cifrado=QUC1GjXXSiLkydRHJBmbpw%3D%3D&amp;DocumentIdParam=xVwpZ5uU6G4ID7maAL%2BXFvYl1CAryrpXYDkcR1OtOvgj5ZY9BK6Y4DU%2BeRy575OFDIvHq%2Bx4DBrokuEM1nB2q2Zd0DRjlfdjC%2BwuYmbg9bm1aXEvq3KHa/AEHgtDrQw0" TargetMode="External" Id="rId366" /><Relationship Type="http://schemas.openxmlformats.org/officeDocument/2006/relationships/hyperlink" Target="https://contrataciondelestado.es/wps/poc?uri=deeplink:detalle_licitacion&amp;idEvl=7D4%2B63Ehj26S81gZFETWmA%3D%3D" TargetMode="External" Id="rId367" /><Relationship Type="http://schemas.openxmlformats.org/officeDocument/2006/relationships/hyperlink" Target="https://contrataciondelestado.es/FileSystem/servlet/GetDocumentByIdServlet?DocumentIdParam=HuogVdNvBrP7tydHpeRBuIEShBcM0mzF93U8PFsQF7mgTTZWbu3kmKRk46xHnImlt3iWvd9MfkRljhlEIeoAgv8k13hfynEBNcXy%2BB/ymoz6CYyL7SIrUOBFfNf52ZqA&amp;cifrado=QUC1GjXXSiLkydRHJBmbpw%3D%3D" TargetMode="External" Id="rId368" /><Relationship Type="http://schemas.openxmlformats.org/officeDocument/2006/relationships/hyperlink" Target="https://contrataciondelestado.es/wps/poc?uri=deeplink:detalle_licitacion&amp;idEvl=%2FFhKssV8%2BoGHCIsjvJ3rhQ%3D%3D" TargetMode="External" Id="rId369" /><Relationship Type="http://schemas.openxmlformats.org/officeDocument/2006/relationships/hyperlink" Target="https://contrataciondelestado.es/FileSystem/servlet/GetDocumentByIdServlet?cifrado=QUC1GjXXSiLkydRHJBmbpw%3D%3D&amp;DocumentIdParam=9WvdLjcDwyDSTC4%2B/%2BAXavcatryi3HdUs90d77GxG/ukTc%2BK8PL0Y%2BKwqKSqidH9p/wJLS1BBX%2B4UluHqkidjxkyslL8j5TQeWQ/8FQ%2BCUVt/o8fNevwsujgRzaBbugn" TargetMode="External" Id="rId370" /><Relationship Type="http://schemas.openxmlformats.org/officeDocument/2006/relationships/hyperlink" Target="https://contrataciondelestado.es/wps/poc?uri=deeplink:detalle_licitacion&amp;idEvl=0BlrAeB62%2FDE6P%2FuLemXRw%3D%3D" TargetMode="External" Id="rId371" /><Relationship Type="http://schemas.openxmlformats.org/officeDocument/2006/relationships/hyperlink" Target="https://contrataciondelestado.es/FileSystem/servlet/GetDocumentByIdServlet?cifrado=QUC1GjXXSiLkydRHJBmbpw%3D%3D&amp;DocumentIdParam=A6oIeAl%2B48aRD0JutJBzyFdUclNFaXUwpSjvQQeCcHAtc4ZLIL6hpCtpNwqxRD48DTdnYVwekSgqbCVI37VOpFhQD10zOz5jE05ROUxc5KN7QB3HKyQaFUExmUVQCerk" TargetMode="External" Id="rId372" /><Relationship Type="http://schemas.openxmlformats.org/officeDocument/2006/relationships/hyperlink" Target="https://contrataciondelestado.es/wps/poc?uri=deeplink:detalle_licitacion&amp;idEvl=0nnnG7F12V%2BP%2Bo96UAV7cQ%3D%3D" TargetMode="External" Id="rId373" /><Relationship Type="http://schemas.openxmlformats.org/officeDocument/2006/relationships/hyperlink" Target="https://contrataciondelestado.es/FileSystem/servlet/GetDocumentByIdServlet?cifrado=QUC1GjXXSiLkydRHJBmbpw%3D%3D&amp;DocumentIdParam=lPCSe41tzmpo9ToOP2HdbVgfe%2BrCVsQvVeRecNDySQh5XvGpHP5e/lK1vBYxPknffoNk82bXouUMn9xQXbZyGaOAM/lzWfiOCI/0WoDmVA8ZyAJWGsSt0OzTSTyw9JAs" TargetMode="External" Id="rId374" /><Relationship Type="http://schemas.openxmlformats.org/officeDocument/2006/relationships/hyperlink" Target="https://contrataciondelestado.es/wps/poc?uri=deeplink:detalle_licitacion&amp;idEvl=4PhHJRh9XODgL1BHd3qjQA%3D%3D" TargetMode="External" Id="rId375" /><Relationship Type="http://schemas.openxmlformats.org/officeDocument/2006/relationships/hyperlink" Target="https://contrataciondelestado.es/FileSystem/servlet/GetDocumentByIdServlet?cifrado=QUC1GjXXSiLkydRHJBmbpw%3D%3D&amp;DocumentIdParam=eAziiYspsPdqSLBdSOFpF/63UH0JaVvxB8P3U93hanijyuNc%2Bd/sy9XtQhr6J1BaMduBmK66yVr2ZNmcDasdY5UrKEMDn9I/uJDmWIhK35J7QB3HKyQaFUExmUVQCerk" TargetMode="External" Id="rId376" /><Relationship Type="http://schemas.openxmlformats.org/officeDocument/2006/relationships/hyperlink" Target="https://contrataciondelestado.es/wps/poc?uri=deeplink:detalle_licitacion&amp;idEvl=3Qp%2B1KD2FaEeIBJRHQiPkQ%3D%3D" TargetMode="External" Id="rId377" /><Relationship Type="http://schemas.openxmlformats.org/officeDocument/2006/relationships/hyperlink" Target="https://contrataciondelestado.es/FileSystem/servlet/GetDocumentByIdServlet?cifrado=QUC1GjXXSiLkydRHJBmbpw%3D%3D&amp;DocumentIdParam=NBgtra1Y4crwh5zPrIsm/3%2BLsX5/cY7JPnvXYw6kJ3ZQoVfDtKuh7MdF49yCVFvyvKmpvoXT7uvoSSq817hSg0HbdP6Zw8f59w69Yc4nlZ8//q7NB2iMZvNyf0xrJmjt" TargetMode="External" Id="rId378" /><Relationship Type="http://schemas.openxmlformats.org/officeDocument/2006/relationships/hyperlink" Target="https://contrataciondelestado.es/wps/poc?uri=deeplink:detalle_licitacion&amp;idEvl=0WtgA11XA4ES7pcxhTeWOg%3D%3D" TargetMode="External" Id="rId379" /><Relationship Type="http://schemas.openxmlformats.org/officeDocument/2006/relationships/hyperlink" Target="https://contrataciondelestado.es/FileSystem/servlet/GetDocumentByIdServlet?cifrado=QUC1GjXXSiLkydRHJBmbpw%3D%3D&amp;DocumentIdParam=tg4YL/xZM2zdCii/a9/vZRvwrUll%2B%2Bch8LpwtcseYnORhHj0iFKbErsoGjToF6jmFZKDIkORxCVaiGsL4dFlFQ8doTWPZk1dqxllrwPz024ZyAJWGsSt0OzTSTyw9JAs" TargetMode="External" Id="rId380" /><Relationship Type="http://schemas.openxmlformats.org/officeDocument/2006/relationships/hyperlink" Target="https://contrataciondelestado.es/wps/poc?uri=deeplink:detalle_licitacion&amp;idEvl=6VPslagkI2ZSYrkJkLlFdw%3D%3D" TargetMode="External" Id="rId381" /><Relationship Type="http://schemas.openxmlformats.org/officeDocument/2006/relationships/hyperlink" Target="https://contrataciondelestado.es/FileSystem/servlet/GetDocumentByIdServlet?cifrado=QUC1GjXXSiLkydRHJBmbpw%3D%3D&amp;DocumentIdParam=GcQGv10t9hqheTbPdLUg4VTtOQWOLE0WHcapToA2zJdz%2BFBzluDomlyeId4yeNXEzUAWPB1QqLoQ1bBl5RDcNp%2BiWSFn4KzfzTNRRrEMt4OHAj0WEJrB5sP7amrh2jBD" TargetMode="External" Id="rId382" /><Relationship Type="http://schemas.openxmlformats.org/officeDocument/2006/relationships/hyperlink" Target="https://contrataciondelestado.es/wps/poc?uri=deeplink:detalle_licitacion&amp;idEvl=q60wjHm%2B9dkzjChw4z%2FXvw%3D%3D" TargetMode="External" Id="rId383" /><Relationship Type="http://schemas.openxmlformats.org/officeDocument/2006/relationships/hyperlink" Target="https://contrataciondelestado.es/FileSystem/servlet/GetDocumentByIdServlet?cifrado=QUC1GjXXSiLkydRHJBmbpw%3D%3D&amp;DocumentIdParam=x2mZtkHmWVwQ3Z5LHrFE6w4/390YBsDPQE1o8IRujqGhYl/yFk5MtjVUcajbbDngGI3aFgPvzKoG173/TokJ7BpN1OHbpqpiwKcuhMvxdDbVTD3T98KC0nSgQFM0q%2B5s" TargetMode="External" Id="rId384" /><Relationship Type="http://schemas.openxmlformats.org/officeDocument/2006/relationships/hyperlink" Target="https://contrataciondelestado.es/wps/poc?uri=deeplink:detalle_licitacion&amp;idEvl=%2F5QEuMMaSjOHCIsjvJ3rhQ%3D%3D" TargetMode="External" Id="rId385" /><Relationship Type="http://schemas.openxmlformats.org/officeDocument/2006/relationships/hyperlink" Target="https://contrataciondelestado.es/FileSystem/servlet/GetDocumentByIdServlet?cifrado=QUC1GjXXSiLkydRHJBmbpw%3D%3D&amp;DocumentIdParam=43uicL5ER3ZiXZiTUJscLg4%2B/5k66LEzeoZsnbVYCten9%2Bz8T2kd4XmLLJJ%2BkF5nGLPDOmHyDXi4Pod4sfcUFSAbcV5qqOb2Y7D%2BU6LT83fVTD3T98KC0nSgQFM0q%2B5s" TargetMode="External" Id="rId386" /><Relationship Type="http://schemas.openxmlformats.org/officeDocument/2006/relationships/hyperlink" Target="https://contrataciondelestado.es/wps/poc?uri=deeplink:detalle_licitacion&amp;idEvl=ec79%2BdQiTMDzAq95uGTrDQ%3D%3D" TargetMode="External" Id="rId387" /><Relationship Type="http://schemas.openxmlformats.org/officeDocument/2006/relationships/hyperlink" Target="https://contrataciondelestado.es/FileSystem/servlet/GetDocumentByIdServlet?cifrado=QUC1GjXXSiLkydRHJBmbpw%3D%3D&amp;DocumentIdParam=FF1ieH3qvPvnwIE7XvTUBQJAgeXZmJlNxKSbvz4eZDFbVjYniuIigm6jcQYxZk4tLs5PnhUqSEb4loEK62QrQWA8dOoqJFoSGKZvsb/QvNxJOVDbGCDM%2BMigrvuVS7Rv" TargetMode="External" Id="rId388" /><Relationship Type="http://schemas.openxmlformats.org/officeDocument/2006/relationships/hyperlink" Target="https://contrataciondelestado.es/wps/poc?uri=deeplink:detalle_licitacion&amp;idEvl=8ITqUJEHCxJPpzdqOdhuWg%3D%3D" TargetMode="External" Id="rId389"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390" /><Relationship Type="http://schemas.openxmlformats.org/officeDocument/2006/relationships/hyperlink" Target="https://contrataciondelestado.es/wps/poc?uri=deeplink:detalle_licitacion&amp;idEvl=XLtU5WvfxV%2FIGlsa0Wad%2Bw%3D%3D" TargetMode="External" Id="rId391" /><Relationship Type="http://schemas.openxmlformats.org/officeDocument/2006/relationships/hyperlink" Target="https://contrataciondelestado.es/FileSystem/servlet/GetDocumentByIdServlet?cifrado=QUC1GjXXSiLkydRHJBmbpw%3D%3D&amp;DocumentIdParam=4ypWlElHA4s7tx4DvlXYdPFo%2BnZXtKGrsEW%2BHD5Zk9j13tzTbk3dr0LbUxIqEU%2B7v%2B5%2BDec5PjjfuDkvlzYtbereg/nICfs7fLVg48o5YQf6CYyL7SIrUOBFfNf52ZqA" TargetMode="External" Id="rId392" /><Relationship Type="http://schemas.openxmlformats.org/officeDocument/2006/relationships/hyperlink" Target="https://contrataciondelestado.es/wps/poc?uri=deeplink:detalle_licitacion&amp;idEvl=OW%2BbBn4ag80zjChw4z%2FXvw%3D%3D" TargetMode="External" Id="rId393" /><Relationship Type="http://schemas.openxmlformats.org/officeDocument/2006/relationships/hyperlink" Target="https://contrataciondelestado.es/FileSystem/servlet/GetDocumentByIdServlet?cifrado=QUC1GjXXSiLkydRHJBmbpw%3D%3D&amp;DocumentIdParam=KVJrbK/kWcXilh88xkjyEYfZ4A9hzxS85KOhIbEfU8rw5jMUACyF2ojzvfpzOrre7X7pSkQFg1dey8PCGgFmc7fjjcVOkwvq2BzbS8v6k1tJOVDbGCDM%2BMigrvuVS7Rv" TargetMode="External" Id="rId394" /><Relationship Type="http://schemas.openxmlformats.org/officeDocument/2006/relationships/hyperlink" Target="https://contrataciondelestado.es/wps/poc?uri=deeplink:detalle_licitacion&amp;idEvl=cMeGEqD9NXV9Zh%2FyRJgM8w%3D%3D" TargetMode="External" Id="rId395" /><Relationship Type="http://schemas.openxmlformats.org/officeDocument/2006/relationships/hyperlink" Target="https://contrataciondelestado.es/FileSystem/servlet/GetDocumentByIdServlet?cifrado=QUC1GjXXSiLkydRHJBmbpw%3D%3D&amp;DocumentIdParam=o/QaVMI52Ol7JIzcwhRaheyADsMpkbGSskwIrwnoLzLY1uhstmrHdtB7gypfn8jtmCN6gSQCT9prKxVhFX8QNt8/P/5pjr%2BEvj3Jx96CrgCHAj0WEJrB5sP7amrh2jBD" TargetMode="External" Id="rId396" /><Relationship Type="http://schemas.openxmlformats.org/officeDocument/2006/relationships/hyperlink" Target="https://contrataciondelestado.es/wps/poc?uri=deeplink:detalle_licitacion&amp;idEvl=nMXx4wEid4AeC9GJQOEBkQ%3D%3D" TargetMode="External" Id="rId397" /><Relationship Type="http://schemas.openxmlformats.org/officeDocument/2006/relationships/hyperlink" Target="https://contrataciondelestado.es/FileSystem/servlet/GetDocumentByIdServlet?cifrado=QUC1GjXXSiLkydRHJBmbpw%3D%3D&amp;DocumentIdParam=83oVTpRmxiO/2TL2JyZDXsR5sUUdaBs8NBkk53kdUH8rU2O9j5NIrnx%2BUN1%2BySHrbCWz5aIUXWe1CaPP1Cyhal8/WZ4gZTUfPxGFckFYIRY//q7NB2iMZvNyf0xrJmjt" TargetMode="External" Id="rId398" /><Relationship Type="http://schemas.openxmlformats.org/officeDocument/2006/relationships/hyperlink" Target="https://contrataciondelestado.es/wps/poc?uri=deeplink:detalle_licitacion&amp;idEvl=MgjOjzuhKWPECtSnloz%2BZQ%3D%3D" TargetMode="External" Id="rId399"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400" /><Relationship Type="http://schemas.openxmlformats.org/officeDocument/2006/relationships/hyperlink" Target="https://contrataciondelestado.es/wps/poc?uri=deeplink:detalle_licitacion&amp;idEvl=F%2FZXf4Ayy%2Fs3vLk2DU2Ddg%3D%3D" TargetMode="External" Id="rId401"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402" /><Relationship Type="http://schemas.openxmlformats.org/officeDocument/2006/relationships/hyperlink" Target="https://contrataciondelestado.es/wps/poc?uri=deeplink:detalle_licitacion&amp;idEvl=pzCdyhnFs1%2BFlFRHfEzEaw%3D%3D" TargetMode="External" Id="rId403"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404" /><Relationship Type="http://schemas.openxmlformats.org/officeDocument/2006/relationships/hyperlink" Target="https://contrataciondelestado.es/wps/poc?uri=deeplink:detalle_licitacion&amp;idEvl=dqZIg%2BX%2BojQkJPJS%2BPS9vg%3D%3D" TargetMode="External" Id="rId405" /><Relationship Type="http://schemas.openxmlformats.org/officeDocument/2006/relationships/hyperlink" Target="https://contrataciondelestado.es/FileSystem/servlet/GetDocumentByIdServlet?cifrado=QUC1GjXXSiLkydRHJBmbpw%3D%3D&amp;DocumentIdParam=%2BRAj2ZdRCMd1fjKvL7AUzSfItRAwBvftDinGdAZQ1ioZsQw/LabhFKYphYkxZbrtM8rw7hsZ/Mv5BVKFUu4zO88MagZNt%2BTU%2B3titJ/mO13VTD3T98KC0nSgQFM0q%2B5s" TargetMode="External" Id="rId406" /><Relationship Type="http://schemas.openxmlformats.org/officeDocument/2006/relationships/hyperlink" Target="https://contrataciondelestado.es/wps/poc?uri=deeplink:detalle_licitacion&amp;idEvl=Bs1asDtYo8kXhk1FZxEyvw%3D%3D" TargetMode="External" Id="rId407" /><Relationship Type="http://schemas.openxmlformats.org/officeDocument/2006/relationships/hyperlink" Target="https://contrataciondelestado.es/FileSystem/servlet/GetDocumentByIdServlet?cifrado=QUC1GjXXSiLkydRHJBmbpw%3D%3D&amp;DocumentIdParam=95JoZpErC4BhVP2SHxcgzmIKuxkwQgl2l8QQ0bPuBBbPkur5VbHGDc6eDZ2BhPlfdLQk6mrOO/2YROU6Vi91Xk19/tCxAxP92pNmOaDk9K5t/o8fNevwsujgRzaBbugn" TargetMode="External" Id="rId408" /><Relationship Type="http://schemas.openxmlformats.org/officeDocument/2006/relationships/hyperlink" Target="https://contrataciondelestado.es/wps/poc?uri=deeplink:detalle_licitacion&amp;idEvl=QkGueFkUjcXpxJFXpLZ%2B2A%3D%3D" TargetMode="External" Id="rId409" /><Relationship Type="http://schemas.openxmlformats.org/officeDocument/2006/relationships/hyperlink" Target="https://contrataciondelestado.es/FileSystem/servlet/GetDocumentByIdServlet?cifrado=QUC1GjXXSiLkydRHJBmbpw%3D%3D&amp;DocumentIdParam=cG7B%2Bpa2VgJx6Zj2b4RZBbOV80uI87%2BtF2pAevoWZmysdXlerBXsuLvwMQ38iJiAMcNE4L9dUSgiAG6bPUNJfE8jvpc7E2d4TmEIeWsoxkBJOVDbGCDM%2BMigrvuVS7Rv" TargetMode="External" Id="rId410" /><Relationship Type="http://schemas.openxmlformats.org/officeDocument/2006/relationships/hyperlink" Target="https://contrataciondelestado.es/wps/poc?uri=deeplink:detalle_licitacion&amp;idEvl=dAL2LP4gszo%2Bk2oCbDosIw%3D%3D" TargetMode="External" Id="rId411" /><Relationship Type="http://schemas.openxmlformats.org/officeDocument/2006/relationships/hyperlink" Target="https://contrataciondelestado.es/FileSystem/servlet/GetDocumentByIdServlet?cifrado=QUC1GjXXSiLkydRHJBmbpw%3D%3D&amp;DocumentIdParam=YjChuvJzZXU%2Bin9w6HCdmdrQIjYB40ETXyunpkMneSI29ZPfM92lxCaGe7/sU2bJH/uXxWflXlsCb%2BHB/KqKM/wFtaD%2B0bxndr4BrMCrL0c//q7NB2iMZvNyf0xrJmjt" TargetMode="External" Id="rId412" /><Relationship Type="http://schemas.openxmlformats.org/officeDocument/2006/relationships/hyperlink" Target="https://contrataciondelestado.es/wps/poc?uri=deeplink:detalle_licitacion&amp;idEvl=9qn8tUXmWKmFQ%2FlhRK79lA%3D%3D" TargetMode="External" Id="rId413" /><Relationship Type="http://schemas.openxmlformats.org/officeDocument/2006/relationships/hyperlink" Target="https://contrataciondelestado.es/FileSystem/servlet/GetDocumentByIdServlet?cifrado=QUC1GjXXSiLkydRHJBmbpw%3D%3D&amp;DocumentIdParam=cA/1VJoOncMk4xp1ZdP1ghb7m4jhvK0A1hizmy3UpmC7%2BKeIXbauy/zDqPV5zsBQfCA2IZNOtu5DVSaSTwjkSRRNKk741Ewl69O%2Basz2QrMZyAJWGsSt0OzTSTyw9JAs" TargetMode="External" Id="rId414" /><Relationship Type="http://schemas.openxmlformats.org/officeDocument/2006/relationships/hyperlink" Target="https://contrataciondelestado.es/wps/poc?uri=deeplink:detalle_licitacion&amp;idEvl=Td2OOKFubwEeIBJRHQiPkQ%3D%3D" TargetMode="External" Id="rId415"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416" /><Relationship Type="http://schemas.openxmlformats.org/officeDocument/2006/relationships/hyperlink" Target="https://contrataciondelestado.es/wps/poc?uri=deeplink:detalle_licitacion&amp;idEvl=JS1nMK7OeSdSYrkJkLlFdw%3D%3D" TargetMode="External" Id="rId417" /><Relationship Type="http://schemas.openxmlformats.org/officeDocument/2006/relationships/hyperlink" Target="https://contrataciondelestado.es/FileSystem/servlet/GetDocumentByIdServlet?cifrado=QUC1GjXXSiLkydRHJBmbpw%3D%3D&amp;DocumentIdParam=pqo/4w54nB67UlP3swHDlkfn8GwwQje0lhEWpB5YGRKCqP5Z6DoEcwwh2fCHZMeP8TuS7%2Br4KeBT0jJEUfrAZrONA60XXPrGEim1qQl7%2BczfdyQgZAdTm3EfcUAC7CJ6" TargetMode="External" Id="rId418" /><Relationship Type="http://schemas.openxmlformats.org/officeDocument/2006/relationships/hyperlink" Target="https://contrataciondelestado.es/wps/poc?uri=deeplink:detalle_licitacion&amp;idEvl=RFh2L%2FRHSY6LAncw3qdZkA%3D%3D" TargetMode="External" Id="rId419" /><Relationship Type="http://schemas.openxmlformats.org/officeDocument/2006/relationships/hyperlink" Target="https://contrataciondelestado.es/FileSystem/servlet/GetDocumentByIdServlet?cifrado=QUC1GjXXSiLkydRHJBmbpw%3D%3D&amp;DocumentIdParam=YS3npWcXDPQC%2BfNJ9LKblnPJHa1QdFqSuzDJSr6fCziME/Yd8K3EMnHriUa%2B%2BRowhtTIagQyXNufudEnoxXZYpKWhG6bneq%2BMW%2B/Eka8XWK1aXEvq3KHa/AEHgtDrQw0" TargetMode="External" Id="rId420" /><Relationship Type="http://schemas.openxmlformats.org/officeDocument/2006/relationships/hyperlink" Target="https://contrataciondelestado.es/wps/poc?uri=deeplink:detalle_licitacion&amp;idEvl=RD38VtmiboOqb7rCcv76BA%3D%3D" TargetMode="External" Id="rId421" /><Relationship Type="http://schemas.openxmlformats.org/officeDocument/2006/relationships/hyperlink" Target="https://contrataciondelestado.es/FileSystem/servlet/GetDocumentByIdServlet?cifrado=QUC1GjXXSiLkydRHJBmbpw%3D%3D&amp;DocumentIdParam=hjhDh%2BspWtouv83wKArBqyhiJm1V6duExdc7owRtE4Puj/rSnbcWmrlqMOk%2BRtpqvvvjix02Yt0RtCdhDzaBPCtvvBiM4npQXHAHkD0qER3fdyQgZAdTm3EfcUAC7CJ6" TargetMode="External" Id="rId422" /><Relationship Type="http://schemas.openxmlformats.org/officeDocument/2006/relationships/hyperlink" Target="https://contrataciondelestado.es/wps/poc?uri=deeplink:detalle_licitacion&amp;idEvl=0uRpOxX5n7PVGIpKDxgsAQ%3D%3D" TargetMode="External" Id="rId423"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424" /><Relationship Type="http://schemas.openxmlformats.org/officeDocument/2006/relationships/hyperlink" Target="https://contrataciondelestado.es/wps/poc?uri=deeplink:detalle_licitacion&amp;idEvl=mJfTQb89d89q1DdmE7eaXg%3D%3D" TargetMode="External" Id="rId425" /><Relationship Type="http://schemas.openxmlformats.org/officeDocument/2006/relationships/hyperlink" Target="https://contrataciondelestado.es/FileSystem/servlet/GetDocumentByIdServlet?cifrado=QUC1GjXXSiLkydRHJBmbpw%3D%3D&amp;DocumentIdParam=kCnN4BkmcnY8W4hY5cswcKViQhMVFrg4CQP9Pj3z3qYrsZu9AUNmPFb7PQGxBqHNIvZMUfcsU3knOMq8ZRRqr0J48uCK03oisX/K7Tk8RBvfdyQgZAdTm3EfcUAC7CJ6" TargetMode="External" Id="rId426" /><Relationship Type="http://schemas.openxmlformats.org/officeDocument/2006/relationships/hyperlink" Target="https://contrataciondelestado.es/wps/poc?uri=deeplink:detalle_licitacion&amp;idEvl=Eh6PiTxYSnT%2B3JAijKO%2Bkg%3D%3D" TargetMode="External" Id="rId427"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428" /><Relationship Type="http://schemas.openxmlformats.org/officeDocument/2006/relationships/hyperlink" Target="https://contrataciondelestado.es/wps/poc?uri=deeplink:detalle_licitacion&amp;idEvl=FwcijBZWdMweC9GJQOEBkQ%3D%3D" TargetMode="External" Id="rId429"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430" /><Relationship Type="http://schemas.openxmlformats.org/officeDocument/2006/relationships/hyperlink" Target="https://contrataciondelestado.es/wps/poc?uri=deeplink:detalle_licitacion&amp;idEvl=TJGy3GXJ65wS7pcxhTeWOg%3D%3D" TargetMode="External" Id="rId431" /><Relationship Type="http://schemas.openxmlformats.org/officeDocument/2006/relationships/hyperlink" Target="https://contrataciondelestado.es/FileSystem/servlet/GetDocumentByIdServlet?DocumentIdParam=6USROlT4fcxECsJsEAE55SypetdNmPU7BdRnyZgsd1ILIYPc9BZlVNVEoOZsqH1gDwga5Zn53jGQIAgD%2BPl3c%2BMB79zWvWL6LqovShetXLk//q7NB2iMZvNyf0xrJmjt&amp;cifrado=QUC1GjXXSiLkydRHJBmbpw%3D%3D" TargetMode="External" Id="rId432" /><Relationship Type="http://schemas.openxmlformats.org/officeDocument/2006/relationships/hyperlink" Target="https://contrataciondelestado.es/wps/poc?uri=deeplink:detalle_licitacion&amp;idEvl=k1%2BGOsQSem%2BdkQsA7ROvsg%3D%3D" TargetMode="External" Id="rId433" /><Relationship Type="http://schemas.openxmlformats.org/officeDocument/2006/relationships/hyperlink" Target="https://contrataciondelestado.es/FileSystem/servlet/GetDocumentByIdServlet?cifrado=QUC1GjXXSiLkydRHJBmbpw%3D%3D&amp;DocumentIdParam=VADnAGXycshjsGsVk8VBbY6xWc/stgWGBLunOtqmMpkYAW8rMmWrpOeXrUqHvzuydE5CHPhY%2BXRacIcW29d1TRdU5OeZe1MvxwLrcO9raV17QB3HKyQaFUExmUVQCerk" TargetMode="External" Id="rId434" /><Relationship Type="http://schemas.openxmlformats.org/officeDocument/2006/relationships/hyperlink" Target="https://contrataciondelestado.es/wps/poc?uri=deeplink:detalle_licitacion&amp;idEvl=hq39vCz10Yq7JOCXkOhcDg%3D%3D" TargetMode="External" Id="rId435" /><Relationship Type="http://schemas.openxmlformats.org/officeDocument/2006/relationships/hyperlink" Target="https://contrataciondelestado.es/FileSystem/servlet/GetDocumentByIdServlet?cifrado=QUC1GjXXSiLkydRHJBmbpw%3D%3D&amp;DocumentIdParam=4CQ036XksITA6/3Rmw/707APcDbSURFoIxqg3SOfgVo4nDN7GayF%2B41jqFV4XXG0b0UF3n0i0kQm64%2BuGsK4QbMawf23MkG5oJ%2BupIkOe9i1aXEvq3KHa/AEHgtDrQw0" TargetMode="External" Id="rId436" /><Relationship Type="http://schemas.openxmlformats.org/officeDocument/2006/relationships/hyperlink" Target="https://contrataciondelestado.es/wps/poc?uri=deeplink:detalle_licitacion&amp;idEvl=TawEbwovq9W5HQrHoP3G5A%3D%3D" TargetMode="External" Id="rId437"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438" /><Relationship Type="http://schemas.openxmlformats.org/officeDocument/2006/relationships/hyperlink" Target="https://contrataciondelestado.es/wps/poc?uri=deeplink:detalle_licitacion&amp;idEvl=hT8v5Tc882YIYE3ZiZ%2BxmQ%3D%3D" TargetMode="External" Id="rId439" /><Relationship Type="http://schemas.openxmlformats.org/officeDocument/2006/relationships/hyperlink" Target="https://contrataciondelestado.es/FileSystem/servlet/GetDocumentByIdServlet?cifrado=QUC1GjXXSiLkydRHJBmbpw%3D%3D&amp;DocumentIdParam=aIREc40yyv2KL4AL7yWUyqSIlyaGYvHAix6DD60w8knDIxDWwc7/8a/NviXTDzkVvN//kWk0n4NIZw05hiXbluVJsQ6NX5MqNjo8lx0Z9HZ45ClyWkoJ44mKM70IFcOu" TargetMode="External" Id="rId440" /><Relationship Type="http://schemas.openxmlformats.org/officeDocument/2006/relationships/hyperlink" Target="https://contrataciondelestado.es/wps/poc?uri=deeplink:detalle_licitacion&amp;idEvl=gF%2FN5kkyquJ%2FR5QFTlaM4A%3D%3D" TargetMode="External" Id="rId441" /><Relationship Type="http://schemas.openxmlformats.org/officeDocument/2006/relationships/hyperlink" Target="https://contrataciondelestado.es/FileSystem/servlet/GetDocumentByIdServlet?cifrado=QUC1GjXXSiLkydRHJBmbpw%3D%3D&amp;DocumentIdParam=f94W4RBcNnZwJr1ZOxmrdUjV1Ca5CVtP%2B5ckmVH2MoAvFJEhs6mTbngB5w9Oa6woaZWGH1fizigpzSfEPBPtGt5uVNs1gvvRRI4hbj7eNkW1aXEvq3KHa/AEHgtDrQw0" TargetMode="External" Id="rId442" /><Relationship Type="http://schemas.openxmlformats.org/officeDocument/2006/relationships/hyperlink" Target="https://contrataciondelestado.es/wps/poc?uri=deeplink:detalle_licitacion&amp;idEvl=weuivU8Bh0bmnwcj%2BxbdTg%3D%3D" TargetMode="External" Id="rId443" /><Relationship Type="http://schemas.openxmlformats.org/officeDocument/2006/relationships/hyperlink" Target="https://contrataciondelestado.es/FileSystem/servlet/GetDocumentByIdServlet?cifrado=QUC1GjXXSiLkydRHJBmbpw%3D%3D&amp;DocumentIdParam=HmQaYpQpMTvAfQkq8qJIbeEUNtKhPwEsxrz02JG9EOMpUuIGxWS2B9muDCIzXBOjXu5QrVIR2CR49/eFQp1FvDA8O80sZL9EN2WGZXEQ%2BIKHAj0WEJrB5sP7amrh2jBD" TargetMode="External" Id="rId444" /><Relationship Type="http://schemas.openxmlformats.org/officeDocument/2006/relationships/hyperlink" Target="https://contrataciondelestado.es/wps/poc?uri=deeplink:detalle_licitacion&amp;idEvl=LABs7Wj%2BJLTE6P%2FuLemXRw%3D%3D" TargetMode="External" Id="rId445" /><Relationship Type="http://schemas.openxmlformats.org/officeDocument/2006/relationships/hyperlink" Target="https://contrataciondelestado.es/FileSystem/servlet/GetDocumentByIdServlet?cifrado=QUC1GjXXSiLkydRHJBmbpw%3D%3D&amp;DocumentIdParam=48wWYf8vw1ZWxXAY2/4WjvswUOCVM4SGV%2BF8nAo%2B5q2LivLlPpdvpQEUNJkzqi8tNL/UfVBcjx/w4JqUlKExuOQ02FOtRlt5IFvefNz4saMC1/zDIE0Kw/PWNnLS0Z0z" TargetMode="External" Id="rId446" /><Relationship Type="http://schemas.openxmlformats.org/officeDocument/2006/relationships/hyperlink" Target="https://contrataciondelestado.es/wps/poc?uri=deeplink:detalle_licitacion&amp;idEvl=MdHdx6p7%2FZ67JOCXkOhcDg%3D%3D" TargetMode="External" Id="rId447" /><Relationship Type="http://schemas.openxmlformats.org/officeDocument/2006/relationships/hyperlink" Target="https://contrataciondelestado.es/FileSystem/servlet/GetDocumentByIdServlet?cifrado=QUC1GjXXSiLkydRHJBmbpw%3D%3D&amp;DocumentIdParam=1EFnSxFvKewA9fVY4eZ5/%2BAcUz0s9IrUJu9WWu/ljs5YSza8MqKzE6vIvJDawmjr61gT5xUd8JxuUzkqDLat5T164tQ6hjvdGGNEBbpbHFEC1/zDIE0Kw/PWNnLS0Z0z" TargetMode="External" Id="rId448" /><Relationship Type="http://schemas.openxmlformats.org/officeDocument/2006/relationships/hyperlink" Target="https://contrataciondelestado.es/wps/poc?uri=deeplink:detalle_licitacion&amp;idEvl=Dy0MaKcOGghVYjgxA4nMUw%3D%3D" TargetMode="External" Id="rId449"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450" /><Relationship Type="http://schemas.openxmlformats.org/officeDocument/2006/relationships/hyperlink" Target="https://contrataciondelestado.es/wps/poc?uri=deeplink:detalle_licitacion&amp;idEvl=VksGl%2Fog6kpVkTabT%2FRM8A%3D%3D" TargetMode="External" Id="rId451" /><Relationship Type="http://schemas.openxmlformats.org/officeDocument/2006/relationships/hyperlink" Target="https://contrataciondelestado.es/FileSystem/servlet/GetDocumentByIdServlet?cifrado=QUC1GjXXSiLkydRHJBmbpw%3D%3D&amp;DocumentIdParam=RK6gwV61macW44Y/f8NhP57VFEi92ovLHJfOGhJwPx%2Bm3prKAucN3lRI7AE/IVnTr07jAc7hstUf6%2B7IRjEopXFeQo30kOr3MnCCJ2/RJ0VJOVDbGCDM%2BMigrvuVS7Rv" TargetMode="External" Id="rId452" /><Relationship Type="http://schemas.openxmlformats.org/officeDocument/2006/relationships/hyperlink" Target="https://contrataciondelestado.es/wps/poc?uri=deeplink:detalle_licitacion&amp;idEvl=3s5uE1Cgrsr%2B3JAijKO%2Bkg%3D%3D" TargetMode="External" Id="rId453" /><Relationship Type="http://schemas.openxmlformats.org/officeDocument/2006/relationships/hyperlink" Target="https://contrataciondelestado.es/FileSystem/servlet/GetDocumentByIdServlet?cifrado=QUC1GjXXSiLkydRHJBmbpw%3D%3D&amp;DocumentIdParam=ZVCGsDoQh0q4lOu3LYtwcqgFTZk0bOI1gtKg0MWAmBjOZTzlNtSiceW5Qp%2BkmbZ4p3klyekxldQOD3FkOveSpjy9kBBfKPD7evHDWHPAMAZ7QB3HKyQaFUExmUVQCerk" TargetMode="External" Id="rId454" /><Relationship Type="http://schemas.openxmlformats.org/officeDocument/2006/relationships/hyperlink" Target="https://contrataciondelestado.es/wps/poc?uri=deeplink:detalle_licitacion&amp;idEvl=RCqLgGE%2BidN9PLkba5eRog%3D%3D" TargetMode="External" Id="rId455" /><Relationship Type="http://schemas.openxmlformats.org/officeDocument/2006/relationships/hyperlink" Target="https://contrataciondelestado.es/FileSystem/servlet/GetDocumentByIdServlet?cifrado=QUC1GjXXSiLkydRHJBmbpw%3D%3D&amp;DocumentIdParam=Ht4AnDrs/OiUXOzCVPmQZXSHdH1hkn0gf8GsPkZ4vKQlKCUOF67Yw9Zrx3eg22mzMd21JGST9NcIeEorWma53HzwpHohWspmG0FTMJRQKQTVTD3T98KC0nSgQFM0q%2B5s" TargetMode="External" Id="rId456" /><Relationship Type="http://schemas.openxmlformats.org/officeDocument/2006/relationships/hyperlink" Target="https://contrataciondelestado.es/wps/poc?uri=deeplink:detalle_licitacion&amp;idEvl=Rqm5AOmIyAh%2FP7lJ7Fu0SA%3D%3D" TargetMode="External" Id="rId457"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458" /><Relationship Type="http://schemas.openxmlformats.org/officeDocument/2006/relationships/hyperlink" Target="https://contrataciondelestado.es/wps/poc?uri=deeplink:detalle_licitacion&amp;idEvl=14i1XEgLW4Atm4eBPtV6eQ%3D%3D" TargetMode="External" Id="rId459" /><Relationship Type="http://schemas.openxmlformats.org/officeDocument/2006/relationships/hyperlink" Target="https://contrataciondelestado.es/FileSystem/servlet/GetDocumentByIdServlet?cifrado=QUC1GjXXSiLkydRHJBmbpw%3D%3D&amp;DocumentIdParam=t58IGXl1DioAbi78WHuKzvpc9ZA01YcFV561DGkjhKev2DQn4i6LlVqKsjRwey7ngEOkvRl7Avgv3RdgqsIifj%2BywS1bPdEELcymRNIm7f73GVhXrFFqN7yFncy7YfRK" TargetMode="External" Id="rId460" /><Relationship Type="http://schemas.openxmlformats.org/officeDocument/2006/relationships/hyperlink" Target="https://contrataciondelestado.es/wps/poc?uri=deeplink:detalle_licitacion&amp;idEvl=g4rtWQ2lC4jL1rX3q%2FMAPA%3D%3D" TargetMode="External" Id="rId461"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462" /><Relationship Type="http://schemas.openxmlformats.org/officeDocument/2006/relationships/hyperlink" Target="https://contrataciondelestado.es/wps/poc?uri=deeplink:detalle_licitacion&amp;idEvl=YXwiou%2FOzHt4zIRvjBVCSw%3D%3D" TargetMode="External" Id="rId463" /><Relationship Type="http://schemas.openxmlformats.org/officeDocument/2006/relationships/hyperlink" Target="https://contrataciondelestado.es/FileSystem/servlet/GetDocumentByIdServlet?cifrado=QUC1GjXXSiLkydRHJBmbpw%3D%3D&amp;DocumentIdParam=UbAsMLz%2BmSCPPobYQz%2BK%2BN1lNL8wtA7Cs9PRKH8yj3nfo94ktreNw9HEagLwy3uyHW%2BaWbds204L2roAyGzptAz2p%2BSuvXUrht0DqLa/WZV45ClyWkoJ44mKM70IFcOu" TargetMode="External" Id="rId464" /><Relationship Type="http://schemas.openxmlformats.org/officeDocument/2006/relationships/hyperlink" Target="https://contrataciondelestado.es/wps/poc?uri=deeplink:detalle_licitacion&amp;idEvl=LWMT2909Ee0mMOlAXxDEjw%3D%3D" TargetMode="External" Id="rId465" /><Relationship Type="http://schemas.openxmlformats.org/officeDocument/2006/relationships/hyperlink" Target="https://contrataciondelestado.es/FileSystem/servlet/GetDocumentByIdServlet?cifrado=QUC1GjXXSiLkydRHJBmbpw%3D%3D&amp;DocumentIdParam=mL365uQDQGTntoZ93/XYOsXb7ajoQNF/kROZ7eThOyqpd4k1lRjhIHGO1egNLJVZr/t2JsWYyVgZEtE4GwWnAOIs6tKwiCuxi6pbmCfRqHY//q7NB2iMZvNyf0xrJmjt" TargetMode="External" Id="rId466" /><Relationship Type="http://schemas.openxmlformats.org/officeDocument/2006/relationships/hyperlink" Target="https://contrataciondelestado.es/wps/poc?uri=deeplink:detalle_licitacion&amp;idEvl=Hg0xINnSYNq2gkLQ8TeYKA%3D%3D" TargetMode="External" Id="rId467" /><Relationship Type="http://schemas.openxmlformats.org/officeDocument/2006/relationships/hyperlink" Target="https://contrataciondelestado.es/FileSystem/servlet/GetDocumentByIdServlet?cifrado=QUC1GjXXSiLkydRHJBmbpw%3D%3D&amp;DocumentIdParam=lE3IVYnhwWdX8eoOQL9BtHu2zQXm9H9CAl6WB2JUNX70%2BUrZffEzguoTEaR6gKgdriRevNXmXzzvyfD1ZULKnm7mRFkjV2VS5bGvoAMM2DS1aXEvq3KHa/AEHgtDrQw0" TargetMode="External" Id="rId468" /><Relationship Type="http://schemas.openxmlformats.org/officeDocument/2006/relationships/hyperlink" Target="https://contrataciondelestado.es/wps/poc?uri=deeplink:detalle_licitacion&amp;idEvl=7yZRa81OKe%2FLIx6q1oPaMg%3D%3D" TargetMode="External" Id="rId469" /><Relationship Type="http://schemas.openxmlformats.org/officeDocument/2006/relationships/hyperlink" Target="https://contrataciondelestado.es/FileSystem/servlet/GetDocumentByIdServlet?cifrado=QUC1GjXXSiLkydRHJBmbpw%3D%3D&amp;DocumentIdParam=knbo6fk4E1QMEni%2BoBKFSRMAHdvqtuVBpLDSQqV3Rsmgd03wgdga/NpnlAUaa4nfS95ND7FHiZpriKkEo147MMNGAgKjTpFNYpxmfl8LEV2B0nvVKRzfe4rpHcnlPhSZ" TargetMode="External" Id="rId470" /><Relationship Type="http://schemas.openxmlformats.org/officeDocument/2006/relationships/hyperlink" Target="https://contrataciondelestado.es/wps/poc?uri=deeplink:detalle_licitacion&amp;idEvl=%2BidhNo8LY3CFlFRHfEzEaw%3D%3D" TargetMode="External" Id="rId471"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472" /><Relationship Type="http://schemas.openxmlformats.org/officeDocument/2006/relationships/hyperlink" Target="https://contrataciondelestado.es/wps/poc?uri=deeplink:detalle_licitacion&amp;idEvl=t2hsItZTkWqIzo3LHNPGcQ%3D%3D" TargetMode="External" Id="rId473" /><Relationship Type="http://schemas.openxmlformats.org/officeDocument/2006/relationships/hyperlink" Target="https://contrataciondelestado.es/FileSystem/servlet/GetDocumentByIdServlet?cifrado=QUC1GjXXSiLkydRHJBmbpw%3D%3D&amp;DocumentIdParam=Fr8vDMRS5M%2BTM%2BYEDioPCNfHuCuKShYQNAQJ6m2lPItTFw2fLTwHlTu2S2EjCpa53Bwt8oQdHKg8/3kmkNIOTqKPj9rs9CNDfQJSMXbLSG8ZyAJWGsSt0OzTSTyw9JAs" TargetMode="External" Id="rId474" /><Relationship Type="http://schemas.openxmlformats.org/officeDocument/2006/relationships/hyperlink" Target="https://contrataciondelestado.es/wps/poc?uri=deeplink:detalle_licitacion&amp;idEvl=bribpdLqBMjCfVQHDepjGQ%3D%3D" TargetMode="External" Id="rId475" /><Relationship Type="http://schemas.openxmlformats.org/officeDocument/2006/relationships/hyperlink" Target="https://contrataciondelestado.es/FileSystem/servlet/GetDocumentByIdServlet?cifrado=QUC1GjXXSiLkydRHJBmbpw%3D%3D&amp;DocumentIdParam=3ry2H8cbQUmCaoaDD0zv3vvrAuA5V6ZZK7xob0dhiSLbWIdIvU9Pg1M4fYGVND8loybq4fu0UTOincp/wkV5QJ53nw8Lz451J3gw7cdOu6V7QB3HKyQaFUExmUVQCerk" TargetMode="External" Id="rId476" /><Relationship Type="http://schemas.openxmlformats.org/officeDocument/2006/relationships/hyperlink" Target="https://contrataciondelestado.es/wps/poc?uri=deeplink:detalle_licitacion&amp;idEvl=mjHf3q2t2hmqb7rCcv76BA%3D%3D" TargetMode="External" Id="rId477" /><Relationship Type="http://schemas.openxmlformats.org/officeDocument/2006/relationships/hyperlink" Target="https://contrataciondelestado.es/FileSystem/servlet/GetDocumentByIdServlet?cifrado=QUC1GjXXSiLkydRHJBmbpw%3D%3D&amp;DocumentIdParam=HXyUOb/XfVCVwgqOGkmjkCwgkXHXlKuBaoIoDk8NSM29jO766QFp0UHNTY2wfs59l/qDhyLi3pjzkikN/oURgeYPlypuHCBGJJF1oQ9GXlDfdyQgZAdTm3EfcUAC7CJ6" TargetMode="External" Id="rId478" /><Relationship Type="http://schemas.openxmlformats.org/officeDocument/2006/relationships/hyperlink" Target="https://contrataciondelestado.es/wps/poc?uri=deeplink:detalle_licitacion&amp;idEvl=Ih7XQAFeXx9t5r0ngvMetA%3D%3D" TargetMode="External" Id="rId479" /><Relationship Type="http://schemas.openxmlformats.org/officeDocument/2006/relationships/hyperlink" Target="https://contrataciondelestado.es/FileSystem/servlet/GetDocumentByIdServlet?cifrado=QUC1GjXXSiLkydRHJBmbpw%3D%3D&amp;DocumentIdParam=TkCbghEBrebB4AUR4%2BzanhGH62v778ZK2TsKbSKwKESKTWfLFcGoR853BJNpT8KRvJ%2BesWc3258NxbXhmwbHHlgq%2BTfWcBRkBYCjMg0eBmiCx2e6p7hqtlp2aFupgHMr" TargetMode="External" Id="rId480" /><Relationship Type="http://schemas.openxmlformats.org/officeDocument/2006/relationships/hyperlink" Target="https://contrataciondelestado.es/wps/poc?uri=deeplink:detalle_licitacion&amp;idEvl=hUoJyXw2gNx70UvEyYJSGw%3D%3D" TargetMode="External" Id="rId481" /><Relationship Type="http://schemas.openxmlformats.org/officeDocument/2006/relationships/hyperlink" Target="https://contrataciondelestado.es/FileSystem/servlet/GetDocumentByIdServlet?cifrado=QUC1GjXXSiLkydRHJBmbpw%3D%3D&amp;DocumentIdParam=aUuYoE6Uh/fvmkn/vReIbkV8QxqGeOQ%2B3Hr71d1X0XN85ABPwg3E2T8HkNZ7T38RPWO2svKDjATPAUbMKXGLMj4tK7n9n%2BurairCv0rl%2BZGB0nvVKRzfe4rpHcnlPhSZ" TargetMode="External" Id="rId482" /><Relationship Type="http://schemas.openxmlformats.org/officeDocument/2006/relationships/hyperlink" Target="https://contrataciondelestado.es/wps/poc?uri=deeplink:detalle_licitacion&amp;idEvl=pLvzx6m6ApqHCIsjvJ3rhQ%3D%3D" TargetMode="External" Id="rId483" /><Relationship Type="http://schemas.openxmlformats.org/officeDocument/2006/relationships/hyperlink" Target="https://contrataciondelestado.es/FileSystem/servlet/GetDocumentByIdServlet?cifrado=QUC1GjXXSiLkydRHJBmbpw%3D%3D&amp;DocumentIdParam=gY/GwOFQkEdS/TBZkiqsE2jQpgtbng7bnIuTblX16/XnZ2KvsZWxw7/2qAzj1AvBq22oACkWIMQ35%2BtmkKIsVWOVcPf1RezEz0XTqe/XHyzVTD3T98KC0nSgQFM0q%2B5s" TargetMode="External" Id="rId484" /><Relationship Type="http://schemas.openxmlformats.org/officeDocument/2006/relationships/hyperlink" Target="https://contrataciondelestado.es/wps/poc?uri=deeplink:detalle_licitacion&amp;idEvl=tiZyI1BWseVeKgd8LfVV9g%3D%3D" TargetMode="External" Id="rId485" /><Relationship Type="http://schemas.openxmlformats.org/officeDocument/2006/relationships/hyperlink" Target="https://contrataciondelestado.es/FileSystem/servlet/GetDocumentByIdServlet?cifrado=QUC1GjXXSiLkydRHJBmbpw%3D%3D&amp;DocumentIdParam=iO0fb%2BhCn6hOU9l7klkqt06JfsHRGDWHuv0RtIQZKz/5h%2BMsJHi4YKxeYQkyafw4iSPktDQRQyuJaBgq2zFqrvuqw%2B/5nwfeJ3xK6CrlaFRJOVDbGCDM%2BMigrvuVS7Rv" TargetMode="External" Id="rId486" /><Relationship Type="http://schemas.openxmlformats.org/officeDocument/2006/relationships/hyperlink" Target="https://contrataciondelestado.es/wps/poc?uri=deeplink:detalle_licitacion&amp;idEvl=oR4FgP60vjAtm4eBPtV6eQ%3D%3D" TargetMode="External" Id="rId487" /><Relationship Type="http://schemas.openxmlformats.org/officeDocument/2006/relationships/hyperlink" Target="https://contrataciondelestado.es/FileSystem/servlet/GetDocumentByIdServlet?cifrado=QUC1GjXXSiLkydRHJBmbpw%3D%3D&amp;DocumentIdParam=5CAAEbue/BvrwWcQ9KVflCONGSKsAa60Oye2uHc0GRZVF/Y2tdqNwOuNDgJ3SGyL9gxQIgFYWtsvtba06XgQReO71UOyi/%2BF2UYg8ghWW/aB0nvVKRzfe4rpHcnlPhSZ" TargetMode="External" Id="rId488" /><Relationship Type="http://schemas.openxmlformats.org/officeDocument/2006/relationships/hyperlink" Target="https://contrataciondelestado.es/wps/poc?uri=deeplink:detalle_licitacion&amp;idEvl=2dg80Z43QXqcTfjQf3USOg%3D%3D" TargetMode="External" Id="rId489" /><Relationship Type="http://schemas.openxmlformats.org/officeDocument/2006/relationships/hyperlink" Target="https://contrataciondelestado.es/wps/poc?uri=deeplink:detalle_licitacion&amp;idEvl=O9WWnukxMG0wYTJJ03sHog%3D%3D" TargetMode="External" Id="rId490" /><Relationship Type="http://schemas.openxmlformats.org/officeDocument/2006/relationships/hyperlink" Target="https://contrataciondelestado.es/wps/poc?uri=deeplink:detalle_licitacion&amp;idEvl=WfS1i4IgPHKLAncw3qdZkA%3D%3D" TargetMode="External" Id="rId491" /><Relationship Type="http://schemas.openxmlformats.org/officeDocument/2006/relationships/hyperlink" Target="https://contrataciondelestado.es/FileSystem/servlet/GetDocumentByIdServlet?cifrado=QUC1GjXXSiLkydRHJBmbpw%3D%3D&amp;DocumentIdParam=HXKYmkXOXn/Ha3eLxU21RYTMO8GVFWmvcp/YiXN3TM5Gkqr0tVJGrp%2BgMYMx9N7WnpjaZPMEENb6HE%2BMYWhh/z8UqNC/EAnpVN9sPAYG3KrVTD3T98KC0nSgQFM0q%2B5s" TargetMode="External" Id="rId492" /><Relationship Type="http://schemas.openxmlformats.org/officeDocument/2006/relationships/hyperlink" Target="https://contrataciondelestado.es/wps/poc?uri=deeplink:detalle_licitacion&amp;idEvl=glNZhMKNa0mAAM7L03kM8A%3D%3D" TargetMode="External" Id="rId493" /><Relationship Type="http://schemas.openxmlformats.org/officeDocument/2006/relationships/hyperlink" Target="https://contrataciondelestado.es/FileSystem/servlet/GetDocumentByIdServlet?cifrado=QUC1GjXXSiLkydRHJBmbpw%3D%3D&amp;DocumentIdParam=rAE5Fru2zjoFHjc/wB6AKFhpilMMuC3Fit%2BPioSC8utNSpN4Cz74LkOrxaCgWrJPYAoZj%2BtPJk814rFzlINBo9Q/06aIcvaUJMDyRGHnrpB45ClyWkoJ44mKM70IFcOu" TargetMode="External" Id="rId494" /><Relationship Type="http://schemas.openxmlformats.org/officeDocument/2006/relationships/hyperlink" Target="https://contrataciondelestado.es/wps/poc?uri=deeplink:detalle_licitacion&amp;idEvl=7zbD%2B5phX44Xhk1FZxEyvw%3D%3D" TargetMode="External" Id="rId495"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496" /><Relationship Type="http://schemas.openxmlformats.org/officeDocument/2006/relationships/hyperlink" Target="https://contrataciondelestado.es/wps/poc?uri=deeplink:detalle_licitacion&amp;idEvl=986yaGfzy51SYrkJkLlFdw%3D%3D" TargetMode="External" Id="rId497"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498" /><Relationship Type="http://schemas.openxmlformats.org/officeDocument/2006/relationships/hyperlink" Target="https://contrataciondelestado.es/wps/poc?uri=deeplink:detalle_licitacion&amp;idEvl=vsTYoCMiYTLua%2Fi14w%2FPLA%3D%3D" TargetMode="External" Id="rId499" /><Relationship Type="http://schemas.openxmlformats.org/officeDocument/2006/relationships/hyperlink" Target="https://contrataciondelestado.es/wps/poc?uri=deeplink:detalle_licitacion&amp;idEvl=gEkMcAZaPRS2gkLQ8TeYKA%3D%3D" TargetMode="External" Id="rId500" /><Relationship Type="http://schemas.openxmlformats.org/officeDocument/2006/relationships/hyperlink" Target="https://contrataciondelestado.es/FileSystem/servlet/GetDocumentByIdServlet?cifrado=QUC1GjXXSiLkydRHJBmbpw%3D%3D&amp;DocumentIdParam=LxzQB9A7gHyuf29c0hl5XDyHANz198AZIU3Gs%2BUliy3GDzariW96kgT5FS2L7TBScQ3v0acpcL8M2EPhGjLE7mtRHR6rQD8V9SuWFdPfLi1t/o8fNevwsujgRzaBbugn" TargetMode="External" Id="rId501" /><Relationship Type="http://schemas.openxmlformats.org/officeDocument/2006/relationships/hyperlink" Target="https://contrataciondelestado.es/wps/poc?uri=deeplink:detalle_licitacion&amp;idEvl=gVr1o6EQy%2B16nTs9LZ9RhQ%3D%3D" TargetMode="External" Id="rId502" /><Relationship Type="http://schemas.openxmlformats.org/officeDocument/2006/relationships/hyperlink" Target="https://contrataciondelestado.es/FileSystem/servlet/GetDocumentByIdServlet?cifrado=QUC1GjXXSiLkydRHJBmbpw%3D%3D&amp;DocumentIdParam=uluCXfsIvX6/wWapZENHMYmcDyuBl4rHGebGiBvNjleE1ppfIF0mwD%2BLQVRrE4MyTojTISxP/Od/MwR3F%2BK8zglOrNwAAo2HIMKaq9TSBffVTD3T98KC0nSgQFM0q%2B5s" TargetMode="External" Id="rId503" /><Relationship Type="http://schemas.openxmlformats.org/officeDocument/2006/relationships/hyperlink" Target="https://contrataciondelestado.es/wps/poc?uri=deeplink:detalle_licitacion&amp;idEvl=kn6ODjPGIWwS7pcxhTeWOg%3D%3D" TargetMode="External" Id="rId504" /><Relationship Type="http://schemas.openxmlformats.org/officeDocument/2006/relationships/hyperlink" Target="https://contrataciondelestado.es/FileSystem/servlet/GetDocumentByIdServlet?cifrado=QUC1GjXXSiLkydRHJBmbpw%3D%3D&amp;DocumentIdParam=a5PfyYXX1X9FUNLPfz2Z1z64FctugCAtDZMdOtBCmH7IInMUorKhoy6L4zMK1GZjv1fzA4DIfbOFhnO4bNjrNXUrPFL9JFT%2BIBBIAO6WUab3GVhXrFFqN7yFncy7YfRK" TargetMode="External" Id="rId505" /><Relationship Type="http://schemas.openxmlformats.org/officeDocument/2006/relationships/hyperlink" Target="https://contrataciondelestado.es/wps/poc?uri=deeplink:detalle_licitacion&amp;idEvl=GWaXTOl7B%2FrVGIpKDxgsAQ%3D%3D" TargetMode="External" Id="rId506"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507" /><Relationship Type="http://schemas.openxmlformats.org/officeDocument/2006/relationships/hyperlink" Target="https://contrataciondelestado.es/wps/poc?uri=deeplink:detalle_licitacion&amp;idEvl=hbf10bzQBQQeC9GJQOEBkQ%3D%3D" TargetMode="External" Id="rId508" /><Relationship Type="http://schemas.openxmlformats.org/officeDocument/2006/relationships/hyperlink" Target="https://contrataciondelestado.es/FileSystem/servlet/GetDocumentByIdServlet?cifrado=QUC1GjXXSiLkydRHJBmbpw%3D%3D&amp;DocumentIdParam=%2BowZbubt/aNus9rWr5l3wRYxVKKkaDN0OycgEbZQibHTu5auTisAI24vvg6PBq9gPbox%2BztgXpvCvLY/%2BhykbrzRiUF82kSDA4fQe/h8/V61aXEvq3KHa/AEHgtDrQw0" TargetMode="External" Id="rId509" /><Relationship Type="http://schemas.openxmlformats.org/officeDocument/2006/relationships/hyperlink" Target="https://contrataciondelestado.es/wps/poc?uri=deeplink:detalle_licitacion&amp;idEvl=FWvlLYBJiu7VGIpKDxgsAQ%3D%3D" TargetMode="External" Id="rId510" /><Relationship Type="http://schemas.openxmlformats.org/officeDocument/2006/relationships/hyperlink" Target="https://contrataciondelestado.es/FileSystem/servlet/GetDocumentByIdServlet?cifrado=QUC1GjXXSiLkydRHJBmbpw%3D%3D&amp;DocumentIdParam=KwixiVkKqCW0QtFoSNXDMHhoOR3XMTXsBim08t9mykSqGtdVwiEIQUh2ujpLznIf8vhSM5GeYkLBzQFzA0xIk%2Bx3qc71cqOhFzr%2BYuyG/O5JOVDbGCDM%2BMigrvuVS7Rv" TargetMode="External" Id="rId511" /><Relationship Type="http://schemas.openxmlformats.org/officeDocument/2006/relationships/hyperlink" Target="https://contrataciondelestado.es/wps/poc?uri=deeplink:detalle_licitacion&amp;idEvl=JI%2BDMcVZhNMtm4eBPtV6eQ%3D%3D" TargetMode="External" Id="rId512" /><Relationship Type="http://schemas.openxmlformats.org/officeDocument/2006/relationships/hyperlink" Target="https://contrataciondelestado.es/FileSystem/servlet/GetDocumentByIdServlet?cifrado=QUC1GjXXSiLkydRHJBmbpw%3D%3D&amp;DocumentIdParam=ItTKX4qAWZ7tXbGsd4jRDr7GwgO2aGLqbRytJxx5uuOhLZJblRZ0PvVSC1YudCOtdEiX2joTBIl3z2%2Bzp9Bw53dtzA9a8y7iURw0OfXo6YbfdyQgZAdTm3EfcUAC7CJ6" TargetMode="External" Id="rId513" /><Relationship Type="http://schemas.openxmlformats.org/officeDocument/2006/relationships/hyperlink" Target="https://contrataciondelestado.es/wps/poc?uri=deeplink:detalle_licitacion&amp;idEvl=9CtIahuEvfC5HQrHoP3G5A%3D%3D" TargetMode="External" Id="rId514" /><Relationship Type="http://schemas.openxmlformats.org/officeDocument/2006/relationships/hyperlink" Target="https://contrataciondelestado.es/FileSystem/servlet/GetDocumentByIdServlet?cifrado=QUC1GjXXSiLkydRHJBmbpw%3D%3D&amp;DocumentIdParam=/PBJaiaujiWpr7qLweEq182k4GBNQ5os5IaRZjZO3g1Yphc3yaz1Oovu71gGQe18ppLeUJmRZLn85efQcUY0v4PA7NDnRbvAfpxsybxqqhWCx2e6p7hqtlp2aFupgHMr" TargetMode="External" Id="rId515" /><Relationship Type="http://schemas.openxmlformats.org/officeDocument/2006/relationships/hyperlink" Target="https://contrataciondelestado.es/wps/poc?uri=deeplink:detalle_licitacion&amp;idEvl=9pUSGVfoizzIGlsa0Wad%2Bw%3D%3D" TargetMode="External" Id="rId516" /><Relationship Type="http://schemas.openxmlformats.org/officeDocument/2006/relationships/hyperlink" Target="https://contrataciondelestado.es/FileSystem/servlet/GetDocumentByIdServlet?cifrado=QUC1GjXXSiLkydRHJBmbpw%3D%3D&amp;DocumentIdParam=LjEnwjF0qrxMT/4mz1jt63VwEPh/r1xVhbxaZEl/OC7%2B6San45FigdEkm6SoWBDXddTtakQ0i6zVlD%2BKFvqEtognyvcfKcGX0mgV90ndo58ZyAJWGsSt0OzTSTyw9JAs" TargetMode="External" Id="rId517" /><Relationship Type="http://schemas.openxmlformats.org/officeDocument/2006/relationships/hyperlink" Target="https://contrataciondelestado.es/wps/poc?uri=deeplink:detalle_licitacion&amp;idEvl=zw1WfheZ9pHgL1BHd3qjQA%3D%3D" TargetMode="External" Id="rId518" /><Relationship Type="http://schemas.openxmlformats.org/officeDocument/2006/relationships/hyperlink" Target="https://contrataciondelestado.es/wps/poc?uri=deeplink:detalle_licitacion&amp;idEvl=T2GeeAUV%2Fkd9Zh%2FyRJgM8w%3D%3D" TargetMode="External" Id="rId519" /><Relationship Type="http://schemas.openxmlformats.org/officeDocument/2006/relationships/hyperlink" Target="https://contrataciondelestado.es/FileSystem/servlet/GetDocumentByIdServlet?cifrado=QUC1GjXXSiLkydRHJBmbpw%3D%3D&amp;DocumentIdParam=KbBrJgbnew840LUeEP11xz7A7Db1adxitYz8STpkNFSsDDw7IhVBpx/4M84qXJnXrOROzJLK3ugOm%2BLiH9oMzHJuvSFtROmvtFRV8lfQqrUZyAJWGsSt0OzTSTyw9JAs" TargetMode="External" Id="rId520" /><Relationship Type="http://schemas.openxmlformats.org/officeDocument/2006/relationships/hyperlink" Target="https://contrataciondelestado.es/wps/poc?uri=deeplink:detalle_licitacion&amp;idEvl=URgiZOV0leeKeVWTb9Scog%3D%3D" TargetMode="External" Id="rId521"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522" /><Relationship Type="http://schemas.openxmlformats.org/officeDocument/2006/relationships/hyperlink" Target="https://contrataciondelestado.es/wps/poc?uri=deeplink:detalle_licitacion&amp;idEvl=WyzrJtAhnW%2BS81gZFETWmA%3D%3D" TargetMode="External" Id="rId523" /><Relationship Type="http://schemas.openxmlformats.org/officeDocument/2006/relationships/hyperlink" Target="https://contrataciondelestado.es/FileSystem/servlet/GetDocumentByIdServlet?cifrado=QUC1GjXXSiLkydRHJBmbpw%3D%3D&amp;DocumentIdParam=ODvrx3ludu75wLT3ZEBsyPGCId9NbQx3TtcXzppQdWfdHKXKUodDKmRCcqr11D1%2Bi0Mkf/6N3EWsnIoYOxmEBZuFlfi8h8HbOFk17A%2Bvi3/DdQD9RyhUmzT4jZ2In4zL" TargetMode="External" Id="rId524" /><Relationship Type="http://schemas.openxmlformats.org/officeDocument/2006/relationships/hyperlink" Target="https://contrataciondelestado.es/wps/poc?uri=deeplink:detalle_licitacion&amp;idEvl=OsZafSA0nw%2BTylGzYmBF9Q%3D%3D" TargetMode="External" Id="rId525" /><Relationship Type="http://schemas.openxmlformats.org/officeDocument/2006/relationships/hyperlink" Target="https://contrataciondelestado.es/wps/poc?uri=deeplink:detalle_licitacion&amp;idEvl=zkBY988qrffzAq95uGTrDQ%3D%3D" TargetMode="External" Id="rId526" /><Relationship Type="http://schemas.openxmlformats.org/officeDocument/2006/relationships/hyperlink" Target="https://contrataciondelestado.es/FileSystem/servlet/GetDocumentByIdServlet?cifrado=QUC1GjXXSiLkydRHJBmbpw%3D%3D&amp;DocumentIdParam=ZAKM0UalOT/eIY8sUFXSGAONEU4bet2MUkGBVDpTVK08DRU5viO8dQXOdPsZwLdSiIZpmQ3LC8v2cnjlzKU3rXb4B/rKkRp7PXGUQHnTIJM//q7NB2iMZvNyf0xrJmjt" TargetMode="External" Id="rId527" /><Relationship Type="http://schemas.openxmlformats.org/officeDocument/2006/relationships/hyperlink" Target="https://contrataciondelestado.es/wps/poc?uri=deeplink:detalle_licitacion&amp;idEvl=r5Bm0DypGAJPpzdqOdhuWg%3D%3D" TargetMode="External" Id="rId528" /><Relationship Type="http://schemas.openxmlformats.org/officeDocument/2006/relationships/hyperlink" Target="https://contrataciondelestado.es/FileSystem/servlet/GetDocumentByIdServlet?cifrado=QUC1GjXXSiLkydRHJBmbpw%3D%3D&amp;DocumentIdParam=UD5QQ2o21%2BaiELZ6DxAlUgkUmwTPKITo8eC/S25FEvQyWnXnrud22fp0EN3YF965DJEgu2udqWnFLiTvvT2Y6zFX3QMOKn%2BjqHxGHxZBzx73GVhXrFFqN7yFncy7YfRK" TargetMode="External" Id="rId529" /><Relationship Type="http://schemas.openxmlformats.org/officeDocument/2006/relationships/hyperlink" Target="https://contrataciondelestado.es/wps/poc?uri=deeplink:detalle_licitacion&amp;idEvl=scHFVjDX6EBVkTabT%2FRM8A%3D%3D" TargetMode="External" Id="rId530" /><Relationship Type="http://schemas.openxmlformats.org/officeDocument/2006/relationships/hyperlink" Target="https://contrataciondelestado.es/FileSystem/servlet/GetDocumentByIdServlet?cifrado=QUC1GjXXSiLkydRHJBmbpw%3D%3D&amp;DocumentIdParam=nn/aXGQaJJERcoQi/K3gJOfhNTo/iaCFzWmc/I3ajtHdzLrGs2EQWOSo6/HVGOWPsVtNQR2aJ/BtJeSNcId7TzLRkRNBPbLI2WsSa0Oq%2Bjp7QB3HKyQaFUExmUVQCerk" TargetMode="External" Id="rId531" /><Relationship Type="http://schemas.openxmlformats.org/officeDocument/2006/relationships/hyperlink" Target="https://contrataciondelestado.es/wps/poc?uri=deeplink:detalle_licitacion&amp;idEvl=NFZgB4WRHqVQFSeKCRun4Q%3D%3D" TargetMode="External" Id="rId532" /><Relationship Type="http://schemas.openxmlformats.org/officeDocument/2006/relationships/hyperlink" Target="https://contrataciondelestado.es/FileSystem/servlet/GetDocumentByIdServlet?cifrado=QUC1GjXXSiLkydRHJBmbpw%3D%3D&amp;DocumentIdParam=AhFI/0rYASYrHPEcgkg%2Budr1ZwuzjWKOowYuQurpuOd6XmbmnE0bcFIQUOgVfg%2BoBoJ45QpzI1BMlQZtXIYFt4afIuHzn0j5j6o8tW2DUFUZyAJWGsSt0OzTSTyw9JAs" TargetMode="External" Id="rId533" /><Relationship Type="http://schemas.openxmlformats.org/officeDocument/2006/relationships/hyperlink" Target="https://contrataciondelestado.es/wps/poc?uri=deeplink:detalle_licitacion&amp;idEvl=VlbIzkEhwhGkU02jNGj1Fw%3D%3D" TargetMode="External" Id="rId534" /><Relationship Type="http://schemas.openxmlformats.org/officeDocument/2006/relationships/hyperlink" Target="https://contrataciondelestado.es/FileSystem/servlet/GetDocumentByIdServlet?cifrado=QUC1GjXXSiLkydRHJBmbpw%3D%3D&amp;DocumentIdParam=q7agIk54BfpI21TCb%2BKFYydL%2BmNAKEJTGMMDmUN78p9UM6hVO9OetI6heFNlhs1/Txu9WeonawuDhtZP8dTxgXS9MNG/pOYhp6v3013h/LJt/o8fNevwsujgRzaBbugn" TargetMode="External" Id="rId535" /><Relationship Type="http://schemas.openxmlformats.org/officeDocument/2006/relationships/hyperlink" Target="https://contrataciondelestado.es/wps/poc?uri=deeplink:detalle_licitacion&amp;idEvl=lJ0xdSNIbtOkU02jNGj1Fw%3D%3D" TargetMode="External" Id="rId536" /><Relationship Type="http://schemas.openxmlformats.org/officeDocument/2006/relationships/hyperlink" Target="https://contrataciondelestado.es/FileSystem/servlet/GetDocumentByIdServlet?cifrado=QUC1GjXXSiLkydRHJBmbpw%3D%3D&amp;DocumentIdParam=5WHE%2Be2VHRxMwfaeyukYSOSwy8ei/meN3L5bLxuouFQMl/XxjDPLcHI/BeHmPwuNDHoULqTl0jmAlnTsEAQ6wJRfhsKL26eTFuXU66xp1B7DdQD9RyhUmzT4jZ2In4zL" TargetMode="External" Id="rId537" /><Relationship Type="http://schemas.openxmlformats.org/officeDocument/2006/relationships/hyperlink" Target="https://contrataciondelestado.es/wps/poc?uri=deeplink:detalle_licitacion&amp;idEvl=aqdpo98WCazXOjazN1Dw9Q%3D%3D" TargetMode="External" Id="rId538" /><Relationship Type="http://schemas.openxmlformats.org/officeDocument/2006/relationships/hyperlink" Target="https://contrataciondelestado.es/FileSystem/servlet/GetDocumentByIdServlet?cifrado=QUC1GjXXSiLkydRHJBmbpw%3D%3D&amp;DocumentIdParam=8xSXISW7GxJ0F2GRYjmlSZP7Pg/%2Bncl1kDgD5lEz2Onv1/od2UYyC6k5A59WD5CeGFWb95FLilblL7BIORiyk75nVflEVSaszpiXebszULSHAj0WEJrB5sP7amrh2jBD" TargetMode="External" Id="rId539" /><Relationship Type="http://schemas.openxmlformats.org/officeDocument/2006/relationships/hyperlink" Target="https://contrataciondelestado.es/wps/poc?uri=deeplink:detalle_licitacion&amp;idEvl=tnKaUW8IE6fgL1BHd3qjQA%3D%3D" TargetMode="External" Id="rId540" /><Relationship Type="http://schemas.openxmlformats.org/officeDocument/2006/relationships/hyperlink" Target="https://contrataciondelestado.es/FileSystem/servlet/GetDocumentByIdServlet?cifrado=QUC1GjXXSiLkydRHJBmbpw%3D%3D&amp;DocumentIdParam=9hyGVB5cCb0A6/3IwNtXcnIq48mXVlkxnFemHTCVVsEpzFsieguZP5NvQuOo%2Bm3Z2gCjavcltbFyo9azQFICAHSI/IrorCGOa/j3yRrDfrAC1/zDIE0Kw/PWNnLS0Z0z" TargetMode="External" Id="rId541" /><Relationship Type="http://schemas.openxmlformats.org/officeDocument/2006/relationships/hyperlink" Target="https://contrataciondelestado.es/wps/poc?uri=deeplink:detalle_licitacion&amp;idEvl=dBBpd2HkuQTE6P%2FuLemXRw%3D%3D" TargetMode="External" Id="rId542" /><Relationship Type="http://schemas.openxmlformats.org/officeDocument/2006/relationships/hyperlink" Target="https://contrataciondelestado.es/FileSystem/servlet/GetDocumentByIdServlet?cifrado=QUC1GjXXSiLkydRHJBmbpw%3D%3D&amp;DocumentIdParam=/9Lp/sihXD6l%2BeHW%2Bi1Tm4FgRDQpAQjSSvyzlmN4B6SORgW1yvdCJBdd01pbijIf3Ru1xUHtAh6LP53nP5DHeUqj6%2BdBejHUpl%2BOUVGHvwHDdQD9RyhUmzT4jZ2In4zL" TargetMode="External" Id="rId543" /><Relationship Type="http://schemas.openxmlformats.org/officeDocument/2006/relationships/hyperlink" Target="https://contrataciondelestado.es/wps/poc?uri=deeplink:detalle_licitacion&amp;idEvl=wKH5wa19u6Wzz8fXU2i3eQ%3D%3D" TargetMode="External" Id="rId544" /><Relationship Type="http://schemas.openxmlformats.org/officeDocument/2006/relationships/hyperlink" Target="https://contrataciondelestado.es/FileSystem/servlet/GetDocumentByIdServlet?cifrado=QUC1GjXXSiLkydRHJBmbpw%3D%3D&amp;DocumentIdParam=xvxK6/YpkEeklaA9fYZQeqI95B3tLTkL6kAH0MKFO1mIEG7jB8R7Cg1YkY93bY2kfMs9x/aXmGMaJo9qJ8eZTm5DZp7Qqhs3gVHUjU7RY/J7QB3HKyQaFUExmUVQCerk" TargetMode="External" Id="rId545" /><Relationship Type="http://schemas.openxmlformats.org/officeDocument/2006/relationships/hyperlink" Target="https://contrataciondelestado.es/wps/poc?uri=deeplink:detalle_licitacion&amp;idEvl=T4Twa2Dbl6A2wEhQbcAqug%3D%3D" TargetMode="External" Id="rId546" /><Relationship Type="http://schemas.openxmlformats.org/officeDocument/2006/relationships/hyperlink" Target="https://contrataciondelestado.es/FileSystem/servlet/GetDocumentByIdServlet?cifrado=QUC1GjXXSiLkydRHJBmbpw%3D%3D&amp;DocumentIdParam=rzK6srXcoj1ACR9gmq/AI4736OsqTwrs6FJFWzlc3lmrioFAeYS/EmEoJpH4lk3vlNU9CMDA/0ZaPNvwHeETSUtX/ai9DZhX134wvhYY%2BnF7QB3HKyQaFUExmUVQCerk" TargetMode="External" Id="rId547" /><Relationship Type="http://schemas.openxmlformats.org/officeDocument/2006/relationships/hyperlink" Target="https://contrataciondelestado.es/wps/poc?uri=deeplink:detalle_licitacion&amp;idEvl=8eymY6NwQo62gkLQ8TeYKA%3D%3D" TargetMode="External" Id="rId548" /><Relationship Type="http://schemas.openxmlformats.org/officeDocument/2006/relationships/hyperlink" Target="https://contrataciondelestado.es/FileSystem/servlet/GetDocumentByIdServlet?cifrado=QUC1GjXXSiLkydRHJBmbpw%3D%3D&amp;DocumentIdParam=sJ5QMzIo5FwInLtoWHkhJA3efb/Vf3FD6ZTYWQHQPy%2B6J3/G7SyfldlOcV073JzLZAsfZk9DQFkx%2BHBnVtFXmONjOha/9PNfzT7ZjdvPIorVTD3T98KC0nSgQFM0q%2B5s" TargetMode="External" Id="rId549" /><Relationship Type="http://schemas.openxmlformats.org/officeDocument/2006/relationships/hyperlink" Target="https://contrataciondelestado.es/wps/poc?uri=deeplink:detalle_licitacion&amp;idEvl=GIwc%2Fh2cLmb5Rey58Yagpg%3D%3D" TargetMode="External" Id="rId550" /><Relationship Type="http://schemas.openxmlformats.org/officeDocument/2006/relationships/hyperlink" Target="https://contrataciondelestado.es/FileSystem/servlet/GetDocumentByIdServlet?cifrado=QUC1GjXXSiLkydRHJBmbpw%3D%3D&amp;DocumentIdParam=yk4A3QxPmeqUnEpC%2BlX0jDgd/sg5mq8jirBxFwlC%2B7s235mOYAml8/2zUWvP341z7CbQjM4z5DFv9B7BMMZEyHS/HS%2BySu6qR7z6gsJeIjJ7QB3HKyQaFUExmUVQCerk" TargetMode="External" Id="rId551" /><Relationship Type="http://schemas.openxmlformats.org/officeDocument/2006/relationships/hyperlink" Target="https://contrataciondelestado.es/wps/poc?uri=deeplink:detalle_licitacion&amp;idEvl=YCi1WLP5vOg2wEhQbcAqug%3D%3D" TargetMode="External" Id="rId552" /><Relationship Type="http://schemas.openxmlformats.org/officeDocument/2006/relationships/hyperlink" Target="https://contrataciondelestado.es/FileSystem/servlet/GetDocumentByIdServlet?cifrado=QUC1GjXXSiLkydRHJBmbpw%3D%3D&amp;DocumentIdParam=EkYRvvF2JnOJa3%2BOrE%2BUAG5BCry7Nx8lJo4J/nCCosXuBwMb5HUDNwIEhqRU6xQa5MsLJ/Vql%2Bfr83oEU6HuO7wwZ6Quib/Z6FsGBJge/Jk//q7NB2iMZvNyf0xrJmjt" TargetMode="External" Id="rId553" /><Relationship Type="http://schemas.openxmlformats.org/officeDocument/2006/relationships/hyperlink" Target="https://contrataciondelestado.es/wps/poc?uri=deeplink:detalle_licitacion&amp;idEvl=wXsoOO9YqnJSYrkJkLlFdw%3D%3D" TargetMode="External" Id="rId554" /><Relationship Type="http://schemas.openxmlformats.org/officeDocument/2006/relationships/hyperlink" Target="https://contrataciondelestado.es/FileSystem/servlet/GetDocumentByIdServlet?DocumentIdParam=AobrvdZVUvei9B8QSEgtmaqvf7V1QWp770ZSB2Fab5HOGLFiEiVIlL70BAGXhW9JED/Ocrz3huZSliOh1jNFWlgT2CiPcVDACb9fqsNdz/Bt/o8fNevwsujgRzaBbugn&amp;cifrado=QUC1GjXXSiLkydRHJBmbpw%3D%3D" TargetMode="External" Id="rId555" /><Relationship Type="http://schemas.openxmlformats.org/officeDocument/2006/relationships/hyperlink" Target="https://contrataciondelestado.es/wps/poc?uri=deeplink:detalle_licitacion&amp;idEvl=1DLqx8D37CaHCIsjvJ3rhQ%3D%3D" TargetMode="External" Id="rId556"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557" /><Relationship Type="http://schemas.openxmlformats.org/officeDocument/2006/relationships/hyperlink" Target="https://contrataciondelestado.es/wps/poc?uri=deeplink:detalle_licitacion&amp;idEvl=jmRvhekPBwCP%2Bo96UAV7cQ%3D%3D" TargetMode="External" Id="rId558" /><Relationship Type="http://schemas.openxmlformats.org/officeDocument/2006/relationships/hyperlink" Target="https://contrataciondelestado.es/FileSystem/servlet/GetDocumentByIdServlet?cifrado=QUC1GjXXSiLkydRHJBmbpw%3D%3D&amp;DocumentIdParam=h4TylsiHXC8qd3KEfN0OiW91sA9MSpzn845i4wMCYp%2BONq8aO4hcfNN/f/xLf7085h8sitpTF86cYHZIUFZtsboC8Xyurse%2B7qdPG7IIsBt45ClyWkoJ44mKM70IFcOu" TargetMode="External" Id="rId559" /><Relationship Type="http://schemas.openxmlformats.org/officeDocument/2006/relationships/hyperlink" Target="https://contrataciondelestado.es/wps/poc?uri=deeplink:detalle_licitacion&amp;idEvl=Gxh%2Fu9b%2F8T7IGlsa0Wad%2Bw%3D%3D" TargetMode="External" Id="rId560" /><Relationship Type="http://schemas.openxmlformats.org/officeDocument/2006/relationships/hyperlink" Target="https://contrataciondelestado.es/FileSystem/servlet/GetDocumentByIdServlet?cifrado=QUC1GjXXSiLkydRHJBmbpw%3D%3D&amp;DocumentIdParam=ZyVuE7kMAJj/g9ittEPi68ktQGpqemaqQrLt/58F6CifcuPgJE8ubTO9xLu%2BG32njQux8P1MZgyOQ3t2mlAl0DwkCrRqp5eEWJPCOJbDo6bDdQD9RyhUmzT4jZ2In4zL" TargetMode="External" Id="rId561" /><Relationship Type="http://schemas.openxmlformats.org/officeDocument/2006/relationships/hyperlink" Target="https://contrataciondelestado.es/wps/poc?uri=deeplink:detalle_licitacion&amp;idEvl=0VAmL5tQVF4UqXM96WStVA%3D%3D" TargetMode="External" Id="rId562" /><Relationship Type="http://schemas.openxmlformats.org/officeDocument/2006/relationships/hyperlink" Target="https://contrataciondelestado.es/FileSystem/servlet/GetDocumentByIdServlet?DocumentIdParam=pPKK9jzrxZLuab9X8G6pZpg3Q0hgX/X6PLWbL7qAzFxl0FiP3Qn4CgBcKMgemUDuvgxF1Jx5rRsFhXCP9hyLPqbFfbMWWO9bOcMdnRFyTOd45ClyWkoJ44mKM70IFcOu&amp;cifrado=QUC1GjXXSiLkydRHJBmbpw%3D%3D" TargetMode="External" Id="rId563" /><Relationship Type="http://schemas.openxmlformats.org/officeDocument/2006/relationships/hyperlink" Target="https://contrataciondelestado.es/wps/poc?uri=deeplink:detalle_licitacion&amp;idEvl=zbG490Ml%2F10adbH3CysQuQ%3D%3D" TargetMode="External" Id="rId564"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565" /><Relationship Type="http://schemas.openxmlformats.org/officeDocument/2006/relationships/hyperlink" Target="https://contrataciondelestado.es/wps/poc?uri=deeplink:detalle_licitacion&amp;idEvl=D8CBZy0QQT436J9Lctlsuw%3D%3D" TargetMode="External" Id="rId566"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567" /><Relationship Type="http://schemas.openxmlformats.org/officeDocument/2006/relationships/hyperlink" Target="https://contrataciondelestado.es/wps/poc?uri=deeplink:detalle_licitacion&amp;idEvl=14tnDwsQBmn5Rey58Yagpg%3D%3D" TargetMode="External" Id="rId568"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569" /><Relationship Type="http://schemas.openxmlformats.org/officeDocument/2006/relationships/hyperlink" Target="https://contrataciondelestado.es/wps/poc?uri=deeplink:detalle_licitacion&amp;idEvl=7U7i2%2FYfCpqmq21uxhbaVQ%3D%3D" TargetMode="External" Id="rId570" /><Relationship Type="http://schemas.openxmlformats.org/officeDocument/2006/relationships/hyperlink" Target="https://contrataciondelestado.es/wps/wcm/connect/PLACE_es/Site/area/docAccCmpnt?srv=cmpnt&amp;cmpntname=GetDocumentsById&amp;source=library&amp;DocumentIdParam=c7c469fd-bbe1-454c-a139-0a974e2f6312" TargetMode="External" Id="rId571" /><Relationship Type="http://schemas.openxmlformats.org/officeDocument/2006/relationships/hyperlink" Target="https://contrataciondelestado.es/wps/poc?uri=deeplink:detalle_licitacion&amp;idEvl=KjI1P4IJoz29Hd5zqvq9cg%3D%3D" TargetMode="External" Id="rId572" /><Relationship Type="http://schemas.openxmlformats.org/officeDocument/2006/relationships/hyperlink" Target="https://contrataciondelestado.es/FileSystem/servlet/GetDocumentByIdServlet?cifrado=QUC1GjXXSiLkydRHJBmbpw%3D%3D&amp;DocumentIdParam=kUJ/0Ko0dvKez2pyHOspXIhmRDUWuSCLldOEJpoikHY8llGzBTBYzvq5vLcBKWMGwBjx0gEf3gJpdkhPeff8c/wEhR2VV/BUkMKY1nM3lJTfdyQgZAdTm3EfcUAC7CJ6" TargetMode="External" Id="rId573" /><Relationship Type="http://schemas.openxmlformats.org/officeDocument/2006/relationships/hyperlink" Target="https://contrataciondelestado.es/wps/poc?uri=deeplink:detalle_licitacion&amp;idEvl=XALEWaeO7%2BJ70UvEyYJSGw%3D%3D" TargetMode="External" Id="rId574" /><Relationship Type="http://schemas.openxmlformats.org/officeDocument/2006/relationships/hyperlink" Target="https://contrataciondelestado.es/FileSystem/servlet/GetDocumentByIdServlet?cifrado=QUC1GjXXSiLkydRHJBmbpw%3D%3D&amp;DocumentIdParam=R%2BA6XYw3VKD4VQaw%2B0RfmEjCn3Z6vM9RNj1urs8uW/wxPenvpAMvd5xlaQEibfG4J18ckdkdO36APClQP3NrrYvbTiEFckkLKoO9MLZSHm/VTD3T98KC0nSgQFM0q%2B5s" TargetMode="External" Id="rId575" /><Relationship Type="http://schemas.openxmlformats.org/officeDocument/2006/relationships/hyperlink" Target="https://contrataciondelestado.es/wps/poc?uri=deeplink:detalle_licitacion&amp;idEvl=Z0nSM81pw%2BbzAq95uGTrDQ%3D%3D" TargetMode="External" Id="rId576"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577" /><Relationship Type="http://schemas.openxmlformats.org/officeDocument/2006/relationships/hyperlink" Target="https://contrataciondelestado.es/wps/poc?uri=deeplink:detalle_licitacion&amp;idEvl=jcBSapDlhrj%2Fa9DgO%2BoYKQ%3D%3D" TargetMode="External" Id="rId578" /><Relationship Type="http://schemas.openxmlformats.org/officeDocument/2006/relationships/hyperlink" Target="https://contrataciondelestado.es/FileSystem/servlet/GetDocumentByIdServlet?cifrado=QUC1GjXXSiLkydRHJBmbpw%3D%3D&amp;DocumentIdParam=RjpSTdE/EzJ52naIT2MVZzfraReylF2TcBdX4j5cRqblcctVLg9UsZ6Sq9zKasJ/hWqLcAR09SpySBgHvoeTPsq4YngYJFQFSwCMgMAqBKbVTD3T98KC0nSgQFM0q%2B5s" TargetMode="External" Id="rId579" /><Relationship Type="http://schemas.openxmlformats.org/officeDocument/2006/relationships/hyperlink" Target="https://contrataciondelestado.es/wps/poc?uri=deeplink:detalle_licitacion&amp;idEvl=VTTubZqB5WeIzo3LHNPGcQ%3D%3D" TargetMode="External" Id="rId580" /><Relationship Type="http://schemas.openxmlformats.org/officeDocument/2006/relationships/hyperlink" Target="https://contrataciondelestado.es/FileSystem/servlet/GetDocumentByIdServlet?cifrado=QUC1GjXXSiLkydRHJBmbpw%3D%3D&amp;DocumentIdParam=8mR36RJutxChWCCW0SNxKOEKD/Btl5mEsCyU8yv884af7o2kVs7Orv2C1RqrdLDcn9N2ev0kIrjtwl8F15mZp21LU1gvYa54uY5s5sLGdsMZyAJWGsSt0OzTSTyw9JAs" TargetMode="External" Id="rId581" /><Relationship Type="http://schemas.openxmlformats.org/officeDocument/2006/relationships/hyperlink" Target="https://contrataciondelestado.es/wps/poc?uri=deeplink:detalle_licitacion&amp;idEvl=o8tQ1y0lcnpWhbmkna2nXQ%3D%3D" TargetMode="External" Id="rId582" /><Relationship Type="http://schemas.openxmlformats.org/officeDocument/2006/relationships/hyperlink" Target="https://contrataciondelestado.es/FileSystem/servlet/GetDocumentByIdServlet?cifrado=QUC1GjXXSiLkydRHJBmbpw%3D%3D&amp;DocumentIdParam=jJCyfqZ12cC0P5BynYJYOIiuhD88L%2BJx4n4B2GOUeHzKKAnUBdABNPTcsh5h5cOkYcuasdiXf4NDt4K3djo0VG9aIIsRpd6nIC47jphNjOiB0nvVKRzfe4rpHcnlPhSZ" TargetMode="External" Id="rId583" /><Relationship Type="http://schemas.openxmlformats.org/officeDocument/2006/relationships/hyperlink" Target="https://contrataciondelestado.es/wps/poc?uri=deeplink:detalle_licitacion&amp;idEvl=RWfANxnJihn%2Fa9DgO%2BoYKQ%3D%3D" TargetMode="External" Id="rId584" /><Relationship Type="http://schemas.openxmlformats.org/officeDocument/2006/relationships/hyperlink" Target="https://contrataciondelestado.es/FileSystem/servlet/GetDocumentByIdServlet?cifrado=QUC1GjXXSiLkydRHJBmbpw%3D%3D&amp;DocumentIdParam=YT2mbosatI/EOSLgDPEo0BcwYd6O5C%2BH0k1aPtpg7cjOsznkV03b/Y2M5rgjKeuOGH3sBVfqVAdfI2EkVvSoTjDUDS6LhFih%2BDOqp21XIBIC1/zDIE0Kw/PWNnLS0Z0z" TargetMode="External" Id="rId585" /><Relationship Type="http://schemas.openxmlformats.org/officeDocument/2006/relationships/hyperlink" Target="https://contrataciondelestado.es/wps/poc?uri=deeplink:detalle_licitacion&amp;idEvl=Fqtw2KyP%2BzKP66GS%2BONYvQ%3D%3D" TargetMode="External" Id="rId586" /><Relationship Type="http://schemas.openxmlformats.org/officeDocument/2006/relationships/hyperlink" Target="https://contrataciondelestado.es/wps/poc?uri=deeplink:detalle_licitacion&amp;idEvl=TCe6ydrLE4ecCF8sV%2BqtYA%3D%3D" TargetMode="External" Id="rId587" /><Relationship Type="http://schemas.openxmlformats.org/officeDocument/2006/relationships/hyperlink" Target="https://contrataciondelestado.es/FileSystem/servlet/GetDocumentByIdServlet?cifrado=QUC1GjXXSiLkydRHJBmbpw%3D%3D&amp;DocumentIdParam=h8wvjhxW6FK02AMFG8GajL6ejLX35qVzy3O9%2BTN9V6pM4ood401MbX3gxm1yD1Rv9I21iKPRflsPzwejEhVYful8mjUFNQlYfxL/bVknTb4//q7NB2iMZvNyf0xrJmjt" TargetMode="External" Id="rId588" /><Relationship Type="http://schemas.openxmlformats.org/officeDocument/2006/relationships/hyperlink" Target="https://contrataciondelestado.es/wps/poc?uri=deeplink:detalle_licitacion&amp;idEvl=%2FtT3XTGrXQVLAIVZdUs8KA%3D%3D" TargetMode="External" Id="rId589" /><Relationship Type="http://schemas.openxmlformats.org/officeDocument/2006/relationships/hyperlink" Target="https://contrataciondelestado.es/FileSystem/servlet/GetDocumentByIdServlet?cifrado=QUC1GjXXSiLkydRHJBmbpw%3D%3D&amp;DocumentIdParam=YmlHNtuhDd3028ChQ0QSVc0CCN/ELwOZ%2Bn8QW2KBrH8bw9vNzi6svC7lnkDeoYx3J3FiWVL%2BLp5dz4/KPWKYg%2BCaiXh7mZl5%2BwYBnKLQza0ZyAJWGsSt0OzTSTyw9JAs" TargetMode="External" Id="rId590" /><Relationship Type="http://schemas.openxmlformats.org/officeDocument/2006/relationships/hyperlink" Target="https://contrataciondelestado.es/wps/poc?uri=deeplink:detalle_licitacion&amp;idEvl=6ujkVoJRxwGLAncw3qdZkA%3D%3D" TargetMode="External" Id="rId591" /><Relationship Type="http://schemas.openxmlformats.org/officeDocument/2006/relationships/hyperlink" Target="https://contrataciondelestado.es/FileSystem/servlet/GetDocumentByIdServlet?cifrado=QUC1GjXXSiLkydRHJBmbpw%3D%3D&amp;DocumentIdParam=5yv%2B8vnNr4Q/4G5T9tG3/u4LYY56uU62hNwovg4qVkS0VwlllOkro6XSa/G%2BwmNYBN8OLBR4pTDeH6A%2B2h53/YNsz5vY%2BjjpG2Du2zOMFPt45ClyWkoJ44mKM70IFcOu" TargetMode="External" Id="rId592" /><Relationship Type="http://schemas.openxmlformats.org/officeDocument/2006/relationships/hyperlink" Target="https://contrataciondelestado.es/wps/poc?uri=deeplink:detalle_licitacion&amp;idEvl=zqkkj6H7wEh%2FP7lJ7Fu0SA%3D%3D" TargetMode="External" Id="rId593" /><Relationship Type="http://schemas.openxmlformats.org/officeDocument/2006/relationships/hyperlink" Target="https://contrataciondelestado.es/wps/poc?uri=deeplink:detalle_licitacion&amp;idEvl=vQNTwmd4Delq1DdmE7eaXg%3D%3D" TargetMode="External" Id="rId594" /><Relationship Type="http://schemas.openxmlformats.org/officeDocument/2006/relationships/hyperlink" Target="https://contrataciondelestado.es/wps/wcm/connect/PLACE_es/Site/area/docAccCmpnt?srv=cmpnt&amp;cmpntname=GetDocumentsById&amp;source=library&amp;DocumentIdParam=483349d0-4391-4f5a-a4f7-d97766daf3cc" TargetMode="External" Id="rId595" /><Relationship Type="http://schemas.openxmlformats.org/officeDocument/2006/relationships/hyperlink" Target="https://contrataciondelestado.es/wps/poc?uri=deeplink:detalle_licitacion&amp;idEvl=LmuPLJkK3BEeC9GJQOEBkQ%3D%3D" TargetMode="External" Id="rId596" /><Relationship Type="http://schemas.openxmlformats.org/officeDocument/2006/relationships/hyperlink" Target="https://contrataciondelestado.es/FileSystem/servlet/GetDocumentByIdServlet?cifrado=QUC1GjXXSiLkydRHJBmbpw%3D%3D&amp;DocumentIdParam=idI6B0fyKz6IeurQnTuXtcVqWttyl2fB0x/sBfVS3axv%2B4n0DftGaePq9ZifnhzImcSxCtFuTmINDPwnwDOzXHZPgqckHeE2qw2aOHX0DB545ClyWkoJ44mKM70IFcOu" TargetMode="External" Id="rId597" /><Relationship Type="http://schemas.openxmlformats.org/officeDocument/2006/relationships/hyperlink" Target="https://contrataciondelestado.es/wps/poc?uri=deeplink:detalle_licitacion&amp;idEvl=LlpSZLG1A1nyoM4us5k4vw%3D%3D" TargetMode="External" Id="rId598"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599" /><Relationship Type="http://schemas.openxmlformats.org/officeDocument/2006/relationships/hyperlink" Target="https://contrataciondelestado.es/wps/poc?uri=deeplink:detalle_licitacion&amp;idEvl=JJ%2BtMq%2FLogBrhBlEHQFSKA%3D%3D" TargetMode="External" Id="rId600" /><Relationship Type="http://schemas.openxmlformats.org/officeDocument/2006/relationships/hyperlink" Target="https://contrataciondelestado.es/FileSystem/servlet/GetDocumentByIdServlet?cifrado=QUC1GjXXSiLkydRHJBmbpw%3D%3D&amp;DocumentIdParam=h4u0tw5g/xGkgukRvw/qLuzwLWy/Ho1p607OvEjYsWQ/farrP3DMcZ1wWVKZ4mPEzr474YhPei4MxqiB2i4nzx6u/Md0TnvzX21UcsQp/qg//q7NB2iMZvNyf0xrJmjt" TargetMode="External" Id="rId601" /><Relationship Type="http://schemas.openxmlformats.org/officeDocument/2006/relationships/hyperlink" Target="https://contrataciondelestado.es/wps/poc?uri=deeplink:detalle_licitacion&amp;idEvl=sr5FF13Izs3%2Fa9DgO%2BoYKQ%3D%3D" TargetMode="External" Id="rId602" /><Relationship Type="http://schemas.openxmlformats.org/officeDocument/2006/relationships/hyperlink" Target="https://contrataciondelestado.es/wps/poc?uri=deeplink:detalle_licitacion&amp;idEvl=jEMbbnxfTKItm4eBPtV6eQ%3D%3D" TargetMode="External" Id="rId603" /><Relationship Type="http://schemas.openxmlformats.org/officeDocument/2006/relationships/hyperlink" Target="https://contrataciondelestado.es/wps/poc?uri=deeplink:detalle_licitacion&amp;idEvl=F%2BqeBwbuAXJ%2BF6L2uCfUWg%3D%3D" TargetMode="External" Id="rId604" /><Relationship Type="http://schemas.openxmlformats.org/officeDocument/2006/relationships/hyperlink" Target="https://contrataciondelestado.es/FileSystem/servlet/GetDocumentByIdServlet?cifrado=QUC1GjXXSiLkydRHJBmbpw%3D%3D&amp;DocumentIdParam=bUWdUnMVF/O3DnzkMgOwhaVKPS7WbTs9xNXJsNSIqYNVUqT0eN217pBbSrACDixA2tOh2G0RKtOSBhOAEf2p270fKoP%2B5VXD1hU8qL9xa7nVTD3T98KC0nSgQFM0q%2B5s" TargetMode="External" Id="rId605" /><Relationship Type="http://schemas.openxmlformats.org/officeDocument/2006/relationships/hyperlink" Target="https://contrataciondelestado.es/wps/poc?uri=deeplink:detalle_licitacion&amp;idEvl=NUaGzTff752cCF8sV%2BqtYA%3D%3D" TargetMode="External" Id="rId606" /><Relationship Type="http://schemas.openxmlformats.org/officeDocument/2006/relationships/hyperlink" Target="https://contrataciondelestado.es/FileSystem/servlet/GetDocumentByIdServlet?cifrado=QUC1GjXXSiLkydRHJBmbpw%3D%3D&amp;DocumentIdParam=vpMvbkgKHPDiwBIlANuFC0AJuQ5ylePOcY6b70IkjoCSnYCOYmG9BsedtY3sJdgCwFxK1FtWhu9yht4xnRE/4q6059KoRQPjDZ4OlCKcgUnfdyQgZAdTm3EfcUAC7CJ6" TargetMode="External" Id="rId607" /><Relationship Type="http://schemas.openxmlformats.org/officeDocument/2006/relationships/hyperlink" Target="https://contrataciondelestado.es/wps/poc?uri=deeplink:detalle_licitacion&amp;idEvl=UZ%2Bes3aOlwR70UvEyYJSGw%3D%3D" TargetMode="External" Id="rId608"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609" /><Relationship Type="http://schemas.openxmlformats.org/officeDocument/2006/relationships/hyperlink" Target="https://contrataciondelestado.es/wps/poc?uri=deeplink:detalle_licitacion&amp;idEvl=CdnJ2%2FfJJzeS81gZFETWmA%3D%3D" TargetMode="External" Id="rId610" /><Relationship Type="http://schemas.openxmlformats.org/officeDocument/2006/relationships/hyperlink" Target="https://contrataciondelestado.es/FileSystem/servlet/GetDocumentByIdServlet?cifrado=QUC1GjXXSiLkydRHJBmbpw%3D%3D&amp;DocumentIdParam=1MK0QbExv3FQOwhh5H1JUkvwxpssC/Ycdv4/1f4G8qYqoL6o/zN7b5WJqJi1%2BOjUJtcxwxaTHR65atUSChtsuGvhNpZ1IrE7fp5YdCpdk7qCx2e6p7hqtlp2aFupgHMr" TargetMode="External" Id="rId611" /><Relationship Type="http://schemas.openxmlformats.org/officeDocument/2006/relationships/hyperlink" Target="https://contrataciondelestado.es/wps/poc?uri=deeplink:detalle_licitacion&amp;idEvl=N4TGyrmxBHqkU02jNGj1Fw%3D%3D" TargetMode="External" Id="rId612" /><Relationship Type="http://schemas.openxmlformats.org/officeDocument/2006/relationships/hyperlink" Target="https://contrataciondelestado.es/FileSystem/servlet/GetDocumentByIdServlet?cifrado=QUC1GjXXSiLkydRHJBmbpw%3D%3D&amp;DocumentIdParam=p6UL2xrwcONyjlk65lMFhjv0LM25AZ3L9AsCV6VSnhjk/1Z6QuRhYftB2uzSW4O989jm9wbTTawY3hYLttngv5uDn/yQNdOAcQVfVAr4HuFJOVDbGCDM%2BMigrvuVS7Rv" TargetMode="External" Id="rId613" /><Relationship Type="http://schemas.openxmlformats.org/officeDocument/2006/relationships/hyperlink" Target="https://contrataciondelestado.es/wps/poc?uri=deeplink:detalle_licitacion&amp;idEvl=uZ2y4I6fsGh%2FR5QFTlaM4A%3D%3D" TargetMode="External" Id="rId614" /><Relationship Type="http://schemas.openxmlformats.org/officeDocument/2006/relationships/hyperlink" Target="https://contrataciondelestado.es/FileSystem/servlet/GetDocumentByIdServlet?cifrado=QUC1GjXXSiLkydRHJBmbpw%3D%3D&amp;DocumentIdParam=5WHE%2Be2VHRxMwfaeyukYSI0NjvV/oqVbyxSXHSiEcKfDYw6oVJNe1Ai3Do8zmCFpupTQoEj9p3Nns67T95PRYbSgIAqK1iqJUAHRPgvFIZUZyAJWGsSt0OzTSTyw9JAs" TargetMode="External" Id="rId615" /><Relationship Type="http://schemas.openxmlformats.org/officeDocument/2006/relationships/hyperlink" Target="https://contrataciondelestado.es/wps/poc?uri=deeplink:detalle_licitacion&amp;idEvl=1z6ImNY6bX%2BP66GS%2BONYvQ%3D%3D" TargetMode="External" Id="rId616" /><Relationship Type="http://schemas.openxmlformats.org/officeDocument/2006/relationships/hyperlink" Target="https://contrataciondelestado.es/FileSystem/servlet/GetDocumentByIdServlet?cifrado=QUC1GjXXSiLkydRHJBmbpw%3D%3D&amp;DocumentIdParam=5xlvmC3YbvFZ9tiHc6IYA5NtejzEyBdzjmbPUK03bhqTrFg1BJ%2BOFQseh/iM%2BHKf/LJrfEO7T7ziCLMHEjrd2aggQxwEZ5s3iVJ4k9LpVD/fdyQgZAdTm3EfcUAC7CJ6" TargetMode="External" Id="rId617" /><Relationship Type="http://schemas.openxmlformats.org/officeDocument/2006/relationships/hyperlink" Target="https://contrataciondelestado.es/wps/poc?uri=deeplink:detalle_licitacion&amp;idEvl=u%2B%2FOymaGAZV6nTs9LZ9RhQ%3D%3D" TargetMode="External" Id="rId618" /><Relationship Type="http://schemas.openxmlformats.org/officeDocument/2006/relationships/hyperlink" Target="https://contrataciondelestado.es/FileSystem/servlet/GetDocumentByIdServlet?cifrado=QUC1GjXXSiLkydRHJBmbpw%3D%3D&amp;DocumentIdParam=NWKHvlZJ9qxSoktALbkzEnsUzEkD/t7NT4i7xZTQgz4RO4/gmxs%2Bhrb7dNQ6gBOgVshZCCfsgB307JuxVBNF8adOLRvy6ZbiZQVvEFenj4w//q7NB2iMZvNyf0xrJmjt" TargetMode="External" Id="rId619" /><Relationship Type="http://schemas.openxmlformats.org/officeDocument/2006/relationships/hyperlink" Target="https://contrataciondelestado.es/wps/poc?uri=deeplink:detalle_licitacion&amp;idEvl=5Fwbbh41btvXOjazN1Dw9Q%3D%3D" TargetMode="External" Id="rId620" /><Relationship Type="http://schemas.openxmlformats.org/officeDocument/2006/relationships/hyperlink" Target="https://contrataciondelestado.es/FileSystem/servlet/GetDocumentByIdServlet?cifrado=QUC1GjXXSiLkydRHJBmbpw%3D%3D&amp;DocumentIdParam=WdS1LuaQvIfP%2B4YXarLmbxACH1kbrX9J7feOBMMPB8PnpPcEtvpmoQmnDX/K7kVYGD0geSCWFK9cNdjoCFQxOzx4e5DeeQKuDfCN8qndB/FJOVDbGCDM%2BMigrvuVS7Rv" TargetMode="External" Id="rId621" /><Relationship Type="http://schemas.openxmlformats.org/officeDocument/2006/relationships/hyperlink" Target="https://contrataciondelestado.es/wps/poc?uri=deeplink:detalle_licitacion&amp;idEvl=2vpK8K3r5Uji0Kd8%2Brcp6w%3D%3D" TargetMode="External" Id="rId622"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623" /><Relationship Type="http://schemas.openxmlformats.org/officeDocument/2006/relationships/hyperlink" Target="https://contrataciondelestado.es/wps/poc?uri=deeplink:detalle_licitacion&amp;idEvl=rZ8tWVT%2FT3KKeVWTb9Scog%3D%3D" TargetMode="External" Id="rId624" /><Relationship Type="http://schemas.openxmlformats.org/officeDocument/2006/relationships/hyperlink" Target="https://contrataciondelestado.es/FileSystem/servlet/GetDocumentByIdServlet?cifrado=QUC1GjXXSiLkydRHJBmbpw%3D%3D&amp;DocumentIdParam=nai19CG5duTC4ScC9/kl9XHHShQVrvTGuYB9MudLSC2LA2nGoIsjbb%2BSZQCvnCFqnGZ5cuExxim6mYLaf5hD3nnpuYqLnw0281tpnmUzaFb6CYyL7SIrUOBFfNf52ZqA" TargetMode="External" Id="rId625" /><Relationship Type="http://schemas.openxmlformats.org/officeDocument/2006/relationships/hyperlink" Target="https://contrataciondelestado.es/wps/poc?uri=deeplink:detalle_licitacion&amp;idEvl=6EqekwckB1nECtSnloz%2BZQ%3D%3D" TargetMode="External" Id="rId626"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627" /><Relationship Type="http://schemas.openxmlformats.org/officeDocument/2006/relationships/hyperlink" Target="https://contrataciondelestado.es/wps/poc?uri=deeplink:detalle_licitacion&amp;idEvl=YLKeR3pDJJPE6P%2FuLemXRw%3D%3D" TargetMode="External" Id="rId628" /><Relationship Type="http://schemas.openxmlformats.org/officeDocument/2006/relationships/hyperlink" Target="https://contrataciondelestado.es/FileSystem/servlet/GetDocumentByIdServlet?cifrado=QUC1GjXXSiLkydRHJBmbpw%3D%3D&amp;DocumentIdParam=VyjYB44OB6KsSPkY46IYPen2Xbh4lwgWvftNL498grsjZXKxrRJP5eGbNXcUxes2RL1pVt%2BpYTzH1tjYiO1kxJhfJKgMjypu9ix/vPXtg6h45ClyWkoJ44mKM70IFcOu" TargetMode="External" Id="rId629" /><Relationship Type="http://schemas.openxmlformats.org/officeDocument/2006/relationships/hyperlink" Target="https://contrataciondelestado.es/wps/poc?uri=deeplink:detalle_licitacion&amp;idEvl=JO9W0DSqCNzLIx6q1oPaMg%3D%3D" TargetMode="External" Id="rId630"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631" /><Relationship Type="http://schemas.openxmlformats.org/officeDocument/2006/relationships/hyperlink" Target="https://contrataciondelestado.es/wps/poc?uri=deeplink:detalle_licitacion&amp;idEvl=WE3WU9Z0OTyLAncw3qdZkA%3D%3D" TargetMode="External" Id="rId632" /><Relationship Type="http://schemas.openxmlformats.org/officeDocument/2006/relationships/hyperlink" Target="https://contrataciondelestado.es/FileSystem/servlet/GetDocumentByIdServlet?cifrado=QUC1GjXXSiLkydRHJBmbpw%3D%3D&amp;DocumentIdParam=a1NwsmOJt77tBVSTLw6ROOaepTYFVQnUa/r0N1BPdqJP1AhbHVsQtJlIHIxoDGnmnqq6OJYq7rZiuhIghW2QcFPMIDeFy6AvxRiow3NtuBffdyQgZAdTm3EfcUAC7CJ6" TargetMode="External" Id="rId633" /><Relationship Type="http://schemas.openxmlformats.org/officeDocument/2006/relationships/hyperlink" Target="https://contrataciondelestado.es/wps/poc?uri=deeplink:detalle_licitacion&amp;idEvl=hRM28F%2B6CD2P%2Bo96UAV7cQ%3D%3D" TargetMode="External" Id="rId634" /><Relationship Type="http://schemas.openxmlformats.org/officeDocument/2006/relationships/hyperlink" Target="https://contrataciondelestado.es/FileSystem/servlet/GetDocumentByIdServlet?cifrado=QUC1GjXXSiLkydRHJBmbpw%3D%3D&amp;DocumentIdParam=MHXU65ZU7L0sbZmCVVcs3g726McA%2B79aEOGKU6U7TnmoVUkOEH0LPm/SiXR%2Bp1sv0dxe7U9DhblN46pyi7B2RDiSF/U3X//Hk5gqJCUBkVX6CYyL7SIrUOBFfNf52ZqA" TargetMode="External" Id="rId635" /><Relationship Type="http://schemas.openxmlformats.org/officeDocument/2006/relationships/hyperlink" Target="https://contrataciondelestado.es/wps/poc?uri=deeplink:detalle_licitacion&amp;idEvl=3HQrXTL9O5lQFSeKCRun4Q%3D%3D" TargetMode="External" Id="rId636" /><Relationship Type="http://schemas.openxmlformats.org/officeDocument/2006/relationships/hyperlink" Target="https://contrataciondelestado.es/FileSystem/servlet/GetDocumentByIdServlet?cifrado=QUC1GjXXSiLkydRHJBmbpw%3D%3D&amp;DocumentIdParam=WKULk20oJ8DNutIOh4RVomRHz1QawDVYTDhN4FqaVYG5MFJH0NTWcKnPZ5kfP56VyTHrSrfMepbR3i2JIHT4Jbf7EIcHkkokjWMl%2BpJduN/VTD3T98KC0nSgQFM0q%2B5s" TargetMode="External" Id="rId637" /><Relationship Type="http://schemas.openxmlformats.org/officeDocument/2006/relationships/hyperlink" Target="https://contrataciondelestado.es/wps/poc?uri=deeplink:detalle_licitacion&amp;idEvl=CYERVSYRzIKsNfRW6APEDw%3D%3D" TargetMode="External" Id="rId638" /><Relationship Type="http://schemas.openxmlformats.org/officeDocument/2006/relationships/hyperlink" Target="https://contrataciondelestado.es/FileSystem/servlet/GetDocumentByIdServlet?cifrado=QUC1GjXXSiLkydRHJBmbpw%3D%3D&amp;DocumentIdParam=/jdAdNoREJ1npfBkXHdH2o07C/aeLe5U%2BzgI7mqhJnPOQcLR8NM92QP3/K4EVqRINQESuciJYDlTvA5Gp4ackvotoNqT8xX9H1vh4Ii%2BZdsC1/zDIE0Kw/PWNnLS0Z0z" TargetMode="External" Id="rId639" /><Relationship Type="http://schemas.openxmlformats.org/officeDocument/2006/relationships/hyperlink" Target="https://contrataciondelestado.es/wps/poc?uri=deeplink:detalle_licitacion&amp;idEvl=1ccFm5ezM8SKeVWTb9Scog%3D%3D" TargetMode="External" Id="rId640" /><Relationship Type="http://schemas.openxmlformats.org/officeDocument/2006/relationships/hyperlink" Target="https://contrataciondelestado.es/FileSystem/servlet/GetDocumentByIdServlet?cifrado=QUC1GjXXSiLkydRHJBmbpw%3D%3D&amp;DocumentIdParam=fz16SdZtYh43KVnbAUgVs5mlcJkY0Qkh6wh2aoFLt9OcM7elVyJxajKbVt%2BhO4tPIxsrkapVLuDEh5Ne19W4lTimuZJCEcr4tC%2BmH3sIeo33GVhXrFFqN7yFncy7YfRK" TargetMode="External" Id="rId641" /><Relationship Type="http://schemas.openxmlformats.org/officeDocument/2006/relationships/hyperlink" Target="https://contrataciondelestado.es/wps/poc?uri=deeplink:detalle_licitacion&amp;idEvl=C2fC%2BQxkblIadbH3CysQuQ%3D%3D" TargetMode="External" Id="rId642" /><Relationship Type="http://schemas.openxmlformats.org/officeDocument/2006/relationships/hyperlink" Target="https://contrataciondelestado.es/wps/wcm/connect/PLACE_es/Site/area/docAccCmpnt?srv=cmpnt&amp;cmpntname=GetDocumentsById&amp;source=library&amp;DocumentIdParam=32383051-9a56-4033-a391-d0a135114123" TargetMode="External" Id="rId643" /><Relationship Type="http://schemas.openxmlformats.org/officeDocument/2006/relationships/hyperlink" Target="https://contrataciondelestado.es/wps/poc?uri=deeplink:detalle_licitacion&amp;idEvl=OJHoCBgtTkWFlFRHfEzEaw%3D%3D" TargetMode="External" Id="rId644" /><Relationship Type="http://schemas.openxmlformats.org/officeDocument/2006/relationships/hyperlink" Target="https://contrataciondelestado.es/FileSystem/servlet/GetDocumentByIdServlet?cifrado=QUC1GjXXSiLkydRHJBmbpw%3D%3D&amp;DocumentIdParam=B/jRm5bpU8b1aqVkaCGpLOyXXLWBqorgmOKR76DbYeUL6iu/acbuoIgV%2BzkzxgLJL20N%2BGsqTcJlYRGYhag8CpsbGDCtMLoMN7kgQcFywqt7QB3HKyQaFUExmUVQCerk" TargetMode="External" Id="rId645" /><Relationship Type="http://schemas.openxmlformats.org/officeDocument/2006/relationships/hyperlink" Target="https://contrataciondelestado.es/wps/poc?uri=deeplink:detalle_licitacion&amp;idEvl=FmNzdB5omY6KeVWTb9Scog%3D%3D" TargetMode="External" Id="rId646"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647" /><Relationship Type="http://schemas.openxmlformats.org/officeDocument/2006/relationships/hyperlink" Target="https://contrataciondelestado.es/wps/poc?uri=deeplink:detalle_licitacion&amp;idEvl=m%2FSsuKfgkTmFlFRHfEzEaw%3D%3D" TargetMode="External" Id="rId648"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649" /><Relationship Type="http://schemas.openxmlformats.org/officeDocument/2006/relationships/hyperlink" Target="https://contrataciondelestado.es/wps/poc?uri=deeplink:detalle_licitacion&amp;idEvl=h0DFwdiR5GxLAIVZdUs8KA%3D%3D" TargetMode="External" Id="rId650"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651" /><Relationship Type="http://schemas.openxmlformats.org/officeDocument/2006/relationships/hyperlink" Target="https://contrataciondelestado.es/wps/poc?uri=deeplink:detalle_licitacion&amp;idEvl=KQKZ6tpE2Pzmnwcj%2BxbdTg%3D%3D" TargetMode="External" Id="rId652" /><Relationship Type="http://schemas.openxmlformats.org/officeDocument/2006/relationships/hyperlink" Target="https://contrataciondelestado.es/FileSystem/servlet/GetDocumentByIdServlet?cifrado=QUC1GjXXSiLkydRHJBmbpw%3D%3D&amp;DocumentIdParam=ocgJRLKhbmPL7Hk3mDjRda25xdMqykuE%2BTe/jmssCqwe3Nln0rbJfhtaEaCHBmfe8haggJ0Du65GFCc9oyPZHx2IWfH9QPWQxhYNAsXEQ8E//q7NB2iMZvNyf0xrJmjt" TargetMode="External" Id="rId653" /><Relationship Type="http://schemas.openxmlformats.org/officeDocument/2006/relationships/hyperlink" Target="https://contrataciondelestado.es/wps/poc?uri=deeplink:detalle_licitacion&amp;idEvl=YKbwx2ZefzAtm4eBPtV6eQ%3D%3D" TargetMode="External" Id="rId654"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655" /><Relationship Type="http://schemas.openxmlformats.org/officeDocument/2006/relationships/hyperlink" Target="https://contrataciondelestado.es/wps/poc?uri=deeplink:detalle_licitacion&amp;idEvl=AZr4hFr1yRGFlFRHfEzEaw%3D%3D" TargetMode="External" Id="rId656"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657" /><Relationship Type="http://schemas.openxmlformats.org/officeDocument/2006/relationships/hyperlink" Target="https://contrataciondelestado.es/wps/poc?uri=deeplink:detalle_licitacion&amp;idEvl=CrG%2B8coXteWAAM7L03kM8A%3D%3D" TargetMode="External" Id="rId658" /><Relationship Type="http://schemas.openxmlformats.org/officeDocument/2006/relationships/hyperlink" Target="https://contrataciondelestado.es/FileSystem/servlet/GetDocumentByIdServlet?cifrado=QUC1GjXXSiLkydRHJBmbpw%3D%3D&amp;DocumentIdParam=Bmf3mhPkNKGK1QXHIDlWI/jjrpLeGWm9U%2BiI/PmeL5h6OCZufWcsMqIPBQj8AzZtuRvW4FVnSbxEWr1SjmRBkHszlN1tvnM%2BuNJOTjOf/QXfdyQgZAdTm3EfcUAC7CJ6" TargetMode="External" Id="rId659" /><Relationship Type="http://schemas.openxmlformats.org/officeDocument/2006/relationships/hyperlink" Target="https://contrataciondelestado.es/wps/poc?uri=deeplink:detalle_licitacion&amp;idEvl=RSGrQ3Wk5SyIzo3LHNPGcQ%3D%3D" TargetMode="External" Id="rId660" /><Relationship Type="http://schemas.openxmlformats.org/officeDocument/2006/relationships/hyperlink" Target="https://contrataciondelestado.es/FileSystem/servlet/GetDocumentByIdServlet?cifrado=QUC1GjXXSiLkydRHJBmbpw%3D%3D&amp;DocumentIdParam=Y499Bvvor41B8cNK4OQxjwVED6x6EK5i0Tkn4q7aaDks2UgbauIib9VHSxuWWKiOy1mS%2BUQcM596VK3qkDne05/6TctYvpWHoZNXGklTtBjfdyQgZAdTm3EfcUAC7CJ6" TargetMode="External" Id="rId661" /><Relationship Type="http://schemas.openxmlformats.org/officeDocument/2006/relationships/hyperlink" Target="https://contrataciondelestado.es/wps/poc?uri=deeplink:detalle_licitacion&amp;idEvl=WP4qYzxMXpI%2FbjW6njtWLw%3D%3D" TargetMode="External" Id="rId662" /><Relationship Type="http://schemas.openxmlformats.org/officeDocument/2006/relationships/hyperlink" Target="https://contrataciondelestado.es/FileSystem/servlet/GetDocumentByIdServlet?cifrado=QUC1GjXXSiLkydRHJBmbpw%3D%3D&amp;DocumentIdParam=%2BkFLefBxiszcH%2BK2l491kPmYV5%2Bwzxzt4Au31HSVbCmcO6nkFgZcxH5jG%2BT5SxTND3w0aJHnJ8S4fSpWjRhcJhSEwjVnQJeODgYN9ez6bb/VTD3T98KC0nSgQFM0q%2B5s" TargetMode="External" Id="rId663" /><Relationship Type="http://schemas.openxmlformats.org/officeDocument/2006/relationships/hyperlink" Target="https://contrataciondelestado.es/wps/poc?uri=deeplink:detalle_licitacion&amp;idEvl=ZIqHmbUjI8Z4zIRvjBVCSw%3D%3D" TargetMode="External" Id="rId664" /><Relationship Type="http://schemas.openxmlformats.org/officeDocument/2006/relationships/hyperlink" Target="https://contrataciondelestado.es/FileSystem/servlet/GetDocumentByIdServlet?cifrado=QUC1GjXXSiLkydRHJBmbpw%3D%3D&amp;DocumentIdParam=HfjaFWCGtQ35XHubho%2BguwRsrxAjdnPRwbKOI%2Bs1SyTmej/fWjL2HFPcsGR2b8%2Ba4lcFd4MUszW3jD1Rj8%2BoKabFsX6tX1E6LowBzk2HCH8C1/zDIE0Kw/PWNnLS0Z0z" TargetMode="External" Id="rId665" /><Relationship Type="http://schemas.openxmlformats.org/officeDocument/2006/relationships/hyperlink" Target="https://contrataciondelestado.es/wps/poc?uri=deeplink:detalle_licitacion&amp;idEvl=BdTJAe5oNgqcTfjQf3USOg%3D%3D" TargetMode="External" Id="rId666" /><Relationship Type="http://schemas.openxmlformats.org/officeDocument/2006/relationships/hyperlink" Target="https://contrataciondelestado.es/wps/poc?uri=deeplink:detalle_licitacion&amp;idEvl=E1CRTBb3bAdVkTabT%2FRM8A%3D%3D" TargetMode="External" Id="rId667" /><Relationship Type="http://schemas.openxmlformats.org/officeDocument/2006/relationships/hyperlink" Target="https://contrataciondelestado.es/FileSystem/servlet/GetDocumentByIdServlet?cifrado=QUC1GjXXSiLkydRHJBmbpw%3D%3D&amp;DocumentIdParam=YX4Pak5WDPkJgMDwyXiNmg4o2nJHSppHctT3OIlz54aMH8pwZEyHCRHgXakaQ0ca6MgjWYpd63ULROnuDB27%2BUHkK1lUKoPZW2oNkRcjrp3VTD3T98KC0nSgQFM0q%2B5s" TargetMode="External" Id="rId668" /><Relationship Type="http://schemas.openxmlformats.org/officeDocument/2006/relationships/hyperlink" Target="https://contrataciondelestado.es/wps/poc?uri=deeplink:detalle_licitacion&amp;idEvl=XXQ9%2BYwyrK87%2B9FIQYNjeQ%3D%3D" TargetMode="External" Id="rId669" /><Relationship Type="http://schemas.openxmlformats.org/officeDocument/2006/relationships/hyperlink" Target="https://contrataciondelestado.es/FileSystem/servlet/GetDocumentByIdServlet?cifrado=QUC1GjXXSiLkydRHJBmbpw%3D%3D&amp;DocumentIdParam=sVqBlYMlKsauQqGljSFvLRWvI/vm8MEViOQHfD0T7GDwIxYbCmDmWHDROTROaEHuxOU8C7MAZvx/YIwcNwQwyMMWRkLl/EWWS18w0S0K7m9t/o8fNevwsujgRzaBbugn" TargetMode="External" Id="rId670" /><Relationship Type="http://schemas.openxmlformats.org/officeDocument/2006/relationships/hyperlink" Target="https://contrataciondelestado.es/wps/poc?uri=deeplink:detalle_licitacion&amp;idEvl=YUhObzOCEElVq4S9zvaQpQ%3D%3D" TargetMode="External" Id="rId671"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672" /><Relationship Type="http://schemas.openxmlformats.org/officeDocument/2006/relationships/hyperlink" Target="https://contrataciondelestado.es/wps/poc?uri=deeplink:detalle_licitacion&amp;idEvl=BRKRn4vEuLP10HRJw8TEnQ%3D%3D" TargetMode="External" Id="rId673"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674" /><Relationship Type="http://schemas.openxmlformats.org/officeDocument/2006/relationships/hyperlink" Target="https://contrataciondelestado.es/wps/poc?uri=deeplink:detalle_licitacion&amp;idEvl=9H33xImsHAtVq4S9zvaQpQ%3D%3D" TargetMode="External" Id="rId675"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676" /><Relationship Type="http://schemas.openxmlformats.org/officeDocument/2006/relationships/hyperlink" Target="https://contrataciondelestado.es/wps/poc?uri=deeplink:detalle_licitacion&amp;idEvl=umyVaB6PgUXi0Kd8%2Brcp6w%3D%3D" TargetMode="External" Id="rId677" /><Relationship Type="http://schemas.openxmlformats.org/officeDocument/2006/relationships/hyperlink" Target="https://contrataciondelestado.es/FileSystem/servlet/GetDocumentByIdServlet?cifrado=QUC1GjXXSiLkydRHJBmbpw%3D%3D&amp;DocumentIdParam=6jWmmPDxauJIeXRASxhYaVB/LIXEaOuCiGAyqzQXjB54ouJE4uHsUy7DZ3nuUBqLgXiAgSHgHZxeDGrBKD5ma0DaqltewXYX%2BuaJsmpmIaoZyAJWGsSt0OzTSTyw9JAs" TargetMode="External" Id="rId678" /><Relationship Type="http://schemas.openxmlformats.org/officeDocument/2006/relationships/hyperlink" Target="https://contrataciondelestado.es/wps/poc?uri=deeplink:detalle_licitacion&amp;idEvl=pvSu3bNfNSG9Hd5zqvq9cg%3D%3D" TargetMode="External" Id="rId679" /><Relationship Type="http://schemas.openxmlformats.org/officeDocument/2006/relationships/hyperlink" Target="https://contrataciondelestado.es/FileSystem/servlet/GetDocumentByIdServlet?cifrado=QUC1GjXXSiLkydRHJBmbpw%3D%3D&amp;DocumentIdParam=lIWKop0FieoGcEADg0tdLRb21OWWJDYHjdz3V7hSgUpaaKYh9EmAQWW3PdetO4TX3tWsHDxza8li9qj63RTBosqgdPygaSgkZjY6UoedWc4//q7NB2iMZvNyf0xrJmjt" TargetMode="External" Id="rId680" /><Relationship Type="http://schemas.openxmlformats.org/officeDocument/2006/relationships/hyperlink" Target="https://contrataciondelestado.es/wps/poc?uri=deeplink:detalle_licitacion&amp;idEvl=4x1V%2BBZdT1FWhbmkna2nXQ%3D%3D" TargetMode="External" Id="rId681" /><Relationship Type="http://schemas.openxmlformats.org/officeDocument/2006/relationships/hyperlink" Target="https://contrataciondelestado.es/FileSystem/servlet/GetDocumentByIdServlet?cifrado=QUC1GjXXSiLkydRHJBmbpw%3D%3D&amp;DocumentIdParam=LiB6Ni/EcrH8o8NyIzdnQpNhR85pp8h1Gq033jMlBag7PSv5cr4lP%2BSuNw2BmgmAKO2PD44/0/ju85CfgB9AH%2Be%2B4XAL4eBRLM6C7lT7qXJ45ClyWkoJ44mKM70IFcOu" TargetMode="External" Id="rId682" /><Relationship Type="http://schemas.openxmlformats.org/officeDocument/2006/relationships/hyperlink" Target="https://contrataciondelestado.es/wps/poc?uri=deeplink:detalle_licitacion&amp;idEvl=MM9a6jiiQQ2dkQsA7ROvsg%3D%3D" TargetMode="External" Id="rId683"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684" /><Relationship Type="http://schemas.openxmlformats.org/officeDocument/2006/relationships/hyperlink" Target="https://contrataciondelestado.es/wps/poc?uri=deeplink:detalle_licitacion&amp;idEvl=27YISnV1qnXgL1BHd3qjQA%3D%3D" TargetMode="External" Id="rId685"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686" /><Relationship Type="http://schemas.openxmlformats.org/officeDocument/2006/relationships/hyperlink" Target="https://contrataciondelestado.es/wps/poc?uri=deeplink:detalle_licitacion&amp;idEvl=zRHwNck%2BEnstm4eBPtV6eQ%3D%3D" TargetMode="External" Id="rId687" /><Relationship Type="http://schemas.openxmlformats.org/officeDocument/2006/relationships/hyperlink" Target="https://contrataciondelestado.es/FileSystem/servlet/GetDocumentByIdServlet?cifrado=QUC1GjXXSiLkydRHJBmbpw%3D%3D&amp;DocumentIdParam=eDOIy2JqrD02xaMRLKoNsa8vtxf9vr/0GhlA5ToWmdBOn1WRMPObr6niLts2SCZucIHa3EVMq8DieFVKsr7s5MEr1Edkw5/hjHT16ibQquIZyAJWGsSt0OzTSTyw9JAs" TargetMode="External" Id="rId688" /><Relationship Type="http://schemas.openxmlformats.org/officeDocument/2006/relationships/hyperlink" Target="https://contrataciondelestado.es/wps/poc?uri=deeplink:detalle_licitacion&amp;idEvl=%2FgUzLbHDqXwQyBAnWzHfCg%3D%3D" TargetMode="External" Id="rId689"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690" /><Relationship Type="http://schemas.openxmlformats.org/officeDocument/2006/relationships/hyperlink" Target="https://contrataciondelestado.es/wps/poc?uri=deeplink:detalle_licitacion&amp;idEvl=jxZIyyOMfW7E6P%2FuLemXRw%3D%3D" TargetMode="External" Id="rId691" /><Relationship Type="http://schemas.openxmlformats.org/officeDocument/2006/relationships/hyperlink" Target="https://contrataciondelestado.es/FileSystem/servlet/GetDocumentByIdServlet?cifrado=QUC1GjXXSiLkydRHJBmbpw%3D%3D&amp;DocumentIdParam=hUTI%2BL8D6vpqkZl5foRSLwTnqXCzrkV/Dp92pMKVP3t6Y3qYBDcNNMdScUH204Pint3fCRKro7h4r6ORvYeVblSPl7hdUkCoBYf6N6l2lmXfdyQgZAdTm3EfcUAC7CJ6" TargetMode="External" Id="rId692" /><Relationship Type="http://schemas.openxmlformats.org/officeDocument/2006/relationships/hyperlink" Target="https://contrataciondelestado.es/wps/poc?uri=deeplink:detalle_licitacion&amp;idEvl=UEEAEt8XEP8wYTJJ03sHog%3D%3D" TargetMode="External" Id="rId693" /><Relationship Type="http://schemas.openxmlformats.org/officeDocument/2006/relationships/hyperlink" Target="https://contrataciondelestado.es/FileSystem/servlet/GetDocumentByIdServlet?DocumentIdParam=1mM0Lc%2ByE1fzvWa1qDQbiKaFVj8LI5ZV/i%2BsW46B2G8DrsHLl7Ks5kbjQMyiWh5gKuMYSxYfIPABdHuhSQHBivk9csItGqNzprUPitok1q0ZyAJWGsSt0OzTSTyw9JAs&amp;cifrado=QUC1GjXXSiLkydRHJBmbpw%3D%3D" TargetMode="External" Id="rId694" /><Relationship Type="http://schemas.openxmlformats.org/officeDocument/2006/relationships/hyperlink" Target="https://contrataciondelestado.es/wps/poc?uri=deeplink:detalle_licitacion&amp;idEvl=X48Xfgxe9DDIGlsa0Wad%2Bw%3D%3D" TargetMode="External" Id="rId695" /><Relationship Type="http://schemas.openxmlformats.org/officeDocument/2006/relationships/hyperlink" Target="https://contrataciondelestado.es/FileSystem/servlet/GetDocumentByIdServlet?cifrado=QUC1GjXXSiLkydRHJBmbpw%3D%3D&amp;DocumentIdParam=L%2BVCEs%2B4RyDoobb1yT2E68h/69WBFLT63f3qcGJPkGxjhXmIj/n8RxoRDSYhOtBD3jCERTBqhsm77xsVq6Xl8vkKIPTbwIkTk/oh2jiWO3k//q7NB2iMZvNyf0xrJmjt" TargetMode="External" Id="rId696" /><Relationship Type="http://schemas.openxmlformats.org/officeDocument/2006/relationships/hyperlink" Target="https://contrataciondelestado.es/wps/poc?uri=deeplink:detalle_licitacion&amp;idEvl=r9ax9Uc7W%2Fk7%2B9FIQYNjeQ%3D%3D" TargetMode="External" Id="rId697" /><Relationship Type="http://schemas.openxmlformats.org/officeDocument/2006/relationships/hyperlink" Target="https://contrataciondelestado.es/FileSystem/servlet/GetDocumentByIdServlet?cifrado=QUC1GjXXSiLkydRHJBmbpw%3D%3D&amp;DocumentIdParam=k4AaM5V8H9KoX/Ou0zuEnu58Roxpgn0rthYFbiZhKEBi55EMBHi9Hqpgj0zWHApI7SiVoBHdijAh%2BX2t7eIVuW7OjylcwHNzhM0B9VKEm04C1/zDIE0Kw/PWNnLS0Z0z" TargetMode="External" Id="rId698" /><Relationship Type="http://schemas.openxmlformats.org/officeDocument/2006/relationships/hyperlink" Target="https://contrataciondelestado.es/wps/poc?uri=deeplink:detalle_licitacion&amp;idEvl=bN0LsvUQmIb9pbnDwlaUlg%3D%3D" TargetMode="External" Id="rId699"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700" /><Relationship Type="http://schemas.openxmlformats.org/officeDocument/2006/relationships/hyperlink" Target="https://contrataciondelestado.es/wps/poc?uri=deeplink:detalle_licitacion&amp;idEvl=1sgploS157eTylGzYmBF9Q%3D%3D" TargetMode="External" Id="rId701" /><Relationship Type="http://schemas.openxmlformats.org/officeDocument/2006/relationships/hyperlink" Target="https://contrataciondelestado.es/FileSystem/servlet/GetDocumentByIdServlet?cifrado=QUC1GjXXSiLkydRHJBmbpw%3D%3D&amp;DocumentIdParam=O2wauvlEuuaC1gtQUsrHwk8hXY1wKl270x6i87nXIWrbSDiOeb8eNUQ%2BeZvNtR3mBI3AHddDgwblsaG/9lrnzX4qpC0vTcT5TaEUulrt/5zDdQD9RyhUmzT4jZ2In4zL" TargetMode="External" Id="rId702" /><Relationship Type="http://schemas.openxmlformats.org/officeDocument/2006/relationships/hyperlink" Target="https://contrataciondelestado.es/wps/poc?uri=deeplink:detalle_licitacion&amp;idEvl=%2BW5ievmptwqopEMYCmrbmw%3D%3D" TargetMode="External" Id="rId703"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704" /><Relationship Type="http://schemas.openxmlformats.org/officeDocument/2006/relationships/hyperlink" Target="https://contrataciondelestado.es/wps/poc?uri=deeplink:detalle_licitacion&amp;idEvl=oTeXpDL8PyqLAncw3qdZkA%3D%3D" TargetMode="External" Id="rId705" /><Relationship Type="http://schemas.openxmlformats.org/officeDocument/2006/relationships/hyperlink" Target="https://contrataciondelestado.es/FileSystem/servlet/GetDocumentByIdServlet?cifrado=QUC1GjXXSiLkydRHJBmbpw%3D%3D&amp;DocumentIdParam=4v1f1W6As413GxbdKhVtMyNezzPM/vrHg9jFYZg/v/JmJDoWa%2BiqLi8FpXmJ754U%2BBtlZ50DwE/Rl79FijE3KJPTkJC1%2By3dWSva/eFEZ8%2BCx2e6p7hqtlp2aFupgHMr" TargetMode="External" Id="rId706" /><Relationship Type="http://schemas.openxmlformats.org/officeDocument/2006/relationships/hyperlink" Target="https://contrataciondelestado.es/wps/poc?uri=deeplink:detalle_licitacion&amp;idEvl=nYtI8TQbtengL1BHd3qjQA%3D%3D" TargetMode="External" Id="rId707" /><Relationship Type="http://schemas.openxmlformats.org/officeDocument/2006/relationships/hyperlink" Target="https://contrataciondelestado.es/FileSystem/servlet/GetDocumentByIdServlet?cifrado=QUC1GjXXSiLkydRHJBmbpw%3D%3D&amp;DocumentIdParam=vrjV14%2B4WF/mC7xstE224SmpXkvxT%2BLKtet0yhO/2fNVd0J7/4c7oq5INqDTKk1JwjEtrbuNIl/xnpamx5kd/Tv%2BX1C2OooPIR/54fOrYK6Cx2e6p7hqtlp2aFupgHMr" TargetMode="External" Id="rId708" /><Relationship Type="http://schemas.openxmlformats.org/officeDocument/2006/relationships/hyperlink" Target="https://contrataciondelestado.es/wps/poc?uri=deeplink:detalle_licitacion&amp;idEvl=PqHUaunj%2FnO5HQrHoP3G5A%3D%3D" TargetMode="External" Id="rId709" /><Relationship Type="http://schemas.openxmlformats.org/officeDocument/2006/relationships/hyperlink" Target="https://contrataciondelestado.es/FileSystem/servlet/GetDocumentByIdServlet?DocumentIdParam=Al8GmMibr//TgLsElCdO996aprHZnxnh6SuCkBDTwNin6SwnmH2qfFp8IO/KoRGryLqfo7bRJMOgwqrgHDUybeWd%2BzgYnm5cdOoPpA/JbfSB0nvVKRzfe4rpHcnlPhSZ&amp;cifrado=QUC1GjXXSiLkydRHJBmbpw%3D%3D" TargetMode="External" Id="rId710" /><Relationship Type="http://schemas.openxmlformats.org/officeDocument/2006/relationships/hyperlink" Target="https://contrataciondelestado.es/wps/poc?uri=deeplink:detalle_licitacion&amp;idEvl=Vhm6WdsZ1OwkJPJS%2BPS9vg%3D%3D" TargetMode="External" Id="rId711" /><Relationship Type="http://schemas.openxmlformats.org/officeDocument/2006/relationships/hyperlink" Target="https://contrataciondelestado.es/FileSystem/servlet/GetDocumentByIdServlet?cifrado=QUC1GjXXSiLkydRHJBmbpw%3D%3D&amp;DocumentIdParam=zqJFrCyfjUJpRqfz9hOMoz0HT369Do6LqimT2kZPrgZc585FTG1HQjzx0BW57Ti7%2B31HijiwMszvNQqjievCROkR335yAuNlmV2StXoplqaHAj0WEJrB5sP7amrh2jBD" TargetMode="External" Id="rId712" /><Relationship Type="http://schemas.openxmlformats.org/officeDocument/2006/relationships/hyperlink" Target="https://contrataciondelestado.es/wps/poc?uri=deeplink:detalle_licitacion&amp;idEvl=VD2GfuuUA5mExvMJXBMHHQ%3D%3D" TargetMode="External" Id="rId713" /><Relationship Type="http://schemas.openxmlformats.org/officeDocument/2006/relationships/hyperlink" Target="https://contrataciondelestado.es/FileSystem/servlet/GetDocumentByIdServlet?cifrado=QUC1GjXXSiLkydRHJBmbpw%3D%3D&amp;DocumentIdParam=GZKlOtWmd7NLAXq0xolLuSbGqk9QlOrrKQiRZhSvnSM4UA3eQE1yNgD19CH5DEfXLTj3nXlRf7daTfuVNk58W9SNtl3%2BobVVSdu%2BcV/Y3mX3GVhXrFFqN7yFncy7YfRK" TargetMode="External" Id="rId714" /><Relationship Type="http://schemas.openxmlformats.org/officeDocument/2006/relationships/hyperlink" Target="https://contrataciondelestado.es/wps/poc?uri=deeplink:detalle_licitacion&amp;idEvl=BbQXLyc7ZSycTfjQf3USOg%3D%3D" TargetMode="External" Id="rId715" /><Relationship Type="http://schemas.openxmlformats.org/officeDocument/2006/relationships/hyperlink" Target="https://contrataciondelestado.es/FileSystem/servlet/GetDocumentByIdServlet?cifrado=QUC1GjXXSiLkydRHJBmbpw%3D%3D&amp;DocumentIdParam=Chi5kps6td6sB5bOoDPnnR1UcvUUD3t0893OcO65TsYu/0s4ELp7EuxrwTo6YCQlZq1IX0F1nFChI5w0Sk0UV3VH05cMHSal2Gn1byeLCCm1aXEvq3KHa/AEHgtDrQw0" TargetMode="External" Id="rId716" /><Relationship Type="http://schemas.openxmlformats.org/officeDocument/2006/relationships/hyperlink" Target="https://contrataciondelestado.es/wps/poc?uri=deeplink:detalle_licitacion&amp;idEvl=ySB%2Bd%2BuiMs5Vq4S9zvaQpQ%3D%3D" TargetMode="External" Id="rId717" /><Relationship Type="http://schemas.openxmlformats.org/officeDocument/2006/relationships/hyperlink" Target="https://contrataciondelestado.es/FileSystem/servlet/GetDocumentByIdServlet?DocumentIdParam=kPU%2BIS3n79GIGs/eUHl0yMlBu00fVk/F1UKamBm0dDsR3wTr0cF/JGb2V%2B3Jlwfwkm%2BRWzNfORc/8wX%2BOrIOUMqkr5tgYU0Q0L/SgdnGXC2B0nvVKRzfe4rpHcnlPhSZ&amp;cifrado=QUC1GjXXSiLkydRHJBmbpw%3D%3D" TargetMode="External" Id="rId718" /><Relationship Type="http://schemas.openxmlformats.org/officeDocument/2006/relationships/hyperlink" Target="https://contrataciondelestado.es/wps/poc?uri=deeplink:detalle_licitacion&amp;idEvl=bl9bEg1xa7Mtm4eBPtV6eQ%3D%3D" TargetMode="External" Id="rId719" /><Relationship Type="http://schemas.openxmlformats.org/officeDocument/2006/relationships/hyperlink" Target="https://contrataciondelestado.es/FileSystem/servlet/GetDocumentByIdServlet?cifrado=QUC1GjXXSiLkydRHJBmbpw%3D%3D&amp;DocumentIdParam=PrJPeRmDiAqCQcHYLWkKvz20sZxOxs39fJY1oMzPVI7BWPc5EddOD1Gdc3L13VOo6Bsv%2BROtP9ZnDpvubwBKiEh5e1NevJwDpTCsgM2IYTp7QB3HKyQaFUExmUVQCerk" TargetMode="External" Id="rId720" /><Relationship Type="http://schemas.openxmlformats.org/officeDocument/2006/relationships/hyperlink" Target="https://contrataciondelestado.es/wps/poc?uri=deeplink:detalle_licitacion&amp;idEvl=n2%2BXOyRj%2Bry5HQrHoP3G5A%3D%3D" TargetMode="External" Id="rId721" /><Relationship Type="http://schemas.openxmlformats.org/officeDocument/2006/relationships/hyperlink" Target="https://contrataciondelestado.es/FileSystem/servlet/GetDocumentByIdServlet?cifrado=QUC1GjXXSiLkydRHJBmbpw%3D%3D&amp;DocumentIdParam=4v1f1W6As413GxbdKhVtM88s/pwWgBCz625L0/wEeGROj10Bh%2Bud/Fa9T9RIAaU7hXKyG6TC1vQHsGqTfmsg6i9cKkp4aAHShFfA8LJ69Edt/o8fNevwsujgRzaBbugn" TargetMode="External" Id="rId722" /><Relationship Type="http://schemas.openxmlformats.org/officeDocument/2006/relationships/hyperlink" Target="https://contrataciondelestado.es/wps/poc?uri=deeplink:detalle_licitacion&amp;idEvl=sJlo7XvmlNC8ebB%2FXTwy0A%3D%3D" TargetMode="External" Id="rId723"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724" /><Relationship Type="http://schemas.openxmlformats.org/officeDocument/2006/relationships/hyperlink" Target="https://contrataciondelestado.es/wps/poc?uri=deeplink:detalle_licitacion&amp;idEvl=AOC9KBvyo1t4zIRvjBVCSw%3D%3D" TargetMode="External" Id="rId725" /><Relationship Type="http://schemas.openxmlformats.org/officeDocument/2006/relationships/hyperlink" Target="https://contrataciondelestado.es/FileSystem/servlet/GetDocumentByIdServlet?cifrado=QUC1GjXXSiLkydRHJBmbpw%3D%3D&amp;DocumentIdParam=spM/wpiZ%2BLzi6%2BlXqwD92U7joAtPSj7ZYg6UhKyb5S%2BR%2BozGZxbcYLDdFO64CTlX5kDoVStQQdP%2BkNAh1q0%2BRh5ZleCl6ZOMDmmDHd%2BKKR%2BCx2e6p7hqtlp2aFupgHMr" TargetMode="External" Id="rId726" /><Relationship Type="http://schemas.openxmlformats.org/officeDocument/2006/relationships/hyperlink" Target="https://contrataciondelestado.es/wps/poc?uri=deeplink:detalle_licitacion&amp;idEvl=RNN7Zc%2FVbc39pbnDwlaUlg%3D%3D" TargetMode="External" Id="rId727" /><Relationship Type="http://schemas.openxmlformats.org/officeDocument/2006/relationships/hyperlink" Target="https://contrataciondelestado.es/FileSystem/servlet/GetDocumentByIdServlet?cifrado=QUC1GjXXSiLkydRHJBmbpw%3D%3D&amp;DocumentIdParam=o45v/vZNx91sLlZ1%2BVkuQdKhwtYjfMxcUctMlnrbzFTaUmef2N3Oov9iLU5Y28RyAiHYtGgP29kqotcJtFM0TyytjPE8YEfRW9Fgl8340WkC1/zDIE0Kw/PWNnLS0Z0z" TargetMode="External" Id="rId728" /><Relationship Type="http://schemas.openxmlformats.org/officeDocument/2006/relationships/hyperlink" Target="https://contrataciondelestado.es/wps/poc?uri=deeplink:detalle_licitacion&amp;idEvl=HeQsQVj0vwDIGlsa0Wad%2Bw%3D%3D" TargetMode="External" Id="rId729" /><Relationship Type="http://schemas.openxmlformats.org/officeDocument/2006/relationships/hyperlink" Target="https://contrataciondelestado.es/FileSystem/servlet/GetDocumentByIdServlet?cifrado=QUC1GjXXSiLkydRHJBmbpw%3D%3D&amp;DocumentIdParam=x/Kfsu3jQvLa5TMX03QOGn%2BLJZw%2BmmFaab6hU8w8NE0y8vINJyVMiGLasiW6Cg5n7NjfOQTo69eGAFCk4/677FiAnwqesLixkz8t7/zi2kGHAj0WEJrB5sP7amrh2jBD" TargetMode="External" Id="rId730" /><Relationship Type="http://schemas.openxmlformats.org/officeDocument/2006/relationships/hyperlink" Target="https://contrataciondelestado.es/wps/poc?uri=deeplink:detalle_licitacion&amp;idEvl=Kgq53I%2B8GHfmnwcj%2BxbdTg%3D%3D" TargetMode="External" Id="rId731" /><Relationship Type="http://schemas.openxmlformats.org/officeDocument/2006/relationships/hyperlink" Target="https://contrataciondelestado.es/FileSystem/servlet/GetDocumentByIdServlet?cifrado=QUC1GjXXSiLkydRHJBmbpw%3D%3D&amp;DocumentIdParam=AwLMGWrAHBVFVAmiUGTdir2DhZV3olcjdqZbIq1AFtu9D0dQZgpwsiyA4RedEU0xqjlpx70iNQN2/i55Dt0mogG2ufhnxUzAe5K2rJUJAxDVTD3T98KC0nSgQFM0q%2B5s" TargetMode="External" Id="rId732" /><Relationship Type="http://schemas.openxmlformats.org/officeDocument/2006/relationships/hyperlink" Target="https://contrataciondelestado.es/wps/poc?uri=deeplink:detalle_licitacion&amp;idEvl=TjmgVvGYcwP5Rey58Yagpg%3D%3D" TargetMode="External" Id="rId733" /><Relationship Type="http://schemas.openxmlformats.org/officeDocument/2006/relationships/hyperlink" Target="https://contrataciondelestado.es/FileSystem/servlet/GetDocumentByIdServlet?cifrado=QUC1GjXXSiLkydRHJBmbpw%3D%3D&amp;DocumentIdParam=a%2B1CmDvUXKo5PYPXfdBfz/K5opdgf1vNtKJWh3svwOxDxckJ7UCzQxUeVViAXBDbh3Ax0borEcYPJdUfLofCqBMMbQhwG%2BKPqPkxKolFnYU//q7NB2iMZvNyf0xrJmjt" TargetMode="External" Id="rId734" /><Relationship Type="http://schemas.openxmlformats.org/officeDocument/2006/relationships/hyperlink" Target="https://contrataciondelestado.es/wps/poc?uri=deeplink:detalle_licitacion&amp;idEvl=ALkO3WFWuCqHCIsjvJ3rhQ%3D%3D" TargetMode="External" Id="rId735" /><Relationship Type="http://schemas.openxmlformats.org/officeDocument/2006/relationships/hyperlink" Target="https://contrataciondelestado.es/FileSystem/servlet/GetDocumentByIdServlet?cifrado=QUC1GjXXSiLkydRHJBmbpw%3D%3D&amp;DocumentIdParam=2L%2B45V9AMM7bkIjR8hM%2BkRb6u2zCpK9THTZh6CWkuqu1DBwXsvcG0J7ZvqlwgueRkFd2obHdoJLpRDoFdQLTsFFJB0Ut7cK9LcWC7MSazdCHAj0WEJrB5sP7amrh2jBD" TargetMode="External" Id="rId736" /><Relationship Type="http://schemas.openxmlformats.org/officeDocument/2006/relationships/hyperlink" Target="https://contrataciondelestado.es/wps/poc?uri=deeplink:detalle_licitacion&amp;idEvl=qmz1vmd%2FDTZJ8Trn0ZPzLw%3D%3D" TargetMode="External" Id="rId737"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738" /><Relationship Type="http://schemas.openxmlformats.org/officeDocument/2006/relationships/hyperlink" Target="https://contrataciondelestado.es/wps/poc?uri=deeplink:detalle_licitacion&amp;idEvl=CBnwtJaHz0Ul5NjlNci%2BtA%3D%3D" TargetMode="External" Id="rId739"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740" /><Relationship Type="http://schemas.openxmlformats.org/officeDocument/2006/relationships/hyperlink" Target="https://contrataciondelestado.es/wps/poc?uri=deeplink:detalle_licitacion&amp;idEvl=OQSTtcQA%2BLV70UvEyYJSGw%3D%3D" TargetMode="External" Id="rId741" /><Relationship Type="http://schemas.openxmlformats.org/officeDocument/2006/relationships/hyperlink" Target="https://contrataciondelestado.es/FileSystem/servlet/GetDocumentByIdServlet?cifrado=QUC1GjXXSiLkydRHJBmbpw%3D%3D&amp;DocumentIdParam=vzr0l8Mfb%2BzQNIaRYG8v5QEWKlXn9ftjnS61sLlCAuV6EOJGfnpeWkZMDz7kmytmxziJWM/0R%2BBvhBaPJNQEo4RdbpC/v9/8fWYpHRCOynp45ClyWkoJ44mKM70IFcOu" TargetMode="External" Id="rId742" /><Relationship Type="http://schemas.openxmlformats.org/officeDocument/2006/relationships/hyperlink" Target="https://contrataciondelestado.es/wps/poc?uri=deeplink:detalle_licitacion&amp;idEvl=9WMzL3VWy8zua%2Fi14w%2FPLA%3D%3D" TargetMode="External" Id="rId743" /><Relationship Type="http://schemas.openxmlformats.org/officeDocument/2006/relationships/hyperlink" Target="https://contrataciondelestado.es/FileSystem/servlet/GetDocumentByIdServlet?cifrado=QUC1GjXXSiLkydRHJBmbpw%3D%3D&amp;DocumentIdParam=uEfUPZOD0SsUyh%2BV%2BR/6G5qup7gGXVpW9RnFx5kdAzWwb9aYefI2uvQ965rXR7noKyl2BwCCTnICSt6k1hG2pQ/%2BoUuHAf5oTW9OnxA6nt8ZyAJWGsSt0OzTSTyw9JAs" TargetMode="External" Id="rId744" /><Relationship Type="http://schemas.openxmlformats.org/officeDocument/2006/relationships/hyperlink" Target="https://contrataciondelestado.es/wps/poc?uri=deeplink:detalle_licitacion&amp;idEvl=YEFLcMCNm%2F9%2FP7lJ7Fu0SA%3D%3D" TargetMode="External" Id="rId745" /><Relationship Type="http://schemas.openxmlformats.org/officeDocument/2006/relationships/hyperlink" Target="https://contrataciondelestado.es/FileSystem/servlet/GetDocumentByIdServlet?cifrado=QUC1GjXXSiLkydRHJBmbpw%3D%3D&amp;DocumentIdParam=%2B/SgxxG2o60Xdevz1DkVa1t3%2B2fP05xTZvg6dUzw1MY777ervOpKwDZXEvlOJaIJ/SLsNJ1eOwXlKyFPsm80qGxYR/d9/of50ZgBH7l7vPJJOVDbGCDM%2BMigrvuVS7Rv" TargetMode="External" Id="rId746" /><Relationship Type="http://schemas.openxmlformats.org/officeDocument/2006/relationships/hyperlink" Target="https://contrataciondelestado.es/wps/poc?uri=deeplink:detalle_licitacion&amp;idEvl=AweixqWWqW7L1rX3q%2FMAPA%3D%3D" TargetMode="External" Id="rId747" /><Relationship Type="http://schemas.openxmlformats.org/officeDocument/2006/relationships/hyperlink" Target="https://contrataciondelestado.es/FileSystem/servlet/GetDocumentByIdServlet?cifrado=QUC1GjXXSiLkydRHJBmbpw%3D%3D&amp;DocumentIdParam=uJujLdCKl33eDBsWU3XRUufaJV%2BxH3lgKM5lHdQG10/YPFrJQkZFnUvyLdc5topbLwh61j/6KzaWvzWCDOseHixLqET0KFAYmdjmMCTjS3TVTD3T98KC0nSgQFM0q%2B5s" TargetMode="External" Id="rId748" /><Relationship Type="http://schemas.openxmlformats.org/officeDocument/2006/relationships/hyperlink" Target="https://contrataciondelestado.es/wps/poc?uri=deeplink:detalle_licitacion&amp;idEvl=H%2Bs5A9jWHKAQyBAnWzHfCg%3D%3D" TargetMode="External" Id="rId749"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750" /><Relationship Type="http://schemas.openxmlformats.org/officeDocument/2006/relationships/hyperlink" Target="https://contrataciondelestado.es/wps/poc?uri=deeplink:detalle_licitacion&amp;idEvl=nsHwSLYLMaTmnwcj%2BxbdTg%3D%3D" TargetMode="External" Id="rId751"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752" /><Relationship Type="http://schemas.openxmlformats.org/officeDocument/2006/relationships/hyperlink" Target="https://contrataciondelestado.es/wps/poc?uri=deeplink:detalle_licitacion&amp;idEvl=vP2MZjo9ib2qb7rCcv76BA%3D%3D" TargetMode="External" Id="rId753"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754" /><Relationship Type="http://schemas.openxmlformats.org/officeDocument/2006/relationships/hyperlink" Target="https://contrataciondelestado.es/wps/poc?uri=deeplink:detalle_licitacion&amp;idEvl=LseY1uTrycBPpzdqOdhuWg%3D%3D" TargetMode="External" Id="rId755" /><Relationship Type="http://schemas.openxmlformats.org/officeDocument/2006/relationships/hyperlink" Target="https://contrataciondelestado.es/FileSystem/servlet/GetDocumentByIdServlet?cifrado=QUC1GjXXSiLkydRHJBmbpw%3D%3D&amp;DocumentIdParam=DeP7HJJ2k%2BAyfB/lpT29RQ7muL4sIKcd5PWR/E0QoytVNrcYAJhgFRHH/IuxtDx98cTwZvUmaIOdN1vvi4zh7RVqPHTXcqtFfHV0WpBzMRmHAj0WEJrB5sP7amrh2jBD" TargetMode="External" Id="rId756" /><Relationship Type="http://schemas.openxmlformats.org/officeDocument/2006/relationships/hyperlink" Target="https://contrataciondelestado.es/wps/poc?uri=deeplink:detalle_licitacion&amp;idEvl=rwYcypkBQystm4eBPtV6eQ%3D%3D" TargetMode="External" Id="rId757" /><Relationship Type="http://schemas.openxmlformats.org/officeDocument/2006/relationships/hyperlink" Target="https://contrataciondelestado.es/FileSystem/servlet/GetDocumentByIdServlet?cifrado=QUC1GjXXSiLkydRHJBmbpw%3D%3D&amp;DocumentIdParam=5GG1L2pLIsrldNzI3wPdl8SxOsripmTZAk85niNTEgkv1FZgejLqbVlNkLml4QFFIDWestTTm/XrSCCid3xRm6MB9E8C7NrQrlw%2BEAaV5Em1aXEvq3KHa/AEHgtDrQw0" TargetMode="External" Id="rId758" /><Relationship Type="http://schemas.openxmlformats.org/officeDocument/2006/relationships/hyperlink" Target="https://contrataciondelestado.es/wps/poc?uri=deeplink:detalle_licitacion&amp;idEvl=BkCluoe%2BAoHjHF5qKI4aaw%3D%3D" TargetMode="External" Id="rId759" /><Relationship Type="http://schemas.openxmlformats.org/officeDocument/2006/relationships/hyperlink" Target="https://contrataciondelestado.es/FileSystem/servlet/GetDocumentByIdServlet?cifrado=QUC1GjXXSiLkydRHJBmbpw%3D%3D&amp;DocumentIdParam=4%2BajQpcbYjjY6o13Mi2Xgb/cCFFTM9dJB8kxlXuIATWmvZa0y/YxideGn/3ZOPbewD3yRLzGZMa49MG5jyVWvO/5DNxbm7bdvCJyLwtSPpsZyAJWGsSt0OzTSTyw9JAs" TargetMode="External" Id="rId760" /><Relationship Type="http://schemas.openxmlformats.org/officeDocument/2006/relationships/hyperlink" Target="https://contrataciondelestado.es/wps/poc?uri=deeplink:detalle_licitacion&amp;idEvl=zso0KsUSwMV6nTs9LZ9RhQ%3D%3D" TargetMode="External" Id="rId761"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762" /><Relationship Type="http://schemas.openxmlformats.org/officeDocument/2006/relationships/hyperlink" Target="https://contrataciondelestado.es/wps/poc?uri=deeplink:detalle_licitacion&amp;idEvl=XCOsbrsL0QCGCFcHcNGIlQ%3D%3D" TargetMode="External" Id="rId763" /><Relationship Type="http://schemas.openxmlformats.org/officeDocument/2006/relationships/hyperlink" Target="https://contrataciondelestado.es/FileSystem/servlet/GetDocumentByIdServlet?cifrado=QUC1GjXXSiLkydRHJBmbpw%3D%3D&amp;DocumentIdParam=pIJvNGq06IpO9tvfAEBzSpU7L%2BLJk/8CU2vryPUxB0KQUi/t9qBXZW1mx5f5mXYT0H8H0sBbgyekJcnxDd1f1jQMX0OHkKL9Fdfc9ifiLocC1/zDIE0Kw/PWNnLS0Z0z" TargetMode="External" Id="rId764" /><Relationship Type="http://schemas.openxmlformats.org/officeDocument/2006/relationships/hyperlink" Target="https://contrataciondelestado.es/wps/poc?uri=deeplink:detalle_licitacion&amp;idEvl=WkYWuFQFGwwzjChw4z%2FXvw%3D%3D" TargetMode="External" Id="rId765" /><Relationship Type="http://schemas.openxmlformats.org/officeDocument/2006/relationships/hyperlink" Target="https://contrataciondelestado.es/FileSystem/servlet/GetDocumentByIdServlet?cifrado=QUC1GjXXSiLkydRHJBmbpw%3D%3D&amp;DocumentIdParam=0x8Jr0LXA5pFm0c9g0xyCXkyr0bXV5V5DYILlHAZUxhnWxk0vm8twWpZ4UZv/yZ0tOgHbX9ouX7bVMTf3Q2ovman9UkA5n0lNXEsQ2X7t0X6CYyL7SIrUOBFfNf52ZqA" TargetMode="External" Id="rId766" /><Relationship Type="http://schemas.openxmlformats.org/officeDocument/2006/relationships/hyperlink" Target="https://contrataciondelestado.es/wps/poc?uri=deeplink:detalle_licitacion&amp;idEvl=UY9I%2BuFLCrYIYE3ZiZ%2BxmQ%3D%3D" TargetMode="External" Id="rId767"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768" /><Relationship Type="http://schemas.openxmlformats.org/officeDocument/2006/relationships/hyperlink" Target="https://contrataciondelestado.es/wps/poc?uri=deeplink:detalle_licitacion&amp;idEvl=wMwTYhubBHRLAIVZdUs8KA%3D%3D" TargetMode="External" Id="rId769" /><Relationship Type="http://schemas.openxmlformats.org/officeDocument/2006/relationships/hyperlink" Target="https://contrataciondelestado.es/FileSystem/servlet/GetDocumentByIdServlet?cifrado=QUC1GjXXSiLkydRHJBmbpw%3D%3D&amp;DocumentIdParam=v0PXcTo8NdLT6XWi8Z5tntvT5qN3YQH0VBXHKh6LiMrnS1y829RMqhvTm4NniGFHUmxUEfW3F1KUrmWhJ9w5YUZMArXa7rm42eoFixaAE8d45ClyWkoJ44mKM70IFcOu" TargetMode="External" Id="rId770" /><Relationship Type="http://schemas.openxmlformats.org/officeDocument/2006/relationships/hyperlink" Target="https://contrataciondelestado.es/wps/poc?uri=deeplink:detalle_licitacion&amp;idEvl=MXGIYT%2Bidt7gL1BHd3qjQA%3D%3D" TargetMode="External" Id="rId771" /><Relationship Type="http://schemas.openxmlformats.org/officeDocument/2006/relationships/hyperlink" Target="https://contrataciondelestado.es/FileSystem/servlet/GetDocumentByIdServlet?cifrado=QUC1GjXXSiLkydRHJBmbpw%3D%3D&amp;DocumentIdParam=4ffGcMwacKjTPeGp2snk9VdrQ/THxBtfLEH//1qYSN92zH8IZ%2B1ANqtBNKHYyLktnZdN1Uq6a9pFZLZGzODMJ/Gkk169xzf9pQLEicTn7lbDdQD9RyhUmzT4jZ2In4zL" TargetMode="External" Id="rId772" /><Relationship Type="http://schemas.openxmlformats.org/officeDocument/2006/relationships/hyperlink" Target="https://contrataciondelestado.es/wps/poc?uri=deeplink:detalle_licitacion&amp;idEvl=DL1uKkNW1NmGCFcHcNGIlQ%3D%3D" TargetMode="External" Id="rId773" /><Relationship Type="http://schemas.openxmlformats.org/officeDocument/2006/relationships/hyperlink" Target="https://contrataciondelestado.es/FileSystem/servlet/GetDocumentByIdServlet?cifrado=QUC1GjXXSiLkydRHJBmbpw%3D%3D&amp;DocumentIdParam=VHdXhiQ1P0FXpdRWBT1oVBsOqI2KP/JYQ5kavyXFLTnyvJjcEv28LE8QpF2OBWpY57M5FM83KZoD8vr%2BpTnjtZup8S0qmkpvIXxGactoRnZt/o8fNevwsujgRzaBbugn" TargetMode="External" Id="rId774" /><Relationship Type="http://schemas.openxmlformats.org/officeDocument/2006/relationships/hyperlink" Target="https://contrataciondelestado.es/wps/poc?uri=deeplink:detalle_licitacion&amp;idEvl=eOHtEnkmKqDE6P%2FuLemXRw%3D%3D" TargetMode="External" Id="rId775" /><Relationship Type="http://schemas.openxmlformats.org/officeDocument/2006/relationships/hyperlink" Target="https://contrataciondelestado.es/FileSystem/servlet/GetDocumentByIdServlet?cifrado=QUC1GjXXSiLkydRHJBmbpw%3D%3D&amp;DocumentIdParam=Tk3iToIV5CVaNb186iwAmg02IFjYBaH6C6gtApt14OyCK4eWLxu6ludAXLcY5289D491FJ0I2xILwqVIFfhtWaEdztZ5n64bj2e64ht9vEcC1/zDIE0Kw/PWNnLS0Z0z" TargetMode="External" Id="rId776" /><Relationship Type="http://schemas.openxmlformats.org/officeDocument/2006/relationships/hyperlink" Target="https://contrataciondelestado.es/wps/poc?uri=deeplink:detalle_licitacion&amp;idEvl=qYNItvFojFecTfjQf3USOg%3D%3D" TargetMode="External" Id="rId777" /><Relationship Type="http://schemas.openxmlformats.org/officeDocument/2006/relationships/hyperlink" Target="https://contrataciondelestado.es/FileSystem/servlet/GetDocumentByIdServlet?cifrado=QUC1GjXXSiLkydRHJBmbpw%3D%3D&amp;DocumentIdParam=JnIHsfIzN2Y6RVO%2BNoD9kgzlHn%2Bx8PKT/WH8Pyf5Z03LFdQJ93%2BATLKL/EhyQrItjH4TI/J74fy2Je2CEJIJTCkKzFvtywRk10F%2BYxquOIF7QB3HKyQaFUExmUVQCerk" TargetMode="External" Id="rId778" /><Relationship Type="http://schemas.openxmlformats.org/officeDocument/2006/relationships/hyperlink" Target="https://contrataciondelestado.es/wps/poc?uri=deeplink:detalle_licitacion&amp;idEvl=eOm6iMtSY0m8ebB%2FXTwy0A%3D%3D" TargetMode="External" Id="rId779" /><Relationship Type="http://schemas.openxmlformats.org/officeDocument/2006/relationships/hyperlink" Target="https://contrataciondelestado.es/FileSystem/servlet/GetDocumentByIdServlet?cifrado=QUC1GjXXSiLkydRHJBmbpw%3D%3D&amp;DocumentIdParam=ugyHVU%2BOn62i0uWhf0AFGJBlBqLsQTygF/%2B7DZVarUnkTVBYaKz9RGd4bVy945zfQjZRLPnVxxJGT9Kp9oOH7aF0UuzhC%2BSCt8Bl1MLE5fUC1/zDIE0Kw/PWNnLS0Z0z" TargetMode="External" Id="rId780" /><Relationship Type="http://schemas.openxmlformats.org/officeDocument/2006/relationships/hyperlink" Target="https://contrataciondelestado.es/wps/poc?uri=deeplink:detalle_licitacion&amp;idEvl=i9ecpksvjjBQFSeKCRun4Q%3D%3D" TargetMode="External" Id="rId781" /><Relationship Type="http://schemas.openxmlformats.org/officeDocument/2006/relationships/hyperlink" Target="https://contrataciondelestado.es/FileSystem/servlet/GetDocumentByIdServlet?cifrado=QUC1GjXXSiLkydRHJBmbpw%3D%3D&amp;DocumentIdParam=Ohg5VeVQzAbpMzElIC3Dpiz5Q9wXDEKy1Pw6iApRzHuBAsVlBXUpMzzqdv3bX94PZ6A1%2BDtlNwb4icAoHgnYwtvFKz7lIilV1U55rF4TSn/fdyQgZAdTm3EfcUAC7CJ6" TargetMode="External" Id="rId782" /><Relationship Type="http://schemas.openxmlformats.org/officeDocument/2006/relationships/hyperlink" Target="https://contrataciondelestado.es/wps/poc?uri=deeplink:detalle_licitacion&amp;idEvl=0CZaLqcVAk2P66GS%2BONYvQ%3D%3D" TargetMode="External" Id="rId783" /><Relationship Type="http://schemas.openxmlformats.org/officeDocument/2006/relationships/hyperlink" Target="https://contrataciondelestado.es/FileSystem/servlet/GetDocumentByIdServlet?cifrado=QUC1GjXXSiLkydRHJBmbpw%3D%3D&amp;DocumentIdParam=2SWb40VByAn%2BziS3dHok4twv1S7Et0l9usQO1uWwE8KkaEhX0JCcFUcc148jr7RoYOEihHhcVkQp%2Bt62nqy4gJ8eDLS3tYdcEODQ6HXX1HWB0nvVKRzfe4rpHcnlPhSZ" TargetMode="External" Id="rId784" /><Relationship Type="http://schemas.openxmlformats.org/officeDocument/2006/relationships/hyperlink" Target="https://contrataciondelestado.es/wps/poc?uri=deeplink:detalle_licitacion&amp;idEvl=%2BNoi2%2BBQPKfECtSnloz%2BZQ%3D%3D" TargetMode="External" Id="rId785" /><Relationship Type="http://schemas.openxmlformats.org/officeDocument/2006/relationships/hyperlink" Target="https://contrataciondelestado.es/FileSystem/servlet/GetDocumentByIdServlet?DocumentIdParam=UOpFeh7bHBTygrllQ5CouP4Gm9ISNNijgDdvVo5MUBLjZ2FrXX1uXmJYhJoNPkvYDtPGmR9kWxoH26yjYt2KUSO3MX2U7ZOsTtndwPNPZ6sC1/zDIE0Kw/PWNnLS0Z0z&amp;cifrado=QUC1GjXXSiLkydRHJBmbpw%3D%3D" TargetMode="External" Id="rId786" /><Relationship Type="http://schemas.openxmlformats.org/officeDocument/2006/relationships/hyperlink" Target="https://contrataciondelestado.es/wps/poc?uri=deeplink:detalle_licitacion&amp;idEvl=hdSvpYtTUnNq1DdmE7eaXg%3D%3D" TargetMode="External" Id="rId787" /><Relationship Type="http://schemas.openxmlformats.org/officeDocument/2006/relationships/hyperlink" Target="https://contrataciondelestado.es/FileSystem/servlet/GetDocumentByIdServlet?cifrado=QUC1GjXXSiLkydRHJBmbpw%3D%3D&amp;DocumentIdParam=8idgL1bMqwjIibHZGTUPtFkJ6y8EbJ2R0k4hlrlZQGqUj4dCTTzY%2BRkPBDMMPoTGjvCt9/kawSR1H8jU/LWlaVKs8ik4GBlFif9Fj2GXbPS1aXEvq3KHa/AEHgtDrQw0" TargetMode="External" Id="rId788" /><Relationship Type="http://schemas.openxmlformats.org/officeDocument/2006/relationships/hyperlink" Target="https://contrataciondelestado.es/wps/poc?uri=deeplink:detalle_licitacion&amp;idEvl=p%2B6Kc%2BAeH79rhBlEHQFSKA%3D%3D" TargetMode="External" Id="rId789" /><Relationship Type="http://schemas.openxmlformats.org/officeDocument/2006/relationships/hyperlink" Target="https://contrataciondelestado.es/FileSystem/servlet/GetDocumentByIdServlet?cifrado=QUC1GjXXSiLkydRHJBmbpw%3D%3D&amp;DocumentIdParam=U5wqAFcqTMA586oitaWRmJ07v8yKZnYIZDG9yH0FcfCWRF0YDQfcB0UxmAHN7e9fkp2A8nwxaBTV0CmymKT4eb2lfTbbdFq9E5Ln4RgfeT61aXEvq3KHa/AEHgtDrQw0" TargetMode="External" Id="rId790" /><Relationship Type="http://schemas.openxmlformats.org/officeDocument/2006/relationships/hyperlink" Target="https://contrataciondelestado.es/wps/poc?uri=deeplink:detalle_licitacion&amp;idEvl=nJaOxoxCtJ570UvEyYJSGw%3D%3D" TargetMode="External" Id="rId791" /><Relationship Type="http://schemas.openxmlformats.org/officeDocument/2006/relationships/hyperlink" Target="https://contrataciondelestado.es/FileSystem/servlet/GetDocumentByIdServlet?cifrado=QUC1GjXXSiLkydRHJBmbpw%3D%3D&amp;DocumentIdParam=fkF2JD750de4cqPNXaNxmCO%2B64LQNWlprHLCbvgg6xI%2BKpCkc5TZt8gr8olblF7SC5yj8EAZQWNvpHFLqmFND5c45hgGMBwTFcX3GM%2BXzY3VTD3T98KC0nSgQFM0q%2B5s" TargetMode="External" Id="rId792" /><Relationship Type="http://schemas.openxmlformats.org/officeDocument/2006/relationships/hyperlink" Target="https://contrataciondelestado.es/wps/poc?uri=deeplink:detalle_licitacion&amp;idEvl=0NWf1JsAPkbgL1BHd3qjQA%3D%3D" TargetMode="External" Id="rId793" /><Relationship Type="http://schemas.openxmlformats.org/officeDocument/2006/relationships/hyperlink" Target="https://contrataciondelestado.es/FileSystem/servlet/GetDocumentByIdServlet?cifrado=QUC1GjXXSiLkydRHJBmbpw%3D%3D&amp;DocumentIdParam=oJ%2BFHBz18OMXS7sTZDoWo2Qx35nEzcFd0mbUp4pQwc1ghJqvVcD/1NOT%2B69dX59DVgum/lgbDaqDNi/jeqnPgFvazPTXeRc89mm9kwqxRo3fdyQgZAdTm3EfcUAC7CJ6" TargetMode="External" Id="rId794" /><Relationship Type="http://schemas.openxmlformats.org/officeDocument/2006/relationships/hyperlink" Target="https://contrataciondelestado.es/wps/poc?uri=deeplink:detalle_licitacion&amp;idEvl=RUHO%2Fp0MCRFWhbmkna2nXQ%3D%3D" TargetMode="External" Id="rId795"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796" /><Relationship Type="http://schemas.openxmlformats.org/officeDocument/2006/relationships/hyperlink" Target="https://contrataciondelestado.es/wps/poc?uri=deeplink:detalle_licitacion&amp;idEvl=A3vTaQB1xW2P66GS%2BONYvQ%3D%3D" TargetMode="External" Id="rId797" /><Relationship Type="http://schemas.openxmlformats.org/officeDocument/2006/relationships/hyperlink" Target="https://contrataciondelestado.es/wps/poc?uri=deeplink:detalle_licitacion&amp;idEvl=mtVXBrhnxbm7JOCXkOhcDg%3D%3D" TargetMode="External" Id="rId798"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799" /><Relationship Type="http://schemas.openxmlformats.org/officeDocument/2006/relationships/hyperlink" Target="https://contrataciondelestado.es/wps/poc?uri=deeplink:detalle_licitacion&amp;idEvl=2GuZUAdvGyfECtSnloz%2BZQ%3D%3D" TargetMode="External" Id="rId800" /><Relationship Type="http://schemas.openxmlformats.org/officeDocument/2006/relationships/hyperlink" Target="https://contrataciondelestado.es/FileSystem/servlet/GetDocumentByIdServlet?cifrado=QUC1GjXXSiLkydRHJBmbpw%3D%3D&amp;DocumentIdParam=eOPUG/BTI3mMSK8rFaS7Yl6e0cJrttq9xhRm9f%2B8RDDKtMtgurInloJMXO9zm3bS9uYv7KC8AHX5ahhxR4NDCUqBV0iFWjQgQ9lHVk4VfP6B0nvVKRzfe4rpHcnlPhSZ" TargetMode="External" Id="rId801" /><Relationship Type="http://schemas.openxmlformats.org/officeDocument/2006/relationships/hyperlink" Target="https://contrataciondelestado.es/wps/poc?uri=deeplink:detalle_licitacion&amp;idEvl=3NZSScFWPBAl5NjlNci%2BtA%3D%3D" TargetMode="External" Id="rId802" /><Relationship Type="http://schemas.openxmlformats.org/officeDocument/2006/relationships/hyperlink" Target="https://contrataciondelestado.es/FileSystem/servlet/GetDocumentByIdServlet?cifrado=QUC1GjXXSiLkydRHJBmbpw%3D%3D&amp;DocumentIdParam=1sg%2BZX2mvvdvgDu4Rs8UsQBJruvgvCa1kUKPKD%2BbyHKcUsYD3k7Vma8HdrisetATDAnYCAc/3xMmX1rEMoTjDGDed3Bi8rauL3nIfyJW81B45ClyWkoJ44mKM70IFcOu" TargetMode="External" Id="rId803" /><Relationship Type="http://schemas.openxmlformats.org/officeDocument/2006/relationships/hyperlink" Target="https://contrataciondelestado.es/wps/poc?uri=deeplink:detalle_licitacion&amp;idEvl=GKPzKvY85fiqb7rCcv76BA%3D%3D" TargetMode="External" Id="rId804" /><Relationship Type="http://schemas.openxmlformats.org/officeDocument/2006/relationships/hyperlink" Target="https://contrataciondelestado.es/wps/poc?uri=deeplink:detalle_licitacion&amp;idEvl=x2is%2FEgJyxL%2B3JAijKO%2Bkg%3D%3D" TargetMode="External" Id="rId805"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806" /><Relationship Type="http://schemas.openxmlformats.org/officeDocument/2006/relationships/hyperlink" Target="https://contrataciondelestado.es/wps/poc?uri=deeplink:detalle_licitacion&amp;idEvl=3yratp9f4xI%2Bk2oCbDosIw%3D%3D" TargetMode="External" Id="rId807" /><Relationship Type="http://schemas.openxmlformats.org/officeDocument/2006/relationships/hyperlink" Target="https://contrataciondelestado.es/FileSystem/servlet/GetDocumentByIdServlet?cifrado=QUC1GjXXSiLkydRHJBmbpw%3D%3D&amp;DocumentIdParam=AWsmtDKHDuGYRFlWy9kYxFwhzOa4oI6OV5IOKu03WJqutetfKF0agHlwOZi4YHRRvMQkhdcPLaX486i9mSj8yyYi8HIcNbQJnyzXvctsWHMC1/zDIE0Kw/PWNnLS0Z0z" TargetMode="External" Id="rId808" /><Relationship Type="http://schemas.openxmlformats.org/officeDocument/2006/relationships/hyperlink" Target="https://contrataciondelestado.es/wps/poc?uri=deeplink:detalle_licitacion&amp;idEvl=R7GdE2EHTBi8ebB%2FXTwy0A%3D%3D" TargetMode="External" Id="rId809" /><Relationship Type="http://schemas.openxmlformats.org/officeDocument/2006/relationships/hyperlink" Target="https://contrataciondelestado.es/wps/poc?uri=deeplink:detalle_licitacion&amp;idEvl=BIYdCEJYh9aqb7rCcv76BA%3D%3D" TargetMode="External" Id="rId810" /><Relationship Type="http://schemas.openxmlformats.org/officeDocument/2006/relationships/hyperlink" Target="https://contrataciondelestado.es/FileSystem/servlet/GetDocumentByIdServlet?cifrado=QUC1GjXXSiLkydRHJBmbpw%3D%3D&amp;DocumentIdParam=1F51ahR03C04rh9GRUQH0ZGHNE/NJXqvxHGCpC4jyUGv81GMm7kERyrf/uWhMMg4WWgl2YAvVqiOQGdjaXpvkKs7Tv%2Bj%2BImLfo8oSKEpuut7QB3HKyQaFUExmUVQCerk" TargetMode="External" Id="rId811" /><Relationship Type="http://schemas.openxmlformats.org/officeDocument/2006/relationships/hyperlink" Target="https://contrataciondelestado.es/wps/poc?uri=deeplink:detalle_licitacion&amp;idEvl=MaCllB2nvsVVq4S9zvaQpQ%3D%3D" TargetMode="External" Id="rId812" /><Relationship Type="http://schemas.openxmlformats.org/officeDocument/2006/relationships/hyperlink" Target="https://contrataciondelestado.es/FileSystem/servlet/GetDocumentByIdServlet?cifrado=QUC1GjXXSiLkydRHJBmbpw%3D%3D&amp;DocumentIdParam=2srwkf5uI35RzVsF1Wrzen4RARLdQFuSYlsm/P0wVijSXMW517ZE8zgkrrwa3C4vB/zaPkTMSUZJOEHpkfnZ4XUStKVKJi0tHwMFIYeP9O7VTD3T98KC0nSgQFM0q%2B5s" TargetMode="External" Id="rId813" /><Relationship Type="http://schemas.openxmlformats.org/officeDocument/2006/relationships/hyperlink" Target="https://contrataciondelestado.es/wps/poc?uri=deeplink:detalle_licitacion&amp;idEvl=cGwhfGJFb%2FHI8aL3PRS10Q%3D%3D" TargetMode="External" Id="rId814" /><Relationship Type="http://schemas.openxmlformats.org/officeDocument/2006/relationships/hyperlink" Target="https://contrataciondelestado.es/FileSystem/servlet/GetDocumentByIdServlet?cifrado=QUC1GjXXSiLkydRHJBmbpw%3D%3D&amp;DocumentIdParam=ffCUWh/BB05kqCcJ63fhpTcBpRNQg1V2ftSJ8BiMlpdLgvgc9kSYAxbfaCb3FPQXdscw4mbke8%2B0DEKS7incDdZ2E9Kd9WfQi42wXRAO6neB0nvVKRzfe4rpHcnlPhSZ" TargetMode="External" Id="rId815" /><Relationship Type="http://schemas.openxmlformats.org/officeDocument/2006/relationships/hyperlink" Target="https://contrataciondelestado.es/wps/poc?uri=deeplink:detalle_licitacion&amp;idEvl=2RDBFdb9p4GAAM7L03kM8A%3D%3D" TargetMode="External" Id="rId816" /><Relationship Type="http://schemas.openxmlformats.org/officeDocument/2006/relationships/hyperlink" Target="https://contrataciondelestado.es/FileSystem/servlet/GetDocumentByIdServlet?cifrado=QUC1GjXXSiLkydRHJBmbpw%3D%3D&amp;DocumentIdParam=a1NwsmOJt77tBVSTLw6ROLVQb2EJuLe7R4vK3WGZA6ygDBciCYLRZmWeAeDftisqFXXM1QzOu9SMUK9%2B2vs0wnbHXzvHKA3NmVPE3A34Cf76CYyL7SIrUOBFfNf52ZqA" TargetMode="External" Id="rId817" /><Relationship Type="http://schemas.openxmlformats.org/officeDocument/2006/relationships/hyperlink" Target="https://contrataciondelestado.es/wps/poc?uri=deeplink:detalle_licitacion&amp;idEvl=zjw7K%2BCUMGXVGIpKDxgsAQ%3D%3D" TargetMode="External" Id="rId818" /><Relationship Type="http://schemas.openxmlformats.org/officeDocument/2006/relationships/hyperlink" Target="https://contrataciondelestado.es/FileSystem/servlet/GetDocumentByIdServlet?cifrado=QUC1GjXXSiLkydRHJBmbpw%3D%3D&amp;DocumentIdParam=44LMpvYgtrGXTGAxXE0lYGgRdZhB2PytBbj/NA/B0VKwXBTKZ96SebZc9hVIGzKrBQ%2BK4w9Pfu%2B8RvOrzhOKfGDdpL6NNiFE8ZjHpMXdRa8ZyAJWGsSt0OzTSTyw9JAs" TargetMode="External" Id="rId819" /><Relationship Type="http://schemas.openxmlformats.org/officeDocument/2006/relationships/hyperlink" Target="https://contrataciondelestado.es/wps/poc?uri=deeplink:detalle_licitacion&amp;idEvl=MXYeJxNmTnlVkTabT%2FRM8A%3D%3D" TargetMode="External" Id="rId820"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821" /><Relationship Type="http://schemas.openxmlformats.org/officeDocument/2006/relationships/hyperlink" Target="https://contrataciondelestado.es/wps/poc?uri=deeplink:detalle_licitacion&amp;idEvl=bMax%2B3FiBEYmMOlAXxDEjw%3D%3D" TargetMode="External" Id="rId822"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823" /><Relationship Type="http://schemas.openxmlformats.org/officeDocument/2006/relationships/hyperlink" Target="https://contrataciondelestado.es/wps/poc?uri=deeplink:detalle_licitacion&amp;idEvl=o07wqaTjnJWIzo3LHNPGcQ%3D%3D" TargetMode="External" Id="rId824" /><Relationship Type="http://schemas.openxmlformats.org/officeDocument/2006/relationships/hyperlink" Target="https://contrataciondelestado.es/FileSystem/servlet/GetDocumentByIdServlet?cifrado=QUC1GjXXSiLkydRHJBmbpw%3D%3D&amp;DocumentIdParam=QTEUoK48TM9Gf9wWIp5Z/ARAnJ8wKmOJeWgiRF%2B8xgD01%2Bzixtsu%2BL2e%2Bg2WWofzrTMsDFtv8frLPJUMxxfgRbd7dBGUEsZvUWt5s7p/c1G1aXEvq3KHa/AEHgtDrQw0" TargetMode="External" Id="rId825" /><Relationship Type="http://schemas.openxmlformats.org/officeDocument/2006/relationships/hyperlink" Target="https://contrataciondelestado.es/wps/poc?uri=deeplink:detalle_licitacion&amp;idEvl=ZUPyo3qJJ25eKgd8LfVV9g%3D%3D" TargetMode="External" Id="rId826" /><Relationship Type="http://schemas.openxmlformats.org/officeDocument/2006/relationships/hyperlink" Target="https://contrataciondelestado.es/FileSystem/servlet/GetDocumentByIdServlet?cifrado=QUC1GjXXSiLkydRHJBmbpw%3D%3D&amp;DocumentIdParam=CpD4apuPbXofAZhVTifX/JKXFbEVyUq3egVBTScI2j%2B6MKVMJCF0Q2LwgZprd3FLUiVJ/V2NChACTka0KkmgtsHSfFvXUY7wMJ2G3R8xLv2HAj0WEJrB5sP7amrh2jBD" TargetMode="External" Id="rId827" /><Relationship Type="http://schemas.openxmlformats.org/officeDocument/2006/relationships/hyperlink" Target="https://contrataciondelestado.es/wps/poc?uri=deeplink:detalle_licitacion&amp;idEvl=SxZpJ77U0OTVGIpKDxgsAQ%3D%3D" TargetMode="External" Id="rId828"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829" /><Relationship Type="http://schemas.openxmlformats.org/officeDocument/2006/relationships/hyperlink" Target="https://contrataciondelestado.es/wps/poc?uri=deeplink:detalle_licitacion&amp;idEvl=IlX0E6F5zp3%2Fa9DgO%2BoYKQ%3D%3D" TargetMode="External" Id="rId830" /><Relationship Type="http://schemas.openxmlformats.org/officeDocument/2006/relationships/hyperlink" Target="https://contrataciondelestado.es/FileSystem/servlet/GetDocumentByIdServlet?cifrado=QUC1GjXXSiLkydRHJBmbpw%3D%3D&amp;DocumentIdParam=iQwAO0t9T55jG3RW5sg5HWP4BjqEkGE64iQOoV%2B6nhGQG55KYsnFIwvP8xuWLvWjOomFeOYNTC%2B5qFzhMHhk9VGX/ttTba2IwaFQMLMaH3z3GVhXrFFqN7yFncy7YfRK" TargetMode="External" Id="rId831" /><Relationship Type="http://schemas.openxmlformats.org/officeDocument/2006/relationships/hyperlink" Target="https://contrataciondelestado.es/wps/poc?uri=deeplink:detalle_licitacion&amp;idEvl=YoJzqpibWK7XOjazN1Dw9Q%3D%3D" TargetMode="External" Id="rId832" /><Relationship Type="http://schemas.openxmlformats.org/officeDocument/2006/relationships/hyperlink" Target="https://contrataciondelestado.es/FileSystem/servlet/GetDocumentByIdServlet?cifrado=QUC1GjXXSiLkydRHJBmbpw%3D%3D&amp;DocumentIdParam=bajNbnhXynwfdHP9eFpB6NsfYjBbJ/eYjwOqvznjAkX/iCkhj/bWVhWtlBZ/7VJrZlYt4z%2B7A49JzqWV4bJZC0XAQtIfIpFQN30QcM3pdMm1aXEvq3KHa/AEHgtDrQw0" TargetMode="External" Id="rId833" /><Relationship Type="http://schemas.openxmlformats.org/officeDocument/2006/relationships/hyperlink" Target="https://contrataciondelestado.es/wps/poc?uri=deeplink:detalle_licitacion&amp;idEvl=eZ5aQ11JYVmOUi78BmzhOQ%3D%3D" TargetMode="External" Id="rId834"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835" /><Relationship Type="http://schemas.openxmlformats.org/officeDocument/2006/relationships/hyperlink" Target="https://contrataciondelestado.es/wps/poc?uri=deeplink:detalle_licitacion&amp;idEvl=Cpru1v2QsM%2Bqb7rCcv76BA%3D%3D" TargetMode="External" Id="rId836"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837" /><Relationship Type="http://schemas.openxmlformats.org/officeDocument/2006/relationships/hyperlink" Target="https://contrataciondelestado.es/wps/poc?uri=deeplink:detalle_licitacion&amp;idEvl=Ro7fQKkTSfwQyBAnWzHfCg%3D%3D" TargetMode="External" Id="rId838" /><Relationship Type="http://schemas.openxmlformats.org/officeDocument/2006/relationships/hyperlink" Target="https://contrataciondelestado.es/wps/poc?uri=deeplink:detalle_licitacion&amp;idEvl=J2lPHcc%2BqYYtm4eBPtV6eQ%3D%3D" TargetMode="External" Id="rId839" /><Relationship Type="http://schemas.openxmlformats.org/officeDocument/2006/relationships/hyperlink" Target="https://contrataciondelestado.es/FileSystem/servlet/GetDocumentByIdServlet?cifrado=QUC1GjXXSiLkydRHJBmbpw%3D%3D&amp;DocumentIdParam=reBvho4ePtpSRDtfwJKLmvB24YtM7EU5JNIBHhKTOW7RWZg8HzVItCHNgPeOOE2JPy%2BuPiAUDd10Ottin6o15k2EW3cd1BDQH5y9/cxMak9JOVDbGCDM%2BMigrvuVS7Rv" TargetMode="External" Id="rId840" /><Relationship Type="http://schemas.openxmlformats.org/officeDocument/2006/relationships/hyperlink" Target="https://contrataciondelestado.es/wps/poc?uri=deeplink:detalle_licitacion&amp;idEvl=f%2BKLE3baAZGKeVWTb9Scog%3D%3D" TargetMode="External" Id="rId841"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842" /><Relationship Type="http://schemas.openxmlformats.org/officeDocument/2006/relationships/hyperlink" Target="https://contrataciondelestado.es/wps/poc?uri=deeplink:detalle_licitacion&amp;idEvl=%2FNJjiYDzltAIYE3ZiZ%2BxmQ%3D%3D" TargetMode="External" Id="rId843" /><Relationship Type="http://schemas.openxmlformats.org/officeDocument/2006/relationships/hyperlink" Target="https://contrataciondelestado.es/wps/wcm/connect/PLACE_es/Site/area/docAccCmpnt?srv=cmpnt&amp;cmpntname=GetDocumentsById&amp;source=library&amp;DocumentIdParam=44ea35c0-d8ad-4214-83cc-a74a7e0d7d62" TargetMode="External" Id="rId844" /><Relationship Type="http://schemas.openxmlformats.org/officeDocument/2006/relationships/hyperlink" Target="https://contrataciondelestado.es/wps/poc?uri=deeplink:detalle_licitacion&amp;idEvl=kq3MAnG9pb8eC9GJQOEBkQ%3D%3D" TargetMode="External" Id="rId845"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846" /><Relationship Type="http://schemas.openxmlformats.org/officeDocument/2006/relationships/hyperlink" Target="https://contrataciondelestado.es/wps/poc?uri=deeplink:detalle_licitacion&amp;idEvl=p1zy3Z9tligZDGvgaZEVxQ%3D%3D" TargetMode="External" Id="rId847" /><Relationship Type="http://schemas.openxmlformats.org/officeDocument/2006/relationships/hyperlink" Target="https://contrataciondelestado.es/FileSystem/servlet/GetDocumentByIdServlet?cifrado=QUC1GjXXSiLkydRHJBmbpw%3D%3D&amp;DocumentIdParam=jj616VC7YhA7qEsdNMqdM13vYq2HYiKaDF3sq5AYsZt2PBNV65kBka9fYzcAf90cXqSjjxWrIXCliR2E9CG6WegvC/o3Ah%2B%2B0OUMYHIgMZhJOVDbGCDM%2BMigrvuVS7Rv" TargetMode="External" Id="rId848" /><Relationship Type="http://schemas.openxmlformats.org/officeDocument/2006/relationships/hyperlink" Target="https://contrataciondelestado.es/wps/poc?uri=deeplink:detalle_licitacion&amp;idEvl=usFBV16J%2BCKLAncw3qdZkA%3D%3D" TargetMode="External" Id="rId849" /><Relationship Type="http://schemas.openxmlformats.org/officeDocument/2006/relationships/hyperlink" Target="https://contrataciondelestado.es/FileSystem/servlet/GetDocumentByIdServlet?cifrado=QUC1GjXXSiLkydRHJBmbpw%3D%3D&amp;DocumentIdParam=9XERMVJrjDS/gZ3pSWKPe6IvJGOIduVEnWrJTVQ1zgX5LYWWfRNaQnNstK8q6WL0eRByldJlHjHHcVaeI85fgbHKmqJ7uwEtGc8rnVg//grfdyQgZAdTm3EfcUAC7CJ6" TargetMode="External" Id="rId850" /><Relationship Type="http://schemas.openxmlformats.org/officeDocument/2006/relationships/hyperlink" Target="https://contrataciondelestado.es/wps/poc?uri=deeplink:detalle_licitacion&amp;idEvl=KauE4BjclwGFlFRHfEzEaw%3D%3D" TargetMode="External" Id="rId851" /><Relationship Type="http://schemas.openxmlformats.org/officeDocument/2006/relationships/hyperlink" Target="https://contrataciondelestado.es/FileSystem/servlet/GetDocumentByIdServlet?cifrado=QUC1GjXXSiLkydRHJBmbpw%3D%3D&amp;DocumentIdParam=7heEKSbsImN6OquOfoNSip8cBRIYp3KJPVruKrrdzeEaZ2Usn%2B4la4i2gEnq6hkq9hgEHSov430pA7cqauss/iJ1GwwIi9jGRuGqrYL8X/bfdyQgZAdTm3EfcUAC7CJ6" TargetMode="External" Id="rId852" /><Relationship Type="http://schemas.openxmlformats.org/officeDocument/2006/relationships/hyperlink" Target="https://contrataciondelestado.es/wps/poc?uri=deeplink:detalle_licitacion&amp;idEvl=wMPVeeWDjCb%2B3JAijKO%2Bkg%3D%3D" TargetMode="External" Id="rId853" /><Relationship Type="http://schemas.openxmlformats.org/officeDocument/2006/relationships/hyperlink" Target="https://contrataciondelestado.es/FileSystem/servlet/GetDocumentByIdServlet?DocumentIdParam=MWWy6Btx3B8B91UQ2b34sKaww%2BCS/Yf8BXPdP2XTBmVxs4XXhZLMmtAf0i9uNn9E7H9JkMT5yA1i2g4flAddscTgwc1UUFvxPzEoU9Twxf4C1/zDIE0Kw/PWNnLS0Z0z&amp;cifrado=QUC1GjXXSiLkydRHJBmbpw%3D%3D" TargetMode="External" Id="rId854" /><Relationship Type="http://schemas.openxmlformats.org/officeDocument/2006/relationships/hyperlink" Target="https://contrataciondelestado.es/wps/poc?uri=deeplink:detalle_licitacion&amp;idEvl=lFt6RJS8bb%2FpxJFXpLZ%2B2A%3D%3D" TargetMode="External" Id="rId855" /><Relationship Type="http://schemas.openxmlformats.org/officeDocument/2006/relationships/hyperlink" Target="https://contrataciondelestado.es/FileSystem/servlet/GetDocumentByIdServlet?cifrado=QUC1GjXXSiLkydRHJBmbpw%3D%3D&amp;DocumentIdParam=fgI8bL0VmvfV7PGq0EnsMWXU8I5j2Gdc0snkdJMSOrlh9PXKVH5SWiQA1zegjEn2S3DE7/64i9YPWvLVUG88ApxQbtGWvOOAO6bwrFvcoLeCx2e6p7hqtlp2aFupgHMr" TargetMode="External" Id="rId856" /><Relationship Type="http://schemas.openxmlformats.org/officeDocument/2006/relationships/hyperlink" Target="https://contrataciondelestado.es/wps/poc?uri=deeplink:detalle_licitacion&amp;idEvl=x%2BkzWiJYQWvpxJFXpLZ%2B2A%3D%3D" TargetMode="External" Id="rId857" /><Relationship Type="http://schemas.openxmlformats.org/officeDocument/2006/relationships/hyperlink" Target="https://contrataciondelestado.es/FileSystem/servlet/GetDocumentByIdServlet?cifrado=QUC1GjXXSiLkydRHJBmbpw%3D%3D&amp;DocumentIdParam=xr5EjQIYf7zRQAyWylEz24Xq1%2B77letA7iAnPuMbFhyel7NqUDQ5T%2BiHqmh97LXFs2UFBW5%2BaUz/l9Hrl9RpgZEqAGbD74DUqRx2YlBXoKKB0nvVKRzfe4rpHcnlPhSZ" TargetMode="External" Id="rId858" /><Relationship Type="http://schemas.openxmlformats.org/officeDocument/2006/relationships/hyperlink" Target="https://contrataciondelestado.es/wps/poc?uri=deeplink:detalle_licitacion&amp;idEvl=PqPLFxDtG1c4NavIWzMcHA%3D%3D" TargetMode="External" Id="rId859" /><Relationship Type="http://schemas.openxmlformats.org/officeDocument/2006/relationships/hyperlink" Target="https://contrataciondelestado.es/FileSystem/servlet/GetDocumentByIdServlet?cifrado=QUC1GjXXSiLkydRHJBmbpw%3D%3D&amp;DocumentIdParam=zABafUEdb8aIEeqdMBtKoWR/qawoVOsiZfBfjzw7DrYiHv5WTwuVxoiFZQl2GqdSXxUvezIaauwSmaefE%2B8KkBhLSfnTd6sHftOzGdzlWYYZyAJWGsSt0OzTSTyw9JAs" TargetMode="External" Id="rId860" /><Relationship Type="http://schemas.openxmlformats.org/officeDocument/2006/relationships/hyperlink" Target="https://contrataciondelestado.es/wps/poc?uri=deeplink:detalle_licitacion&amp;idEvl=W5Xfl0CJgx3ECtSnloz%2BZQ%3D%3D" TargetMode="External" Id="rId861" /><Relationship Type="http://schemas.openxmlformats.org/officeDocument/2006/relationships/hyperlink" Target="https://contrataciondelestado.es/FileSystem/servlet/GetDocumentByIdServlet?cifrado=QUC1GjXXSiLkydRHJBmbpw%3D%3D&amp;DocumentIdParam=pxRsuS%2B91rIbfsCF5RVOXPcqgMhwrHgaTUARYVi2J6MtKvXR7PKIl6un4xXatlpNr0vdAlXTAIZGEabzyAw04H%2B2sR0/PEbyjO1FGSSdUYNJOVDbGCDM%2BMigrvuVS7Rv" TargetMode="External" Id="rId862" /><Relationship Type="http://schemas.openxmlformats.org/officeDocument/2006/relationships/hyperlink" Target="https://contrataciondelestado.es/wps/poc?uri=deeplink:detalle_licitacion&amp;idEvl=5g7%2B8g4EDF4wYTJJ03sHog%3D%3D" TargetMode="External" Id="rId863" /><Relationship Type="http://schemas.openxmlformats.org/officeDocument/2006/relationships/hyperlink" Target="https://contrataciondelestado.es/wps/wcm/connect/PLACE_es/Site/area/docAccCmpnt?srv=cmpnt&amp;cmpntname=GetDocumentsById&amp;source=library&amp;DocumentIdParam=f0f7008e-6215-4fed-ae44-3d7bc535a239" TargetMode="External" Id="rId864" /><Relationship Type="http://schemas.openxmlformats.org/officeDocument/2006/relationships/hyperlink" Target="https://contrataciondelestado.es/wps/poc?uri=deeplink:detalle_licitacion&amp;idEvl=63kOtx7%2FIG0l5NjlNci%2BtA%3D%3D" TargetMode="External" Id="rId865" /><Relationship Type="http://schemas.openxmlformats.org/officeDocument/2006/relationships/hyperlink" Target="https://contrataciondelestado.es/FileSystem/servlet/GetDocumentByIdServlet?cifrado=QUC1GjXXSiLkydRHJBmbpw%3D%3D&amp;DocumentIdParam=RFapTf5fosrpVWopojgk8S76glP4tGTrlMZZDwIatJtR8vC9dUjGrEhTQ9ZdSqt2Gh5loJV8YrJ9uM65p3336Pcb5FGIdiBaJ3A6oH/00vXfdyQgZAdTm3EfcUAC7CJ6" TargetMode="External" Id="rId866" /><Relationship Type="http://schemas.openxmlformats.org/officeDocument/2006/relationships/hyperlink" Target="https://contrataciondelestado.es/wps/poc?uri=deeplink:detalle_licitacion&amp;idEvl=oahJhN%2BxhRGsNfRW6APEDw%3D%3D" TargetMode="External" Id="rId867"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868" /><Relationship Type="http://schemas.openxmlformats.org/officeDocument/2006/relationships/hyperlink" Target="https://contrataciondelestado.es/wps/poc?uri=deeplink:detalle_licitacion&amp;idEvl=fr3euMRHsBeGCFcHcNGIlQ%3D%3D" TargetMode="External" Id="rId869" /><Relationship Type="http://schemas.openxmlformats.org/officeDocument/2006/relationships/hyperlink" Target="https://contrataciondelestado.es/FileSystem/servlet/GetDocumentByIdServlet?DocumentIdParam=aukjRHyzEUPyctacUwKP2yzGCTvdtJED6gapEfsc/OfjcnQ%2BWqPVSSJCBCo/EQm7kU8nKMlO%2BuZUylb6VD2h/jFQL3bQV2Viuf9feRDPzAT3GVhXrFFqN7yFncy7YfRK&amp;cifrado=QUC1GjXXSiLkydRHJBmbpw%3D%3D" TargetMode="External" Id="rId870" /><Relationship Type="http://schemas.openxmlformats.org/officeDocument/2006/relationships/hyperlink" Target="https://contrataciondelestado.es/wps/poc?uri=deeplink:detalle_licitacion&amp;idEvl=rvb2cjTil928ebB%2FXTwy0A%3D%3D" TargetMode="External" Id="rId871"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872" /><Relationship Type="http://schemas.openxmlformats.org/officeDocument/2006/relationships/hyperlink" Target="https://contrataciondelestado.es/wps/poc?uri=deeplink:detalle_licitacion&amp;idEvl=tmydTRvlqNzs%2BnLj3vAg5A%3D%3D" TargetMode="External" Id="rId873"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874" /><Relationship Type="http://schemas.openxmlformats.org/officeDocument/2006/relationships/hyperlink" Target="https://contrataciondelestado.es/wps/poc?uri=deeplink:detalle_licitacion&amp;idEvl=bvzdwc7yoZNWhbmkna2nXQ%3D%3D" TargetMode="External" Id="rId875" /><Relationship Type="http://schemas.openxmlformats.org/officeDocument/2006/relationships/hyperlink" Target="https://contrataciondelestado.es/FileSystem/servlet/GetDocumentByIdServlet?cifrado=QUC1GjXXSiLkydRHJBmbpw%3D%3D&amp;DocumentIdParam=iduk7CcE3/fLY%2BlnGan8NLR3nNbuS78EkM7VaR1oARHLrLfmlOGj4WNnxuH4hYAlQeFeE/uDHzTV/%2B6yIbpCTwO5z%2BXodZp4Rz%2BFZbUpa5HVTD3T98KC0nSgQFM0q%2B5s" TargetMode="External" Id="rId876" /><Relationship Type="http://schemas.openxmlformats.org/officeDocument/2006/relationships/hyperlink" Target="https://contrataciondelestado.es/wps/poc?uri=deeplink:detalle_licitacion&amp;idEvl=UK8I3iHGhWK8ebB%2FXTwy0A%3D%3D" TargetMode="External" Id="rId877" /><Relationship Type="http://schemas.openxmlformats.org/officeDocument/2006/relationships/hyperlink" Target="https://contrataciondelestado.es/FileSystem/servlet/GetDocumentByIdServlet?cifrado=QUC1GjXXSiLkydRHJBmbpw%3D%3D&amp;DocumentIdParam=JkIiKsjyQhDvoN9IJ%2B1U/X%2BiopnFpdSMGjt8IuBB3oZEXYVyt4eOKnpE/pRcRZ5hJoYjPLQnRN%2BbvAdMQ%2B6g80Fz4hndkanEM8us/S2TQ2iHAj0WEJrB5sP7amrh2jBD" TargetMode="External" Id="rId878" /><Relationship Type="http://schemas.openxmlformats.org/officeDocument/2006/relationships/hyperlink" Target="https://contrataciondelestado.es/wps/poc?uri=deeplink:detalle_licitacion&amp;idEvl=6OJdiEhCeJXLIx6q1oPaMg%3D%3D" TargetMode="External" Id="rId879" /><Relationship Type="http://schemas.openxmlformats.org/officeDocument/2006/relationships/hyperlink" Target="https://contrataciondelestado.es/FileSystem/servlet/GetDocumentByIdServlet?cifrado=QUC1GjXXSiLkydRHJBmbpw%3D%3D&amp;DocumentIdParam=TTCthlhCpH5Z5EkBY4hs4NG/nb0JR08GErZ9VuqLlkT0cCjcfEJulISMrh16y%2ByenLRGax8WhEvO2IjYoD7Rc3JgM9ZaOWS/zFB49adl18kZyAJWGsSt0OzTSTyw9JAs" TargetMode="External" Id="rId880" /><Relationship Type="http://schemas.openxmlformats.org/officeDocument/2006/relationships/hyperlink" Target="https://contrataciondelestado.es/wps/poc?uri=deeplink:detalle_licitacion&amp;idEvl=30oyFhXX47k36J9Lctlsuw%3D%3D" TargetMode="External" Id="rId881" /><Relationship Type="http://schemas.openxmlformats.org/officeDocument/2006/relationships/hyperlink" Target="https://contrataciondelestado.es/FileSystem/servlet/GetDocumentByIdServlet?cifrado=QUC1GjXXSiLkydRHJBmbpw%3D%3D&amp;DocumentIdParam=k9HCGSCLHvcjx7VayJoPNkxAuqgEp16upOaEdcm3WsURBjO3Jg9q9dmzoPoKESvZO7sOl06hM4AJJ81FbMbVnW%2BgEVqjgRYbG9RJHRNl1q61aXEvq3KHa/AEHgtDrQw0" TargetMode="External" Id="rId882" /><Relationship Type="http://schemas.openxmlformats.org/officeDocument/2006/relationships/hyperlink" Target="https://contrataciondelestado.es/wps/poc?uri=deeplink:detalle_licitacion&amp;idEvl=zfxuB3poT%2FzN3k3tjedSGw%3D%3D" TargetMode="External" Id="rId883"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884" /><Relationship Type="http://schemas.openxmlformats.org/officeDocument/2006/relationships/hyperlink" Target="https://contrataciondelestado.es/wps/poc?uri=deeplink:detalle_licitacion&amp;idEvl=m0wYFhkRmswkJPJS%2BPS9vg%3D%3D" TargetMode="External" Id="rId885" /><Relationship Type="http://schemas.openxmlformats.org/officeDocument/2006/relationships/hyperlink" Target="https://contrataciondelestado.es/FileSystem/servlet/GetDocumentByIdServlet?DocumentIdParam=pips54GZyu3tFyugaoLSH0DthLIXi5/ISKmwTdr7%2Bp6NsBoFTnrvgAzaTOM6X2JSKFTWQMW%2BXnPmaJLjCWWaNQ%2BwxKHIxhNnekLq4XY44Y145ClyWkoJ44mKM70IFcOu&amp;cifrado=QUC1GjXXSiLkydRHJBmbpw%3D%3D" TargetMode="External" Id="rId886" /><Relationship Type="http://schemas.openxmlformats.org/officeDocument/2006/relationships/hyperlink" Target="https://contrataciondelestado.es/wps/poc?uri=deeplink:detalle_licitacion&amp;idEvl=C2uHaHVI%2FWokJPJS%2BPS9vg%3D%3D" TargetMode="External" Id="rId887" /><Relationship Type="http://schemas.openxmlformats.org/officeDocument/2006/relationships/hyperlink" Target="https://contrataciondelestado.es/FileSystem/servlet/GetDocumentByIdServlet?cifrado=QUC1GjXXSiLkydRHJBmbpw%3D%3D&amp;DocumentIdParam=Chi5kps6td6sB5bOoDPnnW6hZUtkP0Z6A7nrZ75tRPz55eSDE%2BsxeAhTdX9G%2BBfL0nVJy5hEss9qXZw9GBuiHg1sLLPkbBMfwFnp//eTRY6Cx2e6p7hqtlp2aFupgHMr" TargetMode="External" Id="rId888" /><Relationship Type="http://schemas.openxmlformats.org/officeDocument/2006/relationships/hyperlink" Target="https://contrataciondelestado.es/wps/poc?uri=deeplink:detalle_licitacion&amp;idEvl=hpHsZldvukceC9GJQOEBkQ%3D%3D" TargetMode="External" Id="rId889"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890" /><Relationship Type="http://schemas.openxmlformats.org/officeDocument/2006/relationships/hyperlink" Target="https://contrataciondelestado.es/wps/poc?uri=deeplink:detalle_licitacion&amp;idEvl=HglShHuvyH%2BTylGzYmBF9Q%3D%3D" TargetMode="External" Id="rId891" /><Relationship Type="http://schemas.openxmlformats.org/officeDocument/2006/relationships/hyperlink" Target="https://contrataciondelestado.es/FileSystem/servlet/GetDocumentByIdServlet?cifrado=QUC1GjXXSiLkydRHJBmbpw%3D%3D&amp;DocumentIdParam=nYFdUg8dim%2Bkr9zUAfsXbiI4Ju2P9ztDEiqC8Cd/sMUX3BZDah8vunTbReJ6GYtcO477mdiv31qBNUdM4OfHg8rk87B5auO%2BuF298CImFSM//q7NB2iMZvNyf0xrJmjt" TargetMode="External" Id="rId892" /><Relationship Type="http://schemas.openxmlformats.org/officeDocument/2006/relationships/hyperlink" Target="https://contrataciondelestado.es/wps/poc?uri=deeplink:detalle_licitacion&amp;idEvl=KBEAwTEcam07%2B9FIQYNjeQ%3D%3D" TargetMode="External" Id="rId893" /><Relationship Type="http://schemas.openxmlformats.org/officeDocument/2006/relationships/hyperlink" Target="https://contrataciondelestado.es/FileSystem/servlet/GetDocumentByIdServlet?cifrado=QUC1GjXXSiLkydRHJBmbpw%3D%3D&amp;DocumentIdParam=GneVU/zz0Z%2B51%2B3rmaea1U7hpzIvIJ9LHGf10OoV1mIL0Apyth08evT/%2B9Ey0pZRKzaI0U5ZBmAZMuAp28be8HEY5CbvLQ8sew0s5RT3QBe1aXEvq3KHa/AEHgtDrQw0" TargetMode="External" Id="rId894" /><Relationship Type="http://schemas.openxmlformats.org/officeDocument/2006/relationships/hyperlink" Target="https://contrataciondelestado.es/wps/poc?uri=deeplink:detalle_licitacion&amp;idEvl=12JHGKCT%2FlmFlFRHfEzEaw%3D%3D" TargetMode="External" Id="rId895" /><Relationship Type="http://schemas.openxmlformats.org/officeDocument/2006/relationships/hyperlink" Target="https://contrataciondelestado.es/FileSystem/servlet/GetDocumentByIdServlet?cifrado=QUC1GjXXSiLkydRHJBmbpw%3D%3D&amp;DocumentIdParam=M8q1PrJPgtDTgx/mH6jaqysAzTgKljbkaP3xgWDkQfBU6v9JvLjqbu0m99R7WleKiqGU5shhBrH1ybzMJmucIBwwz9dr3jeS0/Ex%2BfrA/T9t/o8fNevwsujgRzaBbugn" TargetMode="External" Id="rId896" /><Relationship Type="http://schemas.openxmlformats.org/officeDocument/2006/relationships/hyperlink" Target="https://contrataciondelestado.es/wps/poc?uri=deeplink:detalle_licitacion&amp;idEvl=ba6FY4T8VwKopEMYCmrbmw%3D%3D" TargetMode="External" Id="rId897"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898" /><Relationship Type="http://schemas.openxmlformats.org/officeDocument/2006/relationships/hyperlink" Target="https://contrataciondelestado.es/wps/poc?uri=deeplink:detalle_licitacion&amp;idEvl=9nIrHLUZI9jL1rX3q%2FMAPA%3D%3D" TargetMode="External" Id="rId899" /><Relationship Type="http://schemas.openxmlformats.org/officeDocument/2006/relationships/hyperlink" Target="https://contrataciondelestado.es/FileSystem/servlet/GetDocumentByIdServlet?cifrado=QUC1GjXXSiLkydRHJBmbpw%3D%3D&amp;DocumentIdParam=3ZXjyXajisQB1f1OIjq9iev5FFk1ehrJG1UyY5FC6vEUAPltVSiBqS4hu%2BVuZfibWUy8gMfXz5qsocp36IzgdBynKzWe2PEaEWETh1NGtQWB0nvVKRzfe4rpHcnlPhSZ" TargetMode="External" Id="rId900" /><Relationship Type="http://schemas.openxmlformats.org/officeDocument/2006/relationships/hyperlink" Target="https://contrataciondelestado.es/wps/poc?uri=deeplink:detalle_licitacion&amp;idEvl=XnSvufqAA%2Bc36J9Lctlsuw%3D%3D" TargetMode="External" Id="rId901" /><Relationship Type="http://schemas.openxmlformats.org/officeDocument/2006/relationships/hyperlink" Target="https://contrataciondelestado.es/wps/poc?uri=deeplink:detalle_licitacion&amp;idEvl=0cp57gIWTWryoM4us5k4vw%3D%3D" TargetMode="External" Id="rId902" /><Relationship Type="http://schemas.openxmlformats.org/officeDocument/2006/relationships/hyperlink" Target="https://contrataciondelestado.es/FileSystem/servlet/GetDocumentByIdServlet?cifrado=QUC1GjXXSiLkydRHJBmbpw%3D%3D&amp;DocumentIdParam=DWBmJWpKScgOW4ctdH/SKMIjg9IDlAVXY6uOyEXm5Gm64XJ4AB1l6w9afbBk%2Bm692uKJ6lyzryXpQTnGN/2d%2B3YziIJX3yrgwO2%2BAqLYsaWB0nvVKRzfe4rpHcnlPhSZ" TargetMode="External" Id="rId903" /><Relationship Type="http://schemas.openxmlformats.org/officeDocument/2006/relationships/hyperlink" Target="https://contrataciondelestado.es/wps/poc?uri=deeplink:detalle_licitacion&amp;idEvl=r7%2Fe90vTbRvpxJFXpLZ%2B2A%3D%3D" TargetMode="External" Id="rId904" /><Relationship Type="http://schemas.openxmlformats.org/officeDocument/2006/relationships/hyperlink" Target="https://contrataciondelestado.es/FileSystem/servlet/GetDocumentByIdServlet?cifrado=QUC1GjXXSiLkydRHJBmbpw%3D%3D&amp;DocumentIdParam=3Ftuv01pcldJrGa33jojk6crChbZj9dKjXMUeByAWCbBuNl%2BcFlnVo3/1FziI0aGO8PPCAQbFIQz1KDrfHQz%2BJw8XAoBFYUQovxwvtaPwtvVTD3T98KC0nSgQFM0q%2B5s" TargetMode="External" Id="rId905" /><Relationship Type="http://schemas.openxmlformats.org/officeDocument/2006/relationships/hyperlink" Target="https://contrataciondelestado.es/wps/poc?uri=deeplink:detalle_licitacion&amp;idEvl=WxOw%2FXBpLl3kY6rls5tG9A%3D%3D" TargetMode="External" Id="rId906" /><Relationship Type="http://schemas.openxmlformats.org/officeDocument/2006/relationships/hyperlink" Target="https://contrataciondelestado.es/FileSystem/servlet/GetDocumentByIdServlet?cifrado=QUC1GjXXSiLkydRHJBmbpw%3D%3D&amp;DocumentIdParam=i7v97XoKp3EYt0T4dom2Maz8ivJgeYAT%2BU71mC2dj8ZvY6f4zwCobMIl6TI3AY3vvTmV7mlbWVWdbEICHa84voUD%2BDXVhhfSeT0i/2jtyV5t/o8fNevwsujgRzaBbugn" TargetMode="External" Id="rId907" /><Relationship Type="http://schemas.openxmlformats.org/officeDocument/2006/relationships/hyperlink" Target="https://contrataciondelestado.es/wps/poc?uri=deeplink:detalle_licitacion&amp;idEvl=VpA%2B0avb6e1rhBlEHQFSKA%3D%3D" TargetMode="External" Id="rId908" /><Relationship Type="http://schemas.openxmlformats.org/officeDocument/2006/relationships/hyperlink" Target="https://contrataciondelestado.es/FileSystem/servlet/GetDocumentByIdServlet?cifrado=QUC1GjXXSiLkydRHJBmbpw%3D%3D&amp;DocumentIdParam=wPYJlwWLuXRt21Mop5REuwkj8NcouU4jncK5VesEHP/DYUq3N/7gQSvvdgPnFwobidLzZkf5ea%2BND%2BVkPGsr5FlkJePbdFXKE45/GfCghnv6CYyL7SIrUOBFfNf52ZqA" TargetMode="External" Id="rId909" /><Relationship Type="http://schemas.openxmlformats.org/officeDocument/2006/relationships/hyperlink" Target="https://contrataciondelestado.es/wps/poc?uri=deeplink:detalle_licitacion&amp;idEvl=H2DkPoafvIXjHF5qKI4aaw%3D%3D" TargetMode="External" Id="rId910" /><Relationship Type="http://schemas.openxmlformats.org/officeDocument/2006/relationships/hyperlink" Target="https://contrataciondelestado.es/FileSystem/servlet/GetDocumentByIdServlet?cifrado=QUC1GjXXSiLkydRHJBmbpw%3D%3D&amp;DocumentIdParam=3nNV8letEzlpWTv0P9iLTmLa9xxBhzWUJplqsH75yis6xx2f0K3uF4/fHGHaOQprfqvBtAx1FuIvapbqJl1Vc0KihSKpV9Ex0cG5jaPeEeqHAj0WEJrB5sP7amrh2jBD" TargetMode="External" Id="rId911" /><Relationship Type="http://schemas.openxmlformats.org/officeDocument/2006/relationships/hyperlink" Target="https://contrataciondelestado.es/wps/poc?uri=deeplink:detalle_licitacion&amp;idEvl=8TIdq7ExyzFPpzdqOdhuWg%3D%3D" TargetMode="External" Id="rId912" /><Relationship Type="http://schemas.openxmlformats.org/officeDocument/2006/relationships/hyperlink" Target="https://contrataciondelestado.es/FileSystem/servlet/GetDocumentByIdServlet?cifrado=QUC1GjXXSiLkydRHJBmbpw%3D%3D&amp;DocumentIdParam=AuqMyDRtEv%2BSCb9yYNe7%2BUV4K4930a5YH4gTyFpclSvIxXYOgRx5/ose4Vd%2BidJkRrAFKuY2EtNH%2BhLNDijIYlzx2fQeJYBjeXxrIY10/u5t/o8fNevwsujgRzaBbugn" TargetMode="External" Id="rId913" /><Relationship Type="http://schemas.openxmlformats.org/officeDocument/2006/relationships/hyperlink" Target="https://contrataciondelestado.es/wps/poc?uri=deeplink:detalle_licitacion&amp;idEvl=DyqppeXjnZBxseVhcqrkhw%3D%3D" TargetMode="External" Id="rId914"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915" /><Relationship Type="http://schemas.openxmlformats.org/officeDocument/2006/relationships/hyperlink" Target="https://contrataciondelestado.es/wps/poc?uri=deeplink:detalle_licitacion&amp;idEvl=69IN8YHTyqtrSd8H4b2soA%3D%3D" TargetMode="External" Id="rId916"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917" /><Relationship Type="http://schemas.openxmlformats.org/officeDocument/2006/relationships/hyperlink" Target="https://contrataciondelestado.es/wps/poc?uri=deeplink:detalle_licitacion&amp;idEvl=UcnD%2BC%2BqyEB%2FP7lJ7Fu0SA%3D%3D" TargetMode="External" Id="rId918" /><Relationship Type="http://schemas.openxmlformats.org/officeDocument/2006/relationships/hyperlink" Target="https://contrataciondelestado.es/FileSystem/servlet/GetDocumentByIdServlet?cifrado=QUC1GjXXSiLkydRHJBmbpw%3D%3D&amp;DocumentIdParam=9xl%2BKR2Tw2iBtcslCSLbh537KE7vQatPBL9CCO/UqUzm4hBYoXaCmPOT3HaXn470sC8bj6yJhofIs5WWgujb5SsR9bjGRCVyuFYyn4owLXrfdyQgZAdTm3EfcUAC7CJ6" TargetMode="External" Id="rId919" /><Relationship Type="http://schemas.openxmlformats.org/officeDocument/2006/relationships/hyperlink" Target="https://contrataciondelestado.es/wps/poc?uri=deeplink:detalle_licitacion&amp;idEvl=fJhB%2F0XSoC5eKgd8LfVV9g%3D%3D" TargetMode="External" Id="rId920" /><Relationship Type="http://schemas.openxmlformats.org/officeDocument/2006/relationships/hyperlink" Target="https://contrataciondelestado.es/FileSystem/servlet/GetDocumentByIdServlet?cifrado=QUC1GjXXSiLkydRHJBmbpw%3D%3D&amp;DocumentIdParam=WGglP8hnlLCE1wW48ebeDs3da/KUNbVUCKCOdhf663UtNYnpvLBweLbKbm2GQURchRFrWKMH6ATFWni2sDt8kgw%2BZGsvqs2EPhF/eR6zOSR7QB3HKyQaFUExmUVQCerk" TargetMode="External" Id="rId921" /><Relationship Type="http://schemas.openxmlformats.org/officeDocument/2006/relationships/hyperlink" Target="https://contrataciondelestado.es/wps/poc?uri=deeplink:detalle_licitacion&amp;idEvl=tc0UC5wM1js36J9Lctlsuw%3D%3D" TargetMode="External" Id="rId922" /><Relationship Type="http://schemas.openxmlformats.org/officeDocument/2006/relationships/hyperlink" Target="https://contrataciondelestado.es/FileSystem/servlet/GetDocumentByIdServlet?cifrado=QUC1GjXXSiLkydRHJBmbpw%3D%3D&amp;DocumentIdParam=yniJP/%2BTlkwLSuAj3vWySIHq9YfpjjGb2oGMkXvubFAI/IYzsL6iz6MvWAbU08KlB5hLKaD8BH1POz1w%2BY8ZgJ1xWi4p7ys5V4XgFwWjyxT6CYyL7SIrUOBFfNf52ZqA" TargetMode="External" Id="rId923" /><Relationship Type="http://schemas.openxmlformats.org/officeDocument/2006/relationships/hyperlink" Target="https://contrataciondelestado.es/wps/poc?uri=deeplink:detalle_licitacion&amp;idEvl=%2Ftuw2SRVVYTLIx6q1oPaMg%3D%3D" TargetMode="External" Id="rId924" /><Relationship Type="http://schemas.openxmlformats.org/officeDocument/2006/relationships/hyperlink" Target="https://contrataciondelestado.es/FileSystem/servlet/GetDocumentByIdServlet?cifrado=QUC1GjXXSiLkydRHJBmbpw%3D%3D&amp;DocumentIdParam=%2B0dHymQazcQ0%2BwHn9hBaOkiYSH9KJhA9m2DJZzU6OdQrw90a23X8Uk/qVviQAU9moVuDtw6tpG4zUu0Y6KUPOfaauqJPaw2i%2B/j%2B%2B7HPZtDfdyQgZAdTm3EfcUAC7CJ6" TargetMode="External" Id="rId925" /><Relationship Type="http://schemas.openxmlformats.org/officeDocument/2006/relationships/hyperlink" Target="https://contrataciondelestado.es/wps/poc?uri=deeplink:detalle_licitacion&amp;idEvl=o9KfBvvzt%2FHXOjazN1Dw9Q%3D%3D" TargetMode="External" Id="rId926" /><Relationship Type="http://schemas.openxmlformats.org/officeDocument/2006/relationships/hyperlink" Target="https://contrataciondelestado.es/FileSystem/servlet/GetDocumentByIdServlet?cifrado=QUC1GjXXSiLkydRHJBmbpw%3D%3D&amp;DocumentIdParam=dtDfAbFlK5%2Brq8UfUfDbpe/8tEdsqV/uwUYJorYlh5PzG%2B6NrT28wlqeHxr1OPfuLPRZBpOY5LlSt2dK8AeYMHsz1JB%2BHA96JsiqPe2B7sAZyAJWGsSt0OzTSTyw9JAs" TargetMode="External" Id="rId927" /><Relationship Type="http://schemas.openxmlformats.org/officeDocument/2006/relationships/hyperlink" Target="https://contrataciondelestado.es/wps/poc?uri=deeplink:detalle_licitacion&amp;idEvl=srP6aTg%2BTC0zjChw4z%2FXvw%3D%3D" TargetMode="External" Id="rId928" /><Relationship Type="http://schemas.openxmlformats.org/officeDocument/2006/relationships/hyperlink" Target="https://contrataciondelestado.es/FileSystem/servlet/GetDocumentByIdServlet?cifrado=QUC1GjXXSiLkydRHJBmbpw%3D%3D&amp;DocumentIdParam=bXD9DSsc61vxgr3K896sWlaU2TBUPTtopP0horUWuA5AVyvoVerxI%2BcLEdLmvr0q7XPVgi%2BJxJDCQ6W90aoTRg6B/v0Jm3NLU7O8mqyqQg%2BHAj0WEJrB5sP7amrh2jBD" TargetMode="External" Id="rId929" /><Relationship Type="http://schemas.openxmlformats.org/officeDocument/2006/relationships/hyperlink" Target="https://contrataciondelestado.es/wps/poc?uri=deeplink:detalle_licitacion&amp;idEvl=N8YRFcd9%2BAjyoM4us5k4vw%3D%3D" TargetMode="External" Id="rId930" /><Relationship Type="http://schemas.openxmlformats.org/officeDocument/2006/relationships/hyperlink" Target="https://contrataciondelestado.es/FileSystem/servlet/GetDocumentByIdServlet?cifrado=QUC1GjXXSiLkydRHJBmbpw%3D%3D&amp;DocumentIdParam=wPsA76bwZXKFzTPBAiofepbqRARCJGlh4fEYBEwoJqVfZfPs5wa8WcT081WYthczQwMsoR0HbNx/%2B9IUiUzNNH1yxPmMlB%2BfFKJ6swQQEYD6CYyL7SIrUOBFfNf52ZqA" TargetMode="External" Id="rId931" /><Relationship Type="http://schemas.openxmlformats.org/officeDocument/2006/relationships/hyperlink" Target="https://contrataciondelestado.es/wps/poc?uri=deeplink:detalle_licitacion&amp;idEvl=77X3Aq2qemkaF6cS8TCh%2FA%3D%3D" TargetMode="External" Id="rId932" /><Relationship Type="http://schemas.openxmlformats.org/officeDocument/2006/relationships/hyperlink" Target="https://contrataciondelestado.es/FileSystem/servlet/GetDocumentByIdServlet?cifrado=QUC1GjXXSiLkydRHJBmbpw%3D%3D&amp;DocumentIdParam=2M5WrqwCF%2Bbj5o3uUthnz4kKS54OAmEyYQ0ZyhgtVovEHtdYllsnFcOayk/FAgHyICpzcnQNLOdJX8AePCwEv3HBJ5VBBxgyd2Sk65%2BEd6Zt/o8fNevwsujgRzaBbugn" TargetMode="External" Id="rId933" /><Relationship Type="http://schemas.openxmlformats.org/officeDocument/2006/relationships/hyperlink" Target="https://contrataciondelestado.es/wps/poc?uri=deeplink:detalle_licitacion&amp;idEvl=F%2F2zB0IVgI07%2B9FIQYNjeQ%3D%3D" TargetMode="External" Id="rId934"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935" /><Relationship Type="http://schemas.openxmlformats.org/officeDocument/2006/relationships/hyperlink" Target="https://contrataciondelestado.es/wps/poc?uri=deeplink:detalle_licitacion&amp;idEvl=buUJlFV1yv0Xhk1FZxEyvw%3D%3D" TargetMode="External" Id="rId936" /><Relationship Type="http://schemas.openxmlformats.org/officeDocument/2006/relationships/hyperlink" Target="https://contrataciondelestado.es/FileSystem/servlet/GetDocumentByIdServlet?DocumentIdParam=dgk9Ma8OtPHe2%2Bmfnh7K1SpLmyzomL6m2KlDPQiiQIgiNWyB3tS8L/XmAXstCkCqBQh2UEtdHnakbmJf2VlFCZ/74t5nyUGxRcOBHRHz3Zr6CYyL7SIrUOBFfNf52ZqA&amp;cifrado=QUC1GjXXSiLkydRHJBmbpw%3D%3D" TargetMode="External" Id="rId937" /><Relationship Type="http://schemas.openxmlformats.org/officeDocument/2006/relationships/hyperlink" Target="https://contrataciondelestado.es/wps/poc?uri=deeplink:detalle_licitacion&amp;idEvl=AVd1tMt0zxGqb7rCcv76BA%3D%3D" TargetMode="External" Id="rId938" /><Relationship Type="http://schemas.openxmlformats.org/officeDocument/2006/relationships/hyperlink" Target="https://contrataciondelestado.es/FileSystem/servlet/GetDocumentByIdServlet?cifrado=QUC1GjXXSiLkydRHJBmbpw%3D%3D&amp;DocumentIdParam=9BSaF9CmxV3eeGeSZEuRiOltgUGyq2ZlpUAmzejhQeinv0LuSf3K3y1aL0fnhWcYskJ78bzDfmkka0CQD9tqcG4BsZ7KXfjzvBzs9mkv9rZ7QB3HKyQaFUExmUVQCerk" TargetMode="External" Id="rId939" /><Relationship Type="http://schemas.openxmlformats.org/officeDocument/2006/relationships/hyperlink" Target="https://contrataciondelestado.es/wps/poc?uri=deeplink:detalle_licitacion&amp;idEvl=XjsYRiFYwurCfVQHDepjGQ%3D%3D" TargetMode="External" Id="rId940"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941" /><Relationship Type="http://schemas.openxmlformats.org/officeDocument/2006/relationships/hyperlink" Target="https://contrataciondelestado.es/wps/poc?uri=deeplink:detalle_licitacion&amp;idEvl=d2N7Ge%2F%2BZl5t5r0ngvMetA%3D%3D" TargetMode="External" Id="rId942" /><Relationship Type="http://schemas.openxmlformats.org/officeDocument/2006/relationships/hyperlink" Target="https://contrataciondelestado.es/wps/poc?uri=deeplink:detalle_licitacion&amp;idEvl=T698BUUViS7I8aL3PRS10Q%3D%3D" TargetMode="External" Id="rId943"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944" /><Relationship Type="http://schemas.openxmlformats.org/officeDocument/2006/relationships/hyperlink" Target="https://contrataciondelestado.es/wps/poc?uri=deeplink:detalle_licitacion&amp;idEvl=Tt4p9gVObKP9pbnDwlaUlg%3D%3D" TargetMode="External" Id="rId945" /><Relationship Type="http://schemas.openxmlformats.org/officeDocument/2006/relationships/hyperlink" Target="https://contrataciondelestado.es/FileSystem/servlet/GetDocumentByIdServlet?cifrado=QUC1GjXXSiLkydRHJBmbpw%3D%3D&amp;DocumentIdParam=Fr8vDMRS5M%2BTM%2BYEDioPCKESheFr2wUw7kpL4FVmU1q9M%2BEzdrAzu11bPv9VPbnDpVqJ1h8cGjQ0EyovkPndxoMAHFrBbfziZ2fiapB/RCv3GVhXrFFqN7yFncy7YfRK" TargetMode="External" Id="rId946" /><Relationship Type="http://schemas.openxmlformats.org/officeDocument/2006/relationships/hyperlink" Target="https://contrataciondelestado.es/wps/poc?uri=deeplink:detalle_licitacion&amp;idEvl=YnPqNMJJDP5%2FP7lJ7Fu0SA%3D%3D" TargetMode="External" Id="rId947" /><Relationship Type="http://schemas.openxmlformats.org/officeDocument/2006/relationships/hyperlink" Target="https://contrataciondelestado.es/FileSystem/servlet/GetDocumentByIdServlet?DocumentIdParam=q9w1cRjBJekeR3jJo5gQMCej0iB45mrAkQlRlE9goVVrgX%2B3LJihsQR%2BA5P8Y0A7sZt/ne/feWFcx/%2BzqqAJ1za3%2BtAm1tbcFzzk9NnpcgmHAj0WEJrB5sP7amrh2jBD&amp;cifrado=QUC1GjXXSiLkydRHJBmbpw%3D%3D" TargetMode="External" Id="rId948" /><Relationship Type="http://schemas.openxmlformats.org/officeDocument/2006/relationships/hyperlink" Target="https://contrataciondelestado.es/wps/poc?uri=deeplink:detalle_licitacion&amp;idEvl=qKjSf4xzbvVWhbmkna2nXQ%3D%3D" TargetMode="External" Id="rId949"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950" /><Relationship Type="http://schemas.openxmlformats.org/officeDocument/2006/relationships/hyperlink" Target="https://contrataciondelestado.es/wps/poc?uri=deeplink:detalle_licitacion&amp;idEvl=UddM6UtpPgKmq21uxhbaVQ%3D%3D" TargetMode="External" Id="rId951" /><Relationship Type="http://schemas.openxmlformats.org/officeDocument/2006/relationships/hyperlink" Target="https://contrataciondelestado.es/wps/wcm/connect/PLACE_es/Site/area/docAccCmpnt?srv=cmpnt&amp;cmpntname=GetDocumentsById&amp;source=library&amp;DocumentIdParam=ce3bfde2-b8aa-48d4-ba6a-844afbb0edfc" TargetMode="External" Id="rId952" /><Relationship Type="http://schemas.openxmlformats.org/officeDocument/2006/relationships/hyperlink" Target="https://contrataciondelestado.es/wps/poc?uri=deeplink:detalle_licitacion&amp;idEvl=F%2BkewY5JxpM%2Bk2oCbDosIw%3D%3D" TargetMode="External" Id="rId953"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954" /><Relationship Type="http://schemas.openxmlformats.org/officeDocument/2006/relationships/hyperlink" Target="https://contrataciondelestado.es/wps/poc?uri=deeplink:detalle_licitacion&amp;idEvl=cfdFMQewi7AZDGvgaZEVxQ%3D%3D" TargetMode="External" Id="rId955" /><Relationship Type="http://schemas.openxmlformats.org/officeDocument/2006/relationships/hyperlink" Target="https://contrataciondelestado.es/FileSystem/servlet/GetDocumentByIdServlet?cifrado=QUC1GjXXSiLkydRHJBmbpw%3D%3D&amp;DocumentIdParam=w4gFSMDcXsKOcuVlHOngXodOyTkVJbzDAykvrRM/%2BzzBwwys9fxre%2BC9iCcG4IiIFC0bxZOelSiBduXpK6Or5rT7VKokPUVTFCcQP8mbhZ4ZyAJWGsSt0OzTSTyw9JAs" TargetMode="External" Id="rId956" /><Relationship Type="http://schemas.openxmlformats.org/officeDocument/2006/relationships/hyperlink" Target="https://contrataciondelestado.es/wps/poc?uri=deeplink:detalle_licitacion&amp;idEvl=D3U4HbRovVSExvMJXBMHHQ%3D%3D" TargetMode="External" Id="rId957" /><Relationship Type="http://schemas.openxmlformats.org/officeDocument/2006/relationships/hyperlink" Target="https://contrataciondelestado.es/FileSystem/servlet/GetDocumentByIdServlet?cifrado=QUC1GjXXSiLkydRHJBmbpw%3D%3D&amp;DocumentIdParam=sIAov/VKzENAl/L8bpYuucSJxALywJqXYzqs1PMlrqhP3a0eT30sep/kdYEXxz4NHH0DO3%2BICJW90CZuABZTocyvIqV5Ep6QK3XnqwBoW7bVTD3T98KC0nSgQFM0q%2B5s" TargetMode="External" Id="rId958" /><Relationship Type="http://schemas.openxmlformats.org/officeDocument/2006/relationships/hyperlink" Target="https://contrataciondelestado.es/wps/poc?uri=deeplink:detalle_licitacion&amp;idEvl=FD4lpBPgFPiExvMJXBMHHQ%3D%3D" TargetMode="External" Id="rId959" /><Relationship Type="http://schemas.openxmlformats.org/officeDocument/2006/relationships/hyperlink" Target="https://contrataciondelestado.es/FileSystem/servlet/GetDocumentByIdServlet?cifrado=QUC1GjXXSiLkydRHJBmbpw%3D%3D&amp;DocumentIdParam=L4CuhMXdnH6w%2Bp14z2%2BHHWoI3RPBn/oJeN8LUV3g%2B1q8pZ52F1GCNg1Zj1Q5RSlhc74XF2Xracf4DPvaKOANaZbkoT3JEVQGcupUNPFP%2BYqB0nvVKRzfe4rpHcnlPhSZ" TargetMode="External" Id="rId960" /><Relationship Type="http://schemas.openxmlformats.org/officeDocument/2006/relationships/hyperlink" Target="https://contrataciondelestado.es/wps/poc?uri=deeplink:detalle_licitacion&amp;idEvl=d8xZoa%2FLYBWAAM7L03kM8A%3D%3D" TargetMode="External" Id="rId961" /><Relationship Type="http://schemas.openxmlformats.org/officeDocument/2006/relationships/hyperlink" Target="https://contrataciondelestado.es/FileSystem/servlet/GetDocumentByIdServlet?cifrado=QUC1GjXXSiLkydRHJBmbpw%3D%3D&amp;DocumentIdParam=7MP9c2AJkOpRG5ZDazvnPj8nITbXjXltw%2BS3M777Ct5C5HHtYngApPjTZtmHOqw4sxncdGRZph21j/D%2BN2RyDsn8niBthsjzXOMT2DzlZZiHAj0WEJrB5sP7amrh2jBD" TargetMode="External" Id="rId962" /><Relationship Type="http://schemas.openxmlformats.org/officeDocument/2006/relationships/hyperlink" Target="https://contrataciondelestado.es/wps/poc?uri=deeplink:detalle_licitacion&amp;idEvl=ZJpH3FI98gV%2BF6L2uCfUWg%3D%3D" TargetMode="External" Id="rId963" /><Relationship Type="http://schemas.openxmlformats.org/officeDocument/2006/relationships/hyperlink" Target="https://contrataciondelestado.es/wps/poc?uri=deeplink:detalle_licitacion&amp;idEvl=M8dlBHW0c44l5NjlNci%2BtA%3D%3D" TargetMode="External" Id="rId964" /><Relationship Type="http://schemas.openxmlformats.org/officeDocument/2006/relationships/hyperlink" Target="https://contrataciondelestado.es/FileSystem/servlet/GetDocumentByIdServlet?cifrado=QUC1GjXXSiLkydRHJBmbpw%3D%3D&amp;DocumentIdParam=y93/mxr9evS9B8nozw5cgslc5tk19iryv1Uf9FgWgFZSbLVH4DJ5u5CUDE02JqeyQ25RUat2ee1Fp/K9g/23GnWDcqqvdsCCuSpkDm%2Bpz9lt/o8fNevwsujgRzaBbugn" TargetMode="External" Id="rId965" /><Relationship Type="http://schemas.openxmlformats.org/officeDocument/2006/relationships/hyperlink" Target="https://contrataciondelestado.es/wps/poc?uri=deeplink:detalle_licitacion&amp;idEvl=6ypqCwYSDl%2Bqb7rCcv76BA%3D%3D" TargetMode="External" Id="rId966" /><Relationship Type="http://schemas.openxmlformats.org/officeDocument/2006/relationships/hyperlink" Target="https://contrataciondelestado.es/FileSystem/servlet/GetDocumentByIdServlet?cifrado=QUC1GjXXSiLkydRHJBmbpw%3D%3D&amp;DocumentIdParam=1sg%2BZX2mvvdvgDu4Rs8UsWeuAezTcwtNGNQpI8hPEOzDFVokJ4pyvvg6aOi3vRdab4qdYPJfwUsm1jAnL9pNWwwfmmmyvEU2PtT48TfMJKeCx2e6p7hqtlp2aFupgHMr" TargetMode="External" Id="rId967" /><Relationship Type="http://schemas.openxmlformats.org/officeDocument/2006/relationships/hyperlink" Target="https://contrataciondelestado.es/wps/poc?uri=deeplink:detalle_licitacion&amp;idEvl=HS0%2F2hJpXxsUqXM96WStVA%3D%3D" TargetMode="External" Id="rId968" /><Relationship Type="http://schemas.openxmlformats.org/officeDocument/2006/relationships/hyperlink" Target="https://contrataciondelestado.es/FileSystem/servlet/GetDocumentByIdServlet?cifrado=QUC1GjXXSiLkydRHJBmbpw%3D%3D&amp;DocumentIdParam=AFau5acxGYk87gSoDoXXi05qqKOO2FZ1oYlL4f8WtzAfJDOaaf44TJ0TlE77pj3wVrbr9P3SoL%2B/FdDWEHgAJFF4iiKZbqBhOZHLnQjsyhV45ClyWkoJ44mKM70IFcOu" TargetMode="External" Id="rId969" /><Relationship Type="http://schemas.openxmlformats.org/officeDocument/2006/relationships/hyperlink" Target="https://contrataciondelestado.es/wps/poc?uri=deeplink:detalle_licitacion&amp;idEvl=9xgZw7f3Bj0adbH3CysQuQ%3D%3D" TargetMode="External" Id="rId970" /><Relationship Type="http://schemas.openxmlformats.org/officeDocument/2006/relationships/hyperlink" Target="https://contrataciondelestado.es/FileSystem/servlet/GetDocumentByIdServlet?cifrado=QUC1GjXXSiLkydRHJBmbpw%3D%3D&amp;DocumentIdParam=tdRxk0iRLCeL%2BJTmmQqDnMYZH3ZoihVKeP6zS2Du6uFJifMEA/SXnhTIA8rCIoU00EqW5/qlEmjn5Jo5TuLvpvS3cLu/R2%2BiK4fnGR0jhcHDdQD9RyhUmzT4jZ2In4zL" TargetMode="External" Id="rId971" /><Relationship Type="http://schemas.openxmlformats.org/officeDocument/2006/relationships/hyperlink" Target="https://contrataciondelestado.es/wps/poc?uri=deeplink:detalle_licitacion&amp;idEvl=NDRZeOduHUkl5NjlNci%2BtA%3D%3D" TargetMode="External" Id="rId972" /><Relationship Type="http://schemas.openxmlformats.org/officeDocument/2006/relationships/hyperlink" Target="https://contrataciondelestado.es/FileSystem/servlet/GetDocumentByIdServlet?cifrado=QUC1GjXXSiLkydRHJBmbpw%3D%3D&amp;DocumentIdParam=lB4ESkXHkKUvLfPEtXMS%2Bgk5xM5jftIcWEpla9PAFUlvGPBLcOpmwJvefrEPJQOU49bh7K/B3d0lGzLTLTXEiBPv29MxAhexjhe8RqVQaBSCx2e6p7hqtlp2aFupgHMr" TargetMode="External" Id="rId973" /><Relationship Type="http://schemas.openxmlformats.org/officeDocument/2006/relationships/hyperlink" Target="https://contrataciondelestado.es/wps/poc?uri=deeplink:detalle_licitacion&amp;idEvl=g5D4uLN0NMHua%2Fi14w%2FPLA%3D%3D" TargetMode="External" Id="rId974" /><Relationship Type="http://schemas.openxmlformats.org/officeDocument/2006/relationships/hyperlink" Target="https://contrataciondelestado.es/FileSystem/servlet/GetDocumentByIdServlet?cifrado=QUC1GjXXSiLkydRHJBmbpw%3D%3D&amp;DocumentIdParam=vIv0fyIYnXXG8NxFbRVIS4Z6YrLWjmJ6GyRWfnMy7C3qaA7E%2B7WSFlS9P9RpjKIcFg6jXwt7cP5fLEDk5IQ5Y%2BEsuMxHkX60yRi3/dTBp3/DdQD9RyhUmzT4jZ2In4zL" TargetMode="External" Id="rId975" /><Relationship Type="http://schemas.openxmlformats.org/officeDocument/2006/relationships/hyperlink" Target="https://contrataciondelestado.es/wps/poc?uri=deeplink:detalle_licitacion&amp;idEvl=Gq3r%2BdzCO5gaF6cS8TCh%2FA%3D%3D" TargetMode="External" Id="rId976" /><Relationship Type="http://schemas.openxmlformats.org/officeDocument/2006/relationships/hyperlink" Target="https://contrataciondelestado.es/FileSystem/servlet/GetDocumentByIdServlet?cifrado=QUC1GjXXSiLkydRHJBmbpw%3D%3D&amp;DocumentIdParam=HkLGUMORqdi6fsHgEgUhqgHLLffx47VqzfBZPRS/qhOtYG1MrhRfkTG/o8Jte6w9LnE%2BfR2E9UobL/mkVyCF40Nwfz0HECHHQO4RtHHVgjHVTD3T98KC0nSgQFM0q%2B5s" TargetMode="External" Id="rId977" /><Relationship Type="http://schemas.openxmlformats.org/officeDocument/2006/relationships/hyperlink" Target="https://contrataciondelestado.es/wps/poc?uri=deeplink:detalle_licitacion&amp;idEvl=H6HyKZAUGWY3vLk2DU2Ddg%3D%3D" TargetMode="External" Id="rId978"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979" /><Relationship Type="http://schemas.openxmlformats.org/officeDocument/2006/relationships/hyperlink" Target="https://contrataciondelestado.es/wps/poc?uri=deeplink:detalle_licitacion&amp;idEvl=VWDu3R2pISDL1rX3q%2FMAPA%3D%3D" TargetMode="External" Id="rId980"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981" /><Relationship Type="http://schemas.openxmlformats.org/officeDocument/2006/relationships/hyperlink" Target="https://contrataciondelestado.es/wps/poc?uri=deeplink:detalle_licitacion&amp;idEvl=grw7tPINMLg3vLk2DU2Ddg%3D%3D" TargetMode="External" Id="rId982" /><Relationship Type="http://schemas.openxmlformats.org/officeDocument/2006/relationships/hyperlink" Target="https://contrataciondelestado.es/wps/poc?uri=deeplink:detalle_licitacion&amp;idEvl=YqSPCAMF7mEeC9GJQOEBkQ%3D%3D" TargetMode="External" Id="rId983"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984" /><Relationship Type="http://schemas.openxmlformats.org/officeDocument/2006/relationships/hyperlink" Target="https://contrataciondelestado.es/wps/poc?uri=deeplink:detalle_licitacion&amp;idEvl=U%2B93hl8ITYJ%2FP7lJ7Fu0SA%3D%3D" TargetMode="External" Id="rId985" /><Relationship Type="http://schemas.openxmlformats.org/officeDocument/2006/relationships/hyperlink" Target="https://contrataciondelestado.es/FileSystem/servlet/GetDocumentByIdServlet?cifrado=QUC1GjXXSiLkydRHJBmbpw%3D%3D&amp;DocumentIdParam=naGiamVcA0zQxlED0oOB3%2BTbwYcWemFVTeoEB9vYGBH/SN6H2Kj8UpMlvKCCD15/4WmvRi3qRe8J2zOBjlQOxIvniZTZMXOw%2Bnm9rdR1lI21aXEvq3KHa/AEHgtDrQw0" TargetMode="External" Id="rId986" /><Relationship Type="http://schemas.openxmlformats.org/officeDocument/2006/relationships/hyperlink" Target="https://contrataciondelestado.es/wps/poc?uri=deeplink:detalle_licitacion&amp;idEvl=9kACiXdrNPNQFSeKCRun4Q%3D%3D" TargetMode="External" Id="rId987" /><Relationship Type="http://schemas.openxmlformats.org/officeDocument/2006/relationships/hyperlink" Target="https://contrataciondelestado.es/FileSystem/servlet/GetDocumentByIdServlet?cifrado=QUC1GjXXSiLkydRHJBmbpw%3D%3D&amp;DocumentIdParam=OPv1JDIoq/SlFMU1QN%2B/%2BuOrCUaidxxKM4RJGk//oabOs9DSLy0WFfETzM%2Bzd1h6W9csd10SHxtpFtyJPfJ2xDSsjM3rnH58QpqqcID4hL6Cx2e6p7hqtlp2aFupgHMr" TargetMode="External" Id="rId988" /><Relationship Type="http://schemas.openxmlformats.org/officeDocument/2006/relationships/hyperlink" Target="https://contrataciondelestado.es/wps/poc?uri=deeplink:detalle_licitacion&amp;idEvl=r45WNjvLHJAeC9GJQOEBkQ%3D%3D" TargetMode="External" Id="rId989" /><Relationship Type="http://schemas.openxmlformats.org/officeDocument/2006/relationships/hyperlink" Target="https://contrataciondelestado.es/FileSystem/servlet/GetDocumentByIdServlet?cifrado=QUC1GjXXSiLkydRHJBmbpw%3D%3D&amp;DocumentIdParam=orNh1flC2p9SqpZ5W545znkHa42uEyxK1D7lSDGRBdjMmjSI5OGDIcUfmBjIpUlkMABgMllrX4vpIfuch7iRijQAEeVF0bjNoWtkfId7lQT3GVhXrFFqN7yFncy7YfRK" TargetMode="External" Id="rId990" /><Relationship Type="http://schemas.openxmlformats.org/officeDocument/2006/relationships/hyperlink" Target="https://contrataciondelestado.es/wps/poc?uri=deeplink:detalle_licitacion&amp;idEvl=UOqu0AwuQaQzjChw4z%2FXvw%3D%3D" TargetMode="External" Id="rId991" /><Relationship Type="http://schemas.openxmlformats.org/officeDocument/2006/relationships/hyperlink" Target="https://contrataciondelestado.es/FileSystem/servlet/GetDocumentByIdServlet?cifrado=QUC1GjXXSiLkydRHJBmbpw%3D%3D&amp;DocumentIdParam=GezMxQi2nmB/cCewQQWfQyq7ABUM8uFCj%2Bgg9bPTXle/qhc1Wf8iZplVKBeFQvwyJBbCEz8nTzjV1fal22m4EG95WlfD7gOHsO9rwSGWm9CB0nvVKRzfe4rpHcnlPhSZ" TargetMode="External" Id="rId992" /><Relationship Type="http://schemas.openxmlformats.org/officeDocument/2006/relationships/hyperlink" Target="https://contrataciondelestado.es/wps/poc?uri=deeplink:detalle_licitacion&amp;idEvl=LOjXiblhB%2BK8ebB%2FXTwy0A%3D%3D" TargetMode="External" Id="rId993" /><Relationship Type="http://schemas.openxmlformats.org/officeDocument/2006/relationships/hyperlink" Target="https://contrataciondelestado.es/FileSystem/servlet/GetDocumentByIdServlet?cifrado=QUC1GjXXSiLkydRHJBmbpw%3D%3D&amp;DocumentIdParam=%2BFDx1SbKtLQiyfzGAZuLl2p74iQF1kZzKyjQxdokw6jlIxdvyZ0mlahGxOvKSHKhpSkevcQwlVROmuyuo571kXNURpckxjAW445U1RtMdeOB0nvVKRzfe4rpHcnlPhSZ" TargetMode="External" Id="rId994" /><Relationship Type="http://schemas.openxmlformats.org/officeDocument/2006/relationships/hyperlink" Target="https://contrataciondelestado.es/wps/poc?uri=deeplink:detalle_licitacion&amp;idEvl=czy1KkRUYavpxJFXpLZ%2B2A%3D%3D" TargetMode="External" Id="rId995" /><Relationship Type="http://schemas.openxmlformats.org/officeDocument/2006/relationships/hyperlink" Target="https://contrataciondelestado.es/FileSystem/servlet/GetDocumentByIdServlet?cifrado=QUC1GjXXSiLkydRHJBmbpw%3D%3D&amp;DocumentIdParam=Vs0LMCWmW8qLsCoSMBAjIiRvSZ29bX1jqN7C7ZeT0wwsKUCqiWEGUwFgOI/4T8YlNK2HtNFEjObu%2B/SulLqn6ayrpX9BQoVnHP%2BGyq4BUqrVTD3T98KC0nSgQFM0q%2B5s" TargetMode="External" Id="rId996" /><Relationship Type="http://schemas.openxmlformats.org/officeDocument/2006/relationships/hyperlink" Target="https://contrataciondelestado.es/wps/poc?uri=deeplink:detalle_licitacion&amp;idEvl=sFkzQqi8nMT10HRJw8TEnQ%3D%3D" TargetMode="External" Id="rId997" /><Relationship Type="http://schemas.openxmlformats.org/officeDocument/2006/relationships/hyperlink" Target="https://contrataciondelestado.es/FileSystem/servlet/GetDocumentByIdServlet?cifrado=QUC1GjXXSiLkydRHJBmbpw%3D%3D&amp;DocumentIdParam=QfLUTTJ1LF%2BUAVdDLPgyTVnaMQIfLQehVE1dpVZxvVj%2BYiz72BpEc548bbRkgzM8gHD7xBdHMGh4AFaR5ny5HeLoD1pTcqfJ3/qQD3Q%2BU1nfdyQgZAdTm3EfcUAC7CJ6" TargetMode="External" Id="rId998" /><Relationship Type="http://schemas.openxmlformats.org/officeDocument/2006/relationships/hyperlink" Target="https://contrataciondelestado.es/wps/poc?uri=deeplink:detalle_licitacion&amp;idEvl=MgSULOZxrQbzAq95uGTrDQ%3D%3D" TargetMode="External" Id="rId999" /><Relationship Type="http://schemas.openxmlformats.org/officeDocument/2006/relationships/hyperlink" Target="https://contrataciondelestado.es/FileSystem/servlet/GetDocumentByIdServlet?cifrado=QUC1GjXXSiLkydRHJBmbpw%3D%3D&amp;DocumentIdParam=z5KVM%2B9qtFXa9yYBt/%2BRP2WUblQR1XqiHUrQefjHbyTp%2BnR09xV665q%2B9uyElANl32PTAhwmwaak9S%2Bw6sIBtMi4k4GwOr/UJimvYCOcnMF45ClyWkoJ44mKM70IFcOu" TargetMode="External" Id="rId1000" /><Relationship Type="http://schemas.openxmlformats.org/officeDocument/2006/relationships/hyperlink" Target="https://contrataciondelestado.es/wps/poc?uri=deeplink:detalle_licitacion&amp;idEvl=o9ZUWuv%2BU5EzjChw4z%2FXvw%3D%3D" TargetMode="External" Id="rId1001" /><Relationship Type="http://schemas.openxmlformats.org/officeDocument/2006/relationships/hyperlink" Target="https://contrataciondelestado.es/FileSystem/servlet/GetDocumentByIdServlet?cifrado=QUC1GjXXSiLkydRHJBmbpw%3D%3D&amp;DocumentIdParam=Z5vv4YzyFjNHHEWJL6Dls2PzsBvNIfzrWXaQ5OhME/Qfr9phOoU86z9KG0nl9roBzWN1latmaperd6ygObXTNmlFvi09zT3m47GuphYiD0V7QB3HKyQaFUExmUVQCerk" TargetMode="External" Id="rId1002" /><Relationship Type="http://schemas.openxmlformats.org/officeDocument/2006/relationships/hyperlink" Target="https://contrataciondelestado.es/wps/poc?uri=deeplink:detalle_licitacion&amp;idEvl=xLPGX0bPkDjpxJFXpLZ%2B2A%3D%3D" TargetMode="External" Id="rId1003" /><Relationship Type="http://schemas.openxmlformats.org/officeDocument/2006/relationships/hyperlink" Target="https://contrataciondelestado.es/FileSystem/servlet/GetDocumentByIdServlet?cifrado=QUC1GjXXSiLkydRHJBmbpw%3D%3D&amp;DocumentIdParam=EMWTGotLWzOVrn/ySlVcm2JEm65PfnUX6Mz1DKnUhZRRWUO5TjFFvswQtUH7lWaWHJJ5YcID9iRwcbT5WLexL6EOqXgDn20kAi%2Bd2h0/ikt7QB3HKyQaFUExmUVQCerk" TargetMode="External" Id="rId1004" /><Relationship Type="http://schemas.openxmlformats.org/officeDocument/2006/relationships/hyperlink" Target="https://contrataciondelestado.es/wps/poc?uri=deeplink:detalle_licitacion&amp;idEvl=ynJ4a0Ufu5RxseVhcqrkhw%3D%3D" TargetMode="External" Id="rId1005" /><Relationship Type="http://schemas.openxmlformats.org/officeDocument/2006/relationships/hyperlink" Target="https://contrataciondelestado.es/FileSystem/servlet/GetDocumentByIdServlet?cifrado=QUC1GjXXSiLkydRHJBmbpw%3D%3D&amp;DocumentIdParam=Rp0eRr2ZrkqZx6owTNqHp53tWeotGGzaj1F1gg/BOjjWB9NFxm6WSzOYZn5p4aQ0KNrvnt42SwT/WWlxhzGc/6ztD9ua5opZhLWodcds/lP6CYyL7SIrUOBFfNf52ZqA" TargetMode="External" Id="rId1006" /><Relationship Type="http://schemas.openxmlformats.org/officeDocument/2006/relationships/hyperlink" Target="https://contrataciondelestado.es/wps/poc?uri=deeplink:detalle_licitacion&amp;idEvl=qqfdcv8pc0W9Hd5zqvq9cg%3D%3D" TargetMode="External" Id="rId1007" /><Relationship Type="http://schemas.openxmlformats.org/officeDocument/2006/relationships/hyperlink" Target="https://contrataciondelestado.es/FileSystem/servlet/GetDocumentByIdServlet?DocumentIdParam=P5RgrHoRJrI0PwWWnyk5nb%2BVtg/QWRvWzB7VkA1t2wlvHRlATHC1/brxLHHACiz7FOZlYvqYKaPsOq6NFCsRkzCFsycy5GHqOy%2BHQ1PRPll45ClyWkoJ44mKM70IFcOu&amp;cifrado=QUC1GjXXSiLkydRHJBmbpw%3D%3D" TargetMode="External" Id="rId1008" /><Relationship Type="http://schemas.openxmlformats.org/officeDocument/2006/relationships/hyperlink" Target="https://contrataciondelestado.es/wps/poc?uri=deeplink:detalle_licitacion&amp;idEvl=oCB6f7W2odrpxJFXpLZ%2B2A%3D%3D" TargetMode="External" Id="rId1009" /><Relationship Type="http://schemas.openxmlformats.org/officeDocument/2006/relationships/hyperlink" Target="https://contrataciondelestado.es/FileSystem/servlet/GetDocumentByIdServlet?cifrado=QUC1GjXXSiLkydRHJBmbpw%3D%3D&amp;DocumentIdParam=ynk4KyOsPivs6/qk2cPjSoutC3/xdBzYTT8mjXDoF/D0A%2B/VsJ36zQtp5YXBn%2B1vl94bjI2/5csTX0PPxTYinwGXwxVRGr5ZMcP9wJclD5l7QB3HKyQaFUExmUVQCerk" TargetMode="External" Id="rId1010" /><Relationship Type="http://schemas.openxmlformats.org/officeDocument/2006/relationships/hyperlink" Target="https://contrataciondelestado.es/wps/poc?uri=deeplink:detalle_licitacion&amp;idEvl=3HUu07WPWY4wYTJJ03sHog%3D%3D" TargetMode="External" Id="rId1011" /><Relationship Type="http://schemas.openxmlformats.org/officeDocument/2006/relationships/hyperlink" Target="https://contrataciondelestado.es/FileSystem/servlet/GetDocumentByIdServlet?cifrado=QUC1GjXXSiLkydRHJBmbpw%3D%3D&amp;DocumentIdParam=2aH5dxTaMu71y9ft59kzuKksbC6H10C7%2BsopVKQb1hvf2Ok9QcuA5mThX/gdPbaM9rKh9/RycnA%2B4Rm2TKMQC%2BfxIbMBhE2eoMs0Y6ZHTjyB0nvVKRzfe4rpHcnlPhSZ" TargetMode="External" Id="rId1012" /><Relationship Type="http://schemas.openxmlformats.org/officeDocument/2006/relationships/hyperlink" Target="https://contrataciondelestado.es/wps/poc?uri=deeplink:detalle_licitacion&amp;idEvl=JYzvx9Emjvp70UvEyYJSGw%3D%3D" TargetMode="External" Id="rId1013" /><Relationship Type="http://schemas.openxmlformats.org/officeDocument/2006/relationships/hyperlink" Target="https://contrataciondelestado.es/FileSystem/servlet/GetDocumentByIdServlet?DocumentIdParam=S3MJm1MYvWiXQQSHTLdz6JQ%2BqOntMU0an%2BGwp43x360PPpg1l84tYfMqmDqknSQ0nonV7dl1ofcgqcoV8CgchhjLdd8esxW9ww2nPFVYlNDfdyQgZAdTm3EfcUAC7CJ6&amp;cifrado=QUC1GjXXSiLkydRHJBmbpw%3D%3D" TargetMode="External" Id="rId1014" /><Relationship Type="http://schemas.openxmlformats.org/officeDocument/2006/relationships/hyperlink" Target="https://contrataciondelestado.es/wps/poc?uri=deeplink:detalle_licitacion&amp;idEvl=ydxflqKgdrzECtSnloz%2BZQ%3D%3D" TargetMode="External" Id="rId1015"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1016" /><Relationship Type="http://schemas.openxmlformats.org/officeDocument/2006/relationships/hyperlink" Target="https://contrataciondelestado.es/wps/poc?uri=deeplink:detalle_licitacion&amp;idEvl=52z3QpJPR2pVYjgxA4nMUw%3D%3D" TargetMode="External" Id="rId1017"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1018" /><Relationship Type="http://schemas.openxmlformats.org/officeDocument/2006/relationships/hyperlink" Target="https://contrataciondelestado.es/wps/poc?uri=deeplink:detalle_licitacion&amp;idEvl=sekD1puXkRK2gkLQ8TeYKA%3D%3D" TargetMode="External" Id="rId1019"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1020" /><Relationship Type="http://schemas.openxmlformats.org/officeDocument/2006/relationships/hyperlink" Target="https://contrataciondelestado.es/wps/poc?uri=deeplink:detalle_licitacion&amp;idEvl=q16GGAuXyJ%2BdkQsA7ROvsg%3D%3D" TargetMode="External" Id="rId1021" /><Relationship Type="http://schemas.openxmlformats.org/officeDocument/2006/relationships/hyperlink" Target="https://contrataciondelestado.es/FileSystem/servlet/GetDocumentByIdServlet?cifrado=QUC1GjXXSiLkydRHJBmbpw%3D%3D&amp;DocumentIdParam=vS9I8OIuSUt6XBdE81ml654ldDd6DkEXvzDWLBtEBsaFfEdDBauQZfxFaSYtZCb8I%2BnwGtEBhTqgI3ZemjlhIUHpJW3orXXuiz1GlBVHHOiB0nvVKRzfe4rpHcnlPhSZ" TargetMode="External" Id="rId1022" /><Relationship Type="http://schemas.openxmlformats.org/officeDocument/2006/relationships/hyperlink" Target="https://contrataciondelestado.es/wps/poc?uri=deeplink:detalle_licitacion&amp;idEvl=ouB54JpFDBJ70UvEyYJSGw%3D%3D" TargetMode="External" Id="rId102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1024" /><Relationship Type="http://schemas.openxmlformats.org/officeDocument/2006/relationships/hyperlink" Target="https://contrataciondelestado.es/wps/poc?uri=deeplink:detalle_licitacion&amp;idEvl=zEbPnh5PIFGLAncw3qdZkA%3D%3D" TargetMode="External" Id="rId1025"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1026" /><Relationship Type="http://schemas.openxmlformats.org/officeDocument/2006/relationships/hyperlink" Target="https://contrataciondelestado.es/wps/poc?uri=deeplink:detalle_licitacion&amp;idEvl=h5uXCG3eEc8%2B1TMyIiZmzw%3D%3D" TargetMode="External" Id="rId1027" /><Relationship Type="http://schemas.openxmlformats.org/officeDocument/2006/relationships/hyperlink" Target="https://contrataciondelestado.es/FileSystem/servlet/GetDocumentByIdServlet?cifrado=QUC1GjXXSiLkydRHJBmbpw%3D%3D&amp;DocumentIdParam=LavPlqM38u5zpdu3GWdIyn%2BsNyaVGvZdCsum4/MlL7flL1mMS5Ck3ane5Z60A81bPkJWbf7EOuKK4bXoUpI0W9hsRqYde1mahbA4k7VN%2BWFt/o8fNevwsujgRzaBbugn" TargetMode="External" Id="rId1028" /><Relationship Type="http://schemas.openxmlformats.org/officeDocument/2006/relationships/hyperlink" Target="https://contrataciondelestado.es/wps/poc?uri=deeplink:detalle_licitacion&amp;idEvl=CgfnxY%2FTsTI4NavIWzMcHA%3D%3D" TargetMode="External" Id="rId1029"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030" /><Relationship Type="http://schemas.openxmlformats.org/officeDocument/2006/relationships/hyperlink" Target="https://contrataciondelestado.es/wps/poc?uri=deeplink:detalle_licitacion&amp;idEvl=63ldDiROobF70UvEyYJSGw%3D%3D" TargetMode="External" Id="rId1031" /><Relationship Type="http://schemas.openxmlformats.org/officeDocument/2006/relationships/hyperlink" Target="https://contrataciondelestado.es/wps/poc?uri=deeplink:detalle_licitacion&amp;idEvl=sd0CnL1EpulrhBlEHQFSKA%3D%3D" TargetMode="External" Id="rId1032" /><Relationship Type="http://schemas.openxmlformats.org/officeDocument/2006/relationships/hyperlink" Target="https://contrataciondelestado.es/FileSystem/servlet/GetDocumentByIdServlet?cifrado=QUC1GjXXSiLkydRHJBmbpw%3D%3D&amp;DocumentIdParam=mMBcN6SxjIIvIf0x8kqUZoLOPG2SR9WYB5gSQ6Sk1hrSwXqb1stps3M7a0hlsw%2B3jr%2Bq0mg3f0I40Gstm4YDAHcJzoByTKoWHJO%2BJQJtd8N7QB3HKyQaFUExmUVQCerk" TargetMode="External" Id="rId1033" /><Relationship Type="http://schemas.openxmlformats.org/officeDocument/2006/relationships/hyperlink" Target="https://contrataciondelestado.es/wps/poc?uri=deeplink:detalle_licitacion&amp;idEvl=BlGmGMDrig4aF6cS8TCh%2FA%3D%3D" TargetMode="External" Id="rId1034" /><Relationship Type="http://schemas.openxmlformats.org/officeDocument/2006/relationships/hyperlink" Target="https://contrataciondelestado.es/FileSystem/servlet/GetDocumentByIdServlet?cifrado=QUC1GjXXSiLkydRHJBmbpw%3D%3D&amp;DocumentIdParam=9oRzIphzYTf6mVr0kamnZFLvwmf/vBDocGQRliHlGbB/Z1AjqFobiwfnNhVWKZVQW0r8Wy3RvCC20gRBmodplWbrLoEVTWjtXqptg0up59vfdyQgZAdTm3EfcUAC7CJ6" TargetMode="External" Id="rId1035" /><Relationship Type="http://schemas.openxmlformats.org/officeDocument/2006/relationships/hyperlink" Target="https://contrataciondelestado.es/wps/poc?uri=deeplink:detalle_licitacion&amp;idEvl=Mfnbwr2HvNweC9GJQOEBkQ%3D%3D" TargetMode="External" Id="rId1036" /><Relationship Type="http://schemas.openxmlformats.org/officeDocument/2006/relationships/hyperlink" Target="https://contrataciondelestado.es/wps/poc?uri=deeplink:detalle_licitacion&amp;idEvl=eQk2oQKtvIxrhBlEHQFSKA%3D%3D" TargetMode="External" Id="rId1037" /><Relationship Type="http://schemas.openxmlformats.org/officeDocument/2006/relationships/hyperlink" Target="https://contrataciondelestado.es/FileSystem/servlet/GetDocumentByIdServlet?cifrado=QUC1GjXXSiLkydRHJBmbpw%3D%3D&amp;DocumentIdParam=9raUWbJpE2CkzWM8NcrNZ1Il/8DSmj4LSVYZn2v2HCzS3byj3/aCDApy7QLvQiEfTuLoIV8pcR9HsmjTIghvYAXvE8fRU36Q2PIuJ3M152PDdQD9RyhUmzT4jZ2In4zL" TargetMode="External" Id="rId1038" /><Relationship Type="http://schemas.openxmlformats.org/officeDocument/2006/relationships/hyperlink" Target="https://contrataciondelestado.es/wps/poc?uri=deeplink:detalle_licitacion&amp;idEvl=hyOhdJXH0SB9Zh%2FyRJgM8w%3D%3D" TargetMode="External" Id="rId1039" /><Relationship Type="http://schemas.openxmlformats.org/officeDocument/2006/relationships/hyperlink" Target="https://contrataciondelestado.es/FileSystem/servlet/GetDocumentByIdServlet?cifrado=QUC1GjXXSiLkydRHJBmbpw%3D%3D&amp;DocumentIdParam=LkJ9iJrmaKUwnEjomr2REiWD2fMGVdQA4MgZKn7ADa1nZRoJru3ro5ETs2l1eRRPfVg5g2R5/O3oHCCmQGoGX0a1H6fZA6oXcn2oWAsC4Ox7QB3HKyQaFUExmUVQCerk" TargetMode="External" Id="rId1040" /><Relationship Type="http://schemas.openxmlformats.org/officeDocument/2006/relationships/hyperlink" Target="https://contrataciondelestado.es/wps/poc?uri=deeplink:detalle_licitacion&amp;idEvl=12YM4WyyagJrhBlEHQFSKA%3D%3D" TargetMode="External" Id="rId1041" /><Relationship Type="http://schemas.openxmlformats.org/officeDocument/2006/relationships/hyperlink" Target="https://contrataciondelestado.es/FileSystem/servlet/GetDocumentByIdServlet?cifrado=QUC1GjXXSiLkydRHJBmbpw%3D%3D&amp;DocumentIdParam=ejZBt6mmetV%2B8yPiJICF%2BG4ClY91QMEeStmSFJS1hl7wcLCpnBzm/GWWm0QEBngPg%2BW2hGzqLZMohTfJNmQNipt1BbeGAm85Dq5MT4ShVwZJOVDbGCDM%2BMigrvuVS7Rv" TargetMode="External" Id="rId1042" /><Relationship Type="http://schemas.openxmlformats.org/officeDocument/2006/relationships/hyperlink" Target="https://contrataciondelestado.es/wps/poc?uri=deeplink:detalle_licitacion&amp;idEvl=MMKqjb8SfPCdkQsA7ROvsg%3D%3D" TargetMode="External" Id="rId1043" /><Relationship Type="http://schemas.openxmlformats.org/officeDocument/2006/relationships/hyperlink" Target="https://contrataciondelestado.es/FileSystem/servlet/GetDocumentByIdServlet?cifrado=QUC1GjXXSiLkydRHJBmbpw%3D%3D&amp;DocumentIdParam=bz/2vT6Lcop8sf9ND8G6UPn8BlivuhPrFyTQSNaF5fhXvyOT8Tfn5cZJ55V6umY0NX51A41Gd1N5aGMd1u2WYvrLIvcKI/yhhwC8cdkw/2bVTD3T98KC0nSgQFM0q%2B5s" TargetMode="External" Id="rId1044" /><Relationship Type="http://schemas.openxmlformats.org/officeDocument/2006/relationships/hyperlink" Target="https://contrataciondelestado.es/wps/poc?uri=deeplink:detalle_licitacion&amp;idEvl=Wd2OYqTGr5Nt5r0ngvMetA%3D%3D" TargetMode="External" Id="rId1045"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1046" /><Relationship Type="http://schemas.openxmlformats.org/officeDocument/2006/relationships/hyperlink" Target="https://contrataciondelestado.es/wps/poc?uri=deeplink:detalle_licitacion&amp;idEvl=7IZZFQuozzIQyBAnWzHfCg%3D%3D" TargetMode="External" Id="rId1047"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1048" /><Relationship Type="http://schemas.openxmlformats.org/officeDocument/2006/relationships/hyperlink" Target="https://contrataciondelestado.es/wps/poc?uri=deeplink:detalle_licitacion&amp;idEvl=fDUya87P3%2BEXhk1FZxEyvw%3D%3D" TargetMode="External" Id="rId1049"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1050" /><Relationship Type="http://schemas.openxmlformats.org/officeDocument/2006/relationships/hyperlink" Target="https://contrataciondelestado.es/wps/poc?uri=deeplink:detalle_licitacion&amp;idEvl=fmefpzM4aWmP66GS%2BONYvQ%3D%3D" TargetMode="External" Id="rId1051" /><Relationship Type="http://schemas.openxmlformats.org/officeDocument/2006/relationships/hyperlink" Target="https://contrataciondelestado.es/FileSystem/servlet/GetDocumentByIdServlet?cifrado=QUC1GjXXSiLkydRHJBmbpw%3D%3D&amp;DocumentIdParam=if0lA/MWhKrhEJPC6rRHfAXK9haVSUuCOul77TKREqHn7KAx9XNLATrmIItoun/GeF2Gim4NoIUrkXX/YTGT1lbzviMzrDBfyU8aYihGUEe1aXEvq3KHa/AEHgtDrQw0" TargetMode="External" Id="rId1052" /><Relationship Type="http://schemas.openxmlformats.org/officeDocument/2006/relationships/hyperlink" Target="https://contrataciondelestado.es/wps/poc?uri=deeplink:detalle_licitacion&amp;idEvl=BKWXp%2BVyXAF%2BF6L2uCfUWg%3D%3D" TargetMode="External" Id="rId1053"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1054" /><Relationship Type="http://schemas.openxmlformats.org/officeDocument/2006/relationships/hyperlink" Target="https://contrataciondelestado.es/wps/poc?uri=deeplink:detalle_licitacion&amp;idEvl=5Quytfup4QmGCFcHcNGIlQ%3D%3D" TargetMode="External" Id="rId1055" /><Relationship Type="http://schemas.openxmlformats.org/officeDocument/2006/relationships/hyperlink" Target="https://contrataciondelestado.es/FileSystem/servlet/GetDocumentByIdServlet?cifrado=QUC1GjXXSiLkydRHJBmbpw%3D%3D&amp;DocumentIdParam=S8M92rZFwDzrcnI5Lth73zXlGNeD8IHOipJ2iZlwDsBeMaerPfadcCr/k7%2B2cDVST3DIlblRK%2BJDAW4KyrbnD0oktH7%2Bs/Iv0TT2B2aVDL57QB3HKyQaFUExmUVQCerk" TargetMode="External" Id="rId1056" /><Relationship Type="http://schemas.openxmlformats.org/officeDocument/2006/relationships/hyperlink" Target="https://contrataciondelestado.es/wps/poc?uri=deeplink:detalle_licitacion&amp;idEvl=ElQ2%2BJIFo4gkJPJS%2BPS9vg%3D%3D" TargetMode="External" Id="rId1057" /><Relationship Type="http://schemas.openxmlformats.org/officeDocument/2006/relationships/hyperlink" Target="https://contrataciondelestado.es/FileSystem/servlet/GetDocumentByIdServlet?cifrado=QUC1GjXXSiLkydRHJBmbpw%3D%3D&amp;DocumentIdParam=KAKnz38JPPMfXqAYlbFQJDgAXhwy2ILCRahUpmoRlpHhWmV2ByUrUcaHTRfz6RuGdy4%2BFZOp/YHWNFJWCr%2BGgEB4/BjWPEVTgHgZ5Woc5QL6CYyL7SIrUOBFfNf52ZqA" TargetMode="External" Id="rId1058" /><Relationship Type="http://schemas.openxmlformats.org/officeDocument/2006/relationships/hyperlink" Target="https://contrataciondelestado.es/wps/poc?uri=deeplink:detalle_licitacion&amp;idEvl=V9rzE3p089BVkTabT%2FRM8A%3D%3D" TargetMode="External" Id="rId1059" /><Relationship Type="http://schemas.openxmlformats.org/officeDocument/2006/relationships/hyperlink" Target="https://contrataciondelestado.es/FileSystem/servlet/GetDocumentByIdServlet?cifrado=QUC1GjXXSiLkydRHJBmbpw%3D%3D&amp;DocumentIdParam=Y%2BHSAaYSexO9pM4HsiZ/U5ybw8eWBxb19AlK1V6yXqtxaIdUJboDC6wFWebYeNeKWbgZ6AOaRsqOdtibeFzrGIW62ciL%2Be7oaqMZy69kn%2Bb6CYyL7SIrUOBFfNf52ZqA" TargetMode="External" Id="rId1060" /><Relationship Type="http://schemas.openxmlformats.org/officeDocument/2006/relationships/hyperlink" Target="https://contrataciondelestado.es/wps/poc?uri=deeplink:detalle_licitacion&amp;idEvl=tRG3VKEthTkzjChw4z%2FXvw%3D%3D" TargetMode="External" Id="rId1061" /><Relationship Type="http://schemas.openxmlformats.org/officeDocument/2006/relationships/hyperlink" Target="https://contrataciondelestado.es/FileSystem/servlet/GetDocumentByIdServlet?cifrado=QUC1GjXXSiLkydRHJBmbpw%3D%3D&amp;DocumentIdParam=6nzaIAmu1NS8fV26d6XnFWzjDgzxZk%2Bzl2WiNfGy4EVRqyDLdLQIYTR3DwBpZw/s91mQsl31xGNCSsIkClXoieXFV3dwVKKA7rHza5SGhtuHAj0WEJrB5sP7amrh2jBD" TargetMode="External" Id="rId1062" /><Relationship Type="http://schemas.openxmlformats.org/officeDocument/2006/relationships/hyperlink" Target="https://contrataciondelestado.es/wps/poc?uri=deeplink:detalle_licitacion&amp;idEvl=%2F2g5qhAjk0ReKgd8LfVV9g%3D%3D" TargetMode="External" Id="rId1063"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1064" /><Relationship Type="http://schemas.openxmlformats.org/officeDocument/2006/relationships/hyperlink" Target="https://contrataciondelestado.es/wps/poc?uri=deeplink:detalle_licitacion&amp;idEvl=XWQSZIaG9%2B4eC9GJQOEBkQ%3D%3D" TargetMode="External" Id="rId1065"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1066" /><Relationship Type="http://schemas.openxmlformats.org/officeDocument/2006/relationships/hyperlink" Target="https://contrataciondelestado.es/wps/poc?uri=deeplink:detalle_licitacion&amp;idEvl=%2F%2BuOmFsRWctQFSeKCRun4Q%3D%3D" TargetMode="External" Id="rId1067" /><Relationship Type="http://schemas.openxmlformats.org/officeDocument/2006/relationships/hyperlink" Target="https://contrataciondelestado.es/FileSystem/servlet/GetDocumentByIdServlet?cifrado=QUC1GjXXSiLkydRHJBmbpw%3D%3D&amp;DocumentIdParam=TEcuYdvmxxRggYwRJFp0CbtfZcUZvMtZvM0/GYFDS/VG3hDnnXQ57WvwblxW0JaMUcPIOvy%2BxGuGlsGbc5Mbqg3dbb5Smw9pmSQ2D4yRIFi1aXEvq3KHa/AEHgtDrQw0" TargetMode="External" Id="rId1068" /><Relationship Type="http://schemas.openxmlformats.org/officeDocument/2006/relationships/hyperlink" Target="https://contrataciondelestado.es/wps/poc?uri=deeplink:detalle_licitacion&amp;idEvl=M%2FCIPj1vl9fkY6rls5tG9A%3D%3D" TargetMode="External" Id="rId1069"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1070" /><Relationship Type="http://schemas.openxmlformats.org/officeDocument/2006/relationships/hyperlink" Target="https://contrataciondelestado.es/wps/poc?uri=deeplink:detalle_licitacion&amp;idEvl=TxexcZQ5Iry2gkLQ8TeYKA%3D%3D" TargetMode="External" Id="rId1071"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1072" /><Relationship Type="http://schemas.openxmlformats.org/officeDocument/2006/relationships/hyperlink" Target="https://contrataciondelestado.es/wps/poc?uri=deeplink:detalle_licitacion&amp;idEvl=VilAL39ltx7LIx6q1oPaMg%3D%3D" TargetMode="External" Id="rId1073" /><Relationship Type="http://schemas.openxmlformats.org/officeDocument/2006/relationships/hyperlink" Target="https://contrataciondelestado.es/FileSystem/servlet/GetDocumentByIdServlet?cifrado=QUC1GjXXSiLkydRHJBmbpw%3D%3D&amp;DocumentIdParam=xwa58zc0rLD7vaMtr9OO6I4RlnhlvJ0GkU00c74HkO/zkNMsDEi7gmrlPD2JjdH/QOmIhUYorK88g9oeo3WWAOtgj6TROF3fSxdCWZhCsO3fdyQgZAdTm3EfcUAC7CJ6" TargetMode="External" Id="rId1074" /><Relationship Type="http://schemas.openxmlformats.org/officeDocument/2006/relationships/hyperlink" Target="https://contrataciondelestado.es/wps/poc?uri=deeplink:detalle_licitacion&amp;idEvl=oYEW4SHo%2FO07%2B9FIQYNjeQ%3D%3D" TargetMode="External" Id="rId1075" /><Relationship Type="http://schemas.openxmlformats.org/officeDocument/2006/relationships/hyperlink" Target="https://contrataciondelestado.es/FileSystem/servlet/GetDocumentByIdServlet?cifrado=QUC1GjXXSiLkydRHJBmbpw%3D%3D&amp;DocumentIdParam=3RNkPENTQmkZQLQ8AkGStyIqJDJIFLV5gV8laPVaqCvEQ7uACY0XxsJb/ev1QMTvHV3FoaQSKJgpN7rxZxdR6nI2j5esJw3Qb9wUgoZIzXrVTD3T98KC0nSgQFM0q%2B5s" TargetMode="External" Id="rId1076" /><Relationship Type="http://schemas.openxmlformats.org/officeDocument/2006/relationships/hyperlink" Target="https://contrataciondelestado.es/wps/poc?uri=deeplink:detalle_licitacion&amp;idEvl=piH1aslIFtnL1rX3q%2FMAPA%3D%3D" TargetMode="External" Id="rId1077"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1078" /><Relationship Type="http://schemas.openxmlformats.org/officeDocument/2006/relationships/hyperlink" Target="https://contrataciondelestado.es/wps/poc?uri=deeplink:detalle_licitacion&amp;idEvl=GvzEy5nneD82wEhQbcAqug%3D%3D" TargetMode="External" Id="rId1079"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080" /><Relationship Type="http://schemas.openxmlformats.org/officeDocument/2006/relationships/hyperlink" Target="https://contrataciondelestado.es/wps/poc?uri=deeplink:detalle_licitacion&amp;idEvl=nCX9CwizfND5Rey58Yagpg%3D%3D" TargetMode="External" Id="rId1081" /><Relationship Type="http://schemas.openxmlformats.org/officeDocument/2006/relationships/hyperlink" Target="https://contrataciondelestado.es/FileSystem/servlet/GetDocumentByIdServlet?cifrado=QUC1GjXXSiLkydRHJBmbpw%3D%3D&amp;DocumentIdParam=Y/et3YlJj%2B0zYrYXfG2Wmi6NtDgpdwsiv0vhjfk2UWX6oeOgv1vzw1TFsHbHhkT7QMT%2BljteiLLy9CrAssEig5lzo2ai%2B8LyaFQKh4u2lrPVTD3T98KC0nSgQFM0q%2B5s" TargetMode="External" Id="rId1082" /><Relationship Type="http://schemas.openxmlformats.org/officeDocument/2006/relationships/hyperlink" Target="https://contrataciondelestado.es/wps/poc?uri=deeplink:detalle_licitacion&amp;idEvl=%2BWk1RMr2ivaiEJrVRqloyA%3D%3D" TargetMode="External" Id="rId1083" /><Relationship Type="http://schemas.openxmlformats.org/officeDocument/2006/relationships/hyperlink" Target="https://contrataciondelestado.es/wps/wcm/connect/PLACE_es/Site/area/docAccCmpnt?srv=cmpnt&amp;cmpntname=GetDocumentsById&amp;source=library&amp;DocumentIdParam=81b9852d-6c9b-4e98-86e2-50b696d65a7f" TargetMode="External" Id="rId1084" /><Relationship Type="http://schemas.openxmlformats.org/officeDocument/2006/relationships/hyperlink" Target="https://contrataciondelestado.es/wps/poc?uri=deeplink:detalle_licitacion&amp;idEvl=fYhoyc7VlGA7u6%2B%2FR7DUoA%3D%3D" TargetMode="External" Id="rId1085" /><Relationship Type="http://schemas.openxmlformats.org/officeDocument/2006/relationships/hyperlink" Target="https://contrataciondelestado.es/FileSystem/servlet/GetDocumentByIdServlet?cifrado=QUC1GjXXSiLkydRHJBmbpw%3D%3D&amp;DocumentIdParam=9rFQcKbhJSsYzPUb7xOWPun7JfEu77RX0pqyekD2adD%2BUYhTJc6ylpf5GiCM4pJfKSAlpfnUtT/9pg3vZPKTiEaUe8wKVaMC/M%2BLzT1YMqOB0nvVKRzfe4rpHcnlPhSZ" TargetMode="External" Id="rId1086" /><Relationship Type="http://schemas.openxmlformats.org/officeDocument/2006/relationships/hyperlink" Target="https://contrataciondelestado.es/wps/poc?uri=deeplink:detalle_licitacion&amp;idEvl=sKArSUUmY%2Bc%2B1TMyIiZmzw%3D%3D" TargetMode="External" Id="rId1087"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1088" /><Relationship Type="http://schemas.openxmlformats.org/officeDocument/2006/relationships/hyperlink" Target="https://contrataciondelestado.es/wps/poc?uri=deeplink:detalle_licitacion&amp;idEvl=iT7J%2FbvgaxekU02jNGj1Fw%3D%3D" TargetMode="External" Id="rId1089" /><Relationship Type="http://schemas.openxmlformats.org/officeDocument/2006/relationships/hyperlink" Target="https://contrataciondelestado.es/FileSystem/servlet/GetDocumentByIdServlet?cifrado=QUC1GjXXSiLkydRHJBmbpw%3D%3D&amp;DocumentIdParam=KyaWfF6%2BQBOyyBa9ZVeQ0Pj8s14CKmpT8ykOenoewlYedspNm4%2BN67SbhLx2%2Br0ecevNrueUwoIbMa%2BK9XJ/oCdJQZbf3oNiAxuPjEKvZnE//q7NB2iMZvNyf0xrJmjt" TargetMode="External" Id="rId1090" /><Relationship Type="http://schemas.openxmlformats.org/officeDocument/2006/relationships/hyperlink" Target="https://contrataciondelestado.es/wps/poc?uri=deeplink:detalle_licitacion&amp;idEvl=XR1eHO5O51JJ8Trn0ZPzLw%3D%3D" TargetMode="External" Id="rId1091" /><Relationship Type="http://schemas.openxmlformats.org/officeDocument/2006/relationships/hyperlink" Target="https://contrataciondelestado.es/FileSystem/servlet/GetDocumentByIdServlet?cifrado=QUC1GjXXSiLkydRHJBmbpw%3D%3D&amp;DocumentIdParam=UXG2L/597Fg8OlmAoKefQqJ0GLg%2Bz42wzMSqAdS6E9uApiP3on3FSFXhRdrmyS9JhEXZ5DiNxJh1vKjrwlDm/Tcp1myiq196MKjWehUD8TaHAj0WEJrB5sP7amrh2jBD" TargetMode="External" Id="rId1092" /><Relationship Type="http://schemas.openxmlformats.org/officeDocument/2006/relationships/hyperlink" Target="https://contrataciondelestado.es/wps/poc?uri=deeplink:detalle_licitacion&amp;idEvl=BbaUi1kE7Yc7u6%2B%2FR7DUoA%3D%3D" TargetMode="External" Id="rId1093" /><Relationship Type="http://schemas.openxmlformats.org/officeDocument/2006/relationships/hyperlink" Target="https://contrataciondelestado.es/FileSystem/servlet/GetDocumentByIdServlet?cifrado=QUC1GjXXSiLkydRHJBmbpw%3D%3D&amp;DocumentIdParam=SgOqk45u3X7gbC/3bA9JyLXVqhOIY/YZUwPKSmw/bHtMfrNZrtg6nJvSurpGee55w52XMVK8l4KvAIuvgNJWpGBXU0ae4ee2ZEoaCCqZmRdJOVDbGCDM%2BMigrvuVS7Rv" TargetMode="External" Id="rId1094" /><Relationship Type="http://schemas.openxmlformats.org/officeDocument/2006/relationships/hyperlink" Target="https://contrataciondelestado.es/wps/poc?uri=deeplink:detalle_licitacion&amp;idEvl=FTm6mBksHvfpxJFXpLZ%2B2A%3D%3D" TargetMode="External" Id="rId1095" /><Relationship Type="http://schemas.openxmlformats.org/officeDocument/2006/relationships/hyperlink" Target="https://contrataciondelestado.es/FileSystem/servlet/GetDocumentByIdServlet?cifrado=QUC1GjXXSiLkydRHJBmbpw%3D%3D&amp;DocumentIdParam=aTy/Zex6HKDtvsoyV%2BPCKn038%2BKzAuft0RB6AN8Eawm5ZYySKYC60LFxwf5Tx0l6FRQEqy9JUWq4lRwhkcF3TnOxae9F1UYrW6xqjC1F%2BtZJOVDbGCDM%2BMigrvuVS7Rv" TargetMode="External" Id="rId1096" /><Relationship Type="http://schemas.openxmlformats.org/officeDocument/2006/relationships/hyperlink" Target="https://contrataciondelestado.es/wps/poc?uri=deeplink:detalle_licitacion&amp;idEvl=wcOqz%2BKmKzsZDGvgaZEVxQ%3D%3D" TargetMode="External" Id="rId1097" /><Relationship Type="http://schemas.openxmlformats.org/officeDocument/2006/relationships/hyperlink" Target="https://contrataciondelestado.es/FileSystem/servlet/GetDocumentByIdServlet?cifrado=QUC1GjXXSiLkydRHJBmbpw%3D%3D&amp;DocumentIdParam=h4V4ii1plQVn7mFMnZMuLhrv/sIZ%2Bn/Gu/Z3y84hLleQ9T5Y8hmog31QXa/TfUjLbtX4z6VGD79o1EidsVdLBVfeL1yUuBhHpM4TREI/2yIZyAJWGsSt0OzTSTyw9JAs" TargetMode="External" Id="rId1098" /><Relationship Type="http://schemas.openxmlformats.org/officeDocument/2006/relationships/hyperlink" Target="https://contrataciondelestado.es/wps/poc?uri=deeplink:detalle_licitacion&amp;idEvl=QMOesHGaBlDpxJFXpLZ%2B2A%3D%3D" TargetMode="External" Id="rId1099" /><Relationship Type="http://schemas.openxmlformats.org/officeDocument/2006/relationships/hyperlink" Target="https://contrataciondelestado.es/wps/poc?uri=deeplink:detalle_licitacion&amp;idEvl=e6ZsAVEiXwD5Rey58Yagpg%3D%3D" TargetMode="External" Id="rId1100" /><Relationship Type="http://schemas.openxmlformats.org/officeDocument/2006/relationships/hyperlink" Target="https://contrataciondelestado.es/FileSystem/servlet/GetDocumentByIdServlet?cifrado=QUC1GjXXSiLkydRHJBmbpw%3D%3D&amp;DocumentIdParam=oqp5pbPtTFp8OcIp5v/PJASSWWXjAZ7hyT2n4m9Tf9/SDn8u0iq/3xDvYpTQ7zwEi%2BwIRcA0DlW2pStKa9dvViJOHXlcwPYA9VYg41%2BUdoDDdQD9RyhUmzT4jZ2In4zL" TargetMode="External" Id="rId1101" /><Relationship Type="http://schemas.openxmlformats.org/officeDocument/2006/relationships/hyperlink" Target="https://contrataciondelestado.es/wps/poc?uri=deeplink:detalle_licitacion&amp;idEvl=YWfr%2BP6HsYlrSd8H4b2soA%3D%3D" TargetMode="External" Id="rId1102" /><Relationship Type="http://schemas.openxmlformats.org/officeDocument/2006/relationships/hyperlink" Target="https://contrataciondelestado.es/FileSystem/servlet/GetDocumentByIdServlet?cifrado=QUC1GjXXSiLkydRHJBmbpw%3D%3D&amp;DocumentIdParam=E7umBj3OtZwo/Tjc1gz5P5U4OGn3LsO9%2BOidO3pTM7JzNWNNpAV7VtGC7hWjaEUFcDrouB%2B2s7Jxoyi5OxDz7eJGnh6KnvC3ehtiWIZITHfDdQD9RyhUmzT4jZ2In4zL" TargetMode="External" Id="rId1103" /><Relationship Type="http://schemas.openxmlformats.org/officeDocument/2006/relationships/hyperlink" Target="https://contrataciondelestado.es/wps/poc?uri=deeplink:detalle_licitacion&amp;idEvl=R1ax1zfM%2B6p9PLkba5eRog%3D%3D" TargetMode="External" Id="rId1104" /><Relationship Type="http://schemas.openxmlformats.org/officeDocument/2006/relationships/hyperlink" Target="https://contrataciondelestado.es/FileSystem/servlet/GetDocumentByIdServlet?cifrado=QUC1GjXXSiLkydRHJBmbpw%3D%3D&amp;DocumentIdParam=hoo/dCASG2srYlLKmUZT9ugYdxseRwqzOpzOad4LUu8XFtvzbYZR8DIOuGk4i2n/Dqt7jtsc/1XJV0iSUjspY7%2B%2B3ybOUaekiB9OuMIkPyU//q7NB2iMZvNyf0xrJmjt" TargetMode="External" Id="rId1105" /><Relationship Type="http://schemas.openxmlformats.org/officeDocument/2006/relationships/hyperlink" Target="https://contrataciondelestado.es/wps/poc?uri=deeplink:detalle_licitacion&amp;idEvl=BiRxmiw966g2wEhQbcAqug%3D%3D" TargetMode="External" Id="rId1106"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1107" /><Relationship Type="http://schemas.openxmlformats.org/officeDocument/2006/relationships/hyperlink" Target="https://contrataciondelestado.es/wps/poc?uri=deeplink:detalle_licitacion&amp;idEvl=qbUmbSnuxEKFlFRHfEzEaw%3D%3D" TargetMode="External" Id="rId1108" /><Relationship Type="http://schemas.openxmlformats.org/officeDocument/2006/relationships/hyperlink" Target="https://contrataciondelestado.es/FileSystem/servlet/GetDocumentByIdServlet?cifrado=QUC1GjXXSiLkydRHJBmbpw%3D%3D&amp;DocumentIdParam=AFodAmJCYBd1h6rE9Sh2FYri7UhNO9f88ml20D31D1s7zbvwEyhgKYVX5qoNxkIadNaeytWWvGoD5z5RSCoUBiHtZX6TbcvXC7GaIaVRTJOCx2e6p7hqtlp2aFupgHMr" TargetMode="External" Id="rId1109" /><Relationship Type="http://schemas.openxmlformats.org/officeDocument/2006/relationships/hyperlink" Target="https://contrataciondelestado.es/wps/poc?uri=deeplink:detalle_licitacion&amp;idEvl=OeoP0%2Fp2UvwmMOlAXxDEjw%3D%3D" TargetMode="External" Id="rId1110" /><Relationship Type="http://schemas.openxmlformats.org/officeDocument/2006/relationships/hyperlink" Target="https://contrataciondelestado.es/wps/poc?uri=deeplink:detalle_licitacion&amp;idEvl=VkeovDR6xAOLAncw3qdZkA%3D%3D" TargetMode="External" Id="rId1111" /><Relationship Type="http://schemas.openxmlformats.org/officeDocument/2006/relationships/hyperlink" Target="https://contrataciondelestado.es/FileSystem/servlet/GetDocumentByIdServlet?cifrado=QUC1GjXXSiLkydRHJBmbpw%3D%3D&amp;DocumentIdParam=%2BMV1uZeQtUFIbySWr6eEiZWQQwr6ulYTz1Ly%2BwOvhkamSGenaWrAuk5wx/CYpYKUvvuQQbsUgqFnkxZerm9PtCf16fruj7uynhkczo9Q2y6Cx2e6p7hqtlp2aFupgHMr" TargetMode="External" Id="rId1112" /><Relationship Type="http://schemas.openxmlformats.org/officeDocument/2006/relationships/hyperlink" Target="https://contrataciondelestado.es/wps/poc?uri=deeplink:detalle_licitacion&amp;idEvl=gH%2BlPGWd82TLIx6q1oPaMg%3D%3D" TargetMode="External" Id="rId1113" /><Relationship Type="http://schemas.openxmlformats.org/officeDocument/2006/relationships/hyperlink" Target="https://contrataciondelestado.es/wps/poc?uri=deeplink:detalle_licitacion&amp;idEvl=0YAXe%2B1gU5acCF8sV%2BqtYA%3D%3D" TargetMode="External" Id="rId1114"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1115" /><Relationship Type="http://schemas.openxmlformats.org/officeDocument/2006/relationships/hyperlink" Target="https://contrataciondelestado.es/wps/poc?uri=deeplink:detalle_licitacion&amp;idEvl=AYiXWG%2B4KzCzz8fXU2i3eQ%3D%3D" TargetMode="External" Id="rId1116" /><Relationship Type="http://schemas.openxmlformats.org/officeDocument/2006/relationships/hyperlink" Target="https://contrataciondelestado.es/FileSystem/servlet/GetDocumentByIdServlet?cifrado=QUC1GjXXSiLkydRHJBmbpw%3D%3D&amp;DocumentIdParam=LiB6Ni/EcrH8o8NyIzdnQktjgfXEkWEAYEDIb22JBZEabNLzujkdXzsuO/skwDxOBHleA4YkXPeFgpiGMiLMit/YYbceCiBB%2ByTtixILr1y1aXEvq3KHa/AEHgtDrQw0" TargetMode="External" Id="rId1117" /><Relationship Type="http://schemas.openxmlformats.org/officeDocument/2006/relationships/hyperlink" Target="https://contrataciondelestado.es/wps/poc?uri=deeplink:detalle_licitacion&amp;idEvl=S3Blmbr2MSRrSd8H4b2soA%3D%3D" TargetMode="External" Id="rId1118" /><Relationship Type="http://schemas.openxmlformats.org/officeDocument/2006/relationships/hyperlink" Target="https://contrataciondelestado.es/FileSystem/servlet/GetDocumentByIdServlet?cifrado=QUC1GjXXSiLkydRHJBmbpw%3D%3D&amp;DocumentIdParam=4uA%2BTi5tgElNZE1Us2mjFXiBSU1VFP15fEWtqSp%2B6WtfrB1mBNy6fRa1FwlnTDufvXMGhmqMds1O5IAN6vfeogWpjIHAIqqKXICKZrgkNltJOVDbGCDM%2BMigrvuVS7Rv" TargetMode="External" Id="rId1119" /><Relationship Type="http://schemas.openxmlformats.org/officeDocument/2006/relationships/hyperlink" Target="https://contrataciondelestado.es/wps/poc?uri=deeplink:detalle_licitacion&amp;idEvl=xnzgPzRJmvC7JOCXkOhcDg%3D%3D" TargetMode="External" Id="rId1120" /><Relationship Type="http://schemas.openxmlformats.org/officeDocument/2006/relationships/hyperlink" Target="https://contrataciondelestado.es/FileSystem/servlet/GetDocumentByIdServlet?cifrado=QUC1GjXXSiLkydRHJBmbpw%3D%3D&amp;DocumentIdParam=KVJrbK/kWcXilh88xkjyEZN5Te/0HdF6bm0UiQMgqY9CWYpVRw0p/lcT/mUzOT8BtHrE28IGbP4BnGP7UZYu5WFO9SLhId7/1u2Cty9Z%2B6Vt/o8fNevwsujgRzaBbugn" TargetMode="External" Id="rId1121" /><Relationship Type="http://schemas.openxmlformats.org/officeDocument/2006/relationships/hyperlink" Target="https://contrataciondelestado.es/wps/poc?uri=deeplink:detalle_licitacion&amp;idEvl=SMEOXLYMzSaIzo3LHNPGcQ%3D%3D" TargetMode="External" Id="rId1122" /><Relationship Type="http://schemas.openxmlformats.org/officeDocument/2006/relationships/hyperlink" Target="https://contrataciondelestado.es/FileSystem/servlet/GetDocumentByIdServlet?cifrado=QUC1GjXXSiLkydRHJBmbpw%3D%3D&amp;DocumentIdParam=LcqjUzY3ofka958CGQIz6XBb/TfUTwfTJ0PF26WJPzBSTmuRzfzgl0bxLxlSpY%2BCx%2B/IQ4waQ27oSXQPjAVikAvjAvfc3fvrRuMbVSIyMuK1aXEvq3KHa/AEHgtDrQw0" TargetMode="External" Id="rId1123" /><Relationship Type="http://schemas.openxmlformats.org/officeDocument/2006/relationships/hyperlink" Target="https://contrataciondelestado.es/wps/poc?uri=deeplink:detalle_licitacion&amp;idEvl=XrqMbC0JxVO2gkLQ8TeYKA%3D%3D" TargetMode="External" Id="rId1124" /><Relationship Type="http://schemas.openxmlformats.org/officeDocument/2006/relationships/hyperlink" Target="https://contrataciondelestado.es/FileSystem/servlet/GetDocumentByIdServlet?cifrado=QUC1GjXXSiLkydRHJBmbpw%3D%3D&amp;DocumentIdParam=2syhqp2JMIRMflW4qc62CMTK5ZoB9uPRHB2XkDuPlEvMd%2Bd84fsfWg71cX7iki8BKRYSU/gz2ozzo5YgIxM7mDUmRyrAIAgEoi2e02TIh9rDdQD9RyhUmzT4jZ2In4zL" TargetMode="External" Id="rId1125" /><Relationship Type="http://schemas.openxmlformats.org/officeDocument/2006/relationships/hyperlink" Target="https://contrataciondelestado.es/wps/poc?uri=deeplink:detalle_licitacion&amp;idEvl=Z2TGsAO4%2BrCS81gZFETWmA%3D%3D" TargetMode="External" Id="rId1126" /><Relationship Type="http://schemas.openxmlformats.org/officeDocument/2006/relationships/hyperlink" Target="https://contrataciondelestado.es/FileSystem/servlet/GetDocumentByIdServlet?cifrado=QUC1GjXXSiLkydRHJBmbpw%3D%3D&amp;DocumentIdParam=SFhKfZGueWjOMW3aOc2VJAO4CrH5yjysrSBbsehQkyvsDvngmbmC2xu/iCw56yMtqXMv5zsz/m/OYXjMAZX7mrg0wEI50nnUK2s/HsL6ZGs//q7NB2iMZvNyf0xrJmjt" TargetMode="External" Id="rId1127" /><Relationship Type="http://schemas.openxmlformats.org/officeDocument/2006/relationships/hyperlink" Target="https://contrataciondelestado.es/wps/poc?uri=deeplink:detalle_licitacion&amp;idEvl=F%2F0ZnwEm8E6FlFRHfEzEaw%3D%3D" TargetMode="External" Id="rId1128"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1129" /><Relationship Type="http://schemas.openxmlformats.org/officeDocument/2006/relationships/hyperlink" Target="https://contrataciondelestado.es/wps/poc?uri=deeplink:detalle_licitacion&amp;idEvl=aD4%2BLXuhiCiFlFRHfEzEaw%3D%3D" TargetMode="External" Id="rId1130" /><Relationship Type="http://schemas.openxmlformats.org/officeDocument/2006/relationships/hyperlink" Target="https://contrataciondelestado.es/FileSystem/servlet/GetDocumentByIdServlet?cifrado=QUC1GjXXSiLkydRHJBmbpw%3D%3D&amp;DocumentIdParam=EMWTGotLWzOVrn/ySlVcm5uoi0%2Bpi9nBufge6nCleyfaeZWOpAk13OyIDR8Nc5fLnak8EfXxNTeYGgNa%2BToeq%2BydrS1BJHV3RWTcgO8Vy3Ft/o8fNevwsujgRzaBbugn" TargetMode="External" Id="rId1131" /><Relationship Type="http://schemas.openxmlformats.org/officeDocument/2006/relationships/hyperlink" Target="https://contrataciondelestado.es/wps/poc?uri=deeplink:detalle_licitacion&amp;idEvl=M70yzfqdTmiP66GS%2BONYvQ%3D%3D" TargetMode="External" Id="rId1132" /><Relationship Type="http://schemas.openxmlformats.org/officeDocument/2006/relationships/hyperlink" Target="https://contrataciondelestado.es/FileSystem/servlet/GetDocumentByIdServlet?cifrado=QUC1GjXXSiLkydRHJBmbpw%3D%3D&amp;DocumentIdParam=fUlHJXolTeReXFQpwLWH7%2BlL7EA4sOckz1LwBiTbzp8UPu0x0lom1Ret1w/bvMB/%2BQKWMCtyPLKpsrvGDQ9jNgrXnIZ6YM0cXtA3UwJA9Fl7QB3HKyQaFUExmUVQCerk" TargetMode="External" Id="rId1133" /><Relationship Type="http://schemas.openxmlformats.org/officeDocument/2006/relationships/hyperlink" Target="https://contrataciondelestado.es/wps/poc?uri=deeplink:detalle_licitacion&amp;idEvl=6j50zibdQzt%2BF6L2uCfUWg%3D%3D" TargetMode="External" Id="rId1134" /><Relationship Type="http://schemas.openxmlformats.org/officeDocument/2006/relationships/hyperlink" Target="https://contrataciondelestado.es/FileSystem/servlet/GetDocumentByIdServlet?cifrado=QUC1GjXXSiLkydRHJBmbpw%3D%3D&amp;DocumentIdParam=A8R1Un2bE8%2BtIBP9DEd9Z/E3ktrL4PQcAqR2PdL4jjKUrjIRXMmNpbNYHUctfHjtagzrFiZtpTqBRA6WHZfVI1ksAX4Bj3h%2BzjEMF9Sx5qqHAj0WEJrB5sP7amrh2jBD" TargetMode="External" Id="rId1135" /><Relationship Type="http://schemas.openxmlformats.org/officeDocument/2006/relationships/hyperlink" Target="https://contrataciondelestado.es/wps/poc?uri=deeplink:detalle_licitacion&amp;idEvl=%2BJr54v3oPwCFQ%2FlhRK79lA%3D%3D" TargetMode="External" Id="rId1136" /><Relationship Type="http://schemas.openxmlformats.org/officeDocument/2006/relationships/hyperlink" Target="https://contrataciondelestado.es/FileSystem/servlet/GetDocumentByIdServlet?cifrado=QUC1GjXXSiLkydRHJBmbpw%3D%3D&amp;DocumentIdParam=UrbM4AEFOeSNS1uEy8OsYnp65GWQk4fiaFkdJt3flw5kj6%2B2WDo8hJL9Ma0340Eod41jNf/u1sbxQpAn2Swy6a/ixmjWkkrJtGnkDUoDVHP3GVhXrFFqN7yFncy7YfRK" TargetMode="External" Id="rId1137" /><Relationship Type="http://schemas.openxmlformats.org/officeDocument/2006/relationships/hyperlink" Target="https://contrataciondelestado.es/wps/poc?uri=deeplink:detalle_licitacion&amp;idEvl=xuMyRAI78uUmMOlAXxDEjw%3D%3D" TargetMode="External" Id="rId1138" /><Relationship Type="http://schemas.openxmlformats.org/officeDocument/2006/relationships/hyperlink" Target="https://contrataciondelestado.es/FileSystem/servlet/GetDocumentByIdServlet?cifrado=QUC1GjXXSiLkydRHJBmbpw%3D%3D&amp;DocumentIdParam=ShTHsllbsRT8JWlMc9zCJykH1iJK1LSrpw1d1qoO5bzh2UFyH0XwAnyZh05wyp/UreIzEEJ1ZQMVYE5xcGqC9mpGh5zxLKRjpKHi%2B8vsXh3fdyQgZAdTm3EfcUAC7CJ6" TargetMode="External" Id="rId1139" /><Relationship Type="http://schemas.openxmlformats.org/officeDocument/2006/relationships/hyperlink" Target="https://contrataciondelestado.es/wps/poc?uri=deeplink:detalle_licitacion&amp;idEvl=krSaKyMorRKOUi78BmzhOQ%3D%3D" TargetMode="External" Id="rId1140" /><Relationship Type="http://schemas.openxmlformats.org/officeDocument/2006/relationships/hyperlink" Target="https://contrataciondelestado.es/FileSystem/servlet/GetDocumentByIdServlet?cifrado=QUC1GjXXSiLkydRHJBmbpw%3D%3D&amp;DocumentIdParam=3NAdFgXpGJrc1Vrp7FeCcVgIAzPiix0UKuDkHrggTPOFXnWTsNkendSCvIV95EG4MJ4dh6000d5dlzbwlX32oFhwX67kmm5/2K6GYHJ3LBp7QB3HKyQaFUExmUVQCerk" TargetMode="External" Id="rId1141" /><Relationship Type="http://schemas.openxmlformats.org/officeDocument/2006/relationships/hyperlink" Target="https://contrataciondelestado.es/wps/poc?uri=deeplink:detalle_licitacion&amp;idEvl=3QZQOZV%2FHj6dkQsA7ROvsg%3D%3D" TargetMode="External" Id="rId1142" /><Relationship Type="http://schemas.openxmlformats.org/officeDocument/2006/relationships/hyperlink" Target="https://contrataciondelestado.es/FileSystem/servlet/GetDocumentByIdServlet?cifrado=QUC1GjXXSiLkydRHJBmbpw%3D%3D&amp;DocumentIdParam=cLUvA7JZDzryhAjWxRfB4wMpREIq%2BJps/cQqs7Tv5IJF3DWGyYQq6ayUcm5/BHCxUQVhBh9aZF9hrgVkbn55ZLIFanfLPq0zi%2BC2n%2BzAWGSB0nvVKRzfe4rpHcnlPhSZ" TargetMode="External" Id="rId1143" /><Relationship Type="http://schemas.openxmlformats.org/officeDocument/2006/relationships/hyperlink" Target="https://contrataciondelestado.es/wps/poc?uri=deeplink:detalle_licitacion&amp;idEvl=8E8381QsdKM%2Bk2oCbDosIw%3D%3D" TargetMode="External" Id="rId1144" /><Relationship Type="http://schemas.openxmlformats.org/officeDocument/2006/relationships/hyperlink" Target="https://contrataciondelestado.es/FileSystem/servlet/GetDocumentByIdServlet?cifrado=QUC1GjXXSiLkydRHJBmbpw%3D%3D&amp;DocumentIdParam=2XQ9MjSpjY%2ByYs/qku4gwO12TVp3GMF1S67W1%2BBnh5Ypwj%2BxX4mxn%2BMHZGnT2V9t%2BWW7w%2BWGOSd0i%2BtGbZPLv1JXuTIKB0OyVmr8X07gK5iB0nvVKRzfe4rpHcnlPhSZ" TargetMode="External" Id="rId1145" /><Relationship Type="http://schemas.openxmlformats.org/officeDocument/2006/relationships/hyperlink" Target="https://contrataciondelestado.es/wps/poc?uri=deeplink:detalle_licitacion&amp;idEvl=XNUbzL3RjHAQyBAnWzHfCg%3D%3D" TargetMode="External" Id="rId1146" /><Relationship Type="http://schemas.openxmlformats.org/officeDocument/2006/relationships/hyperlink" Target="https://contrataciondelestado.es/FileSystem/servlet/GetDocumentByIdServlet?cifrado=QUC1GjXXSiLkydRHJBmbpw%3D%3D&amp;DocumentIdParam=DFCYUgBjCWKG/EBkv65eMu%2BBcc%2BYI8TYzJOjn%2Bq8EG4L3GK/vPu/iH6YxFoht1ug9XWNbV3QNKSGnDZIgE8JMROT8fLGNOLYZdg1BuEWLiWB0nvVKRzfe4rpHcnlPhSZ" TargetMode="External" Id="rId1147" /><Relationship Type="http://schemas.openxmlformats.org/officeDocument/2006/relationships/hyperlink" Target="https://contrataciondelestado.es/wps/poc?uri=deeplink:detalle_licitacion&amp;idEvl=ZaLs5NBm7z%2FN3k3tjedSGw%3D%3D" TargetMode="External" Id="rId1148"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1149" /><Relationship Type="http://schemas.openxmlformats.org/officeDocument/2006/relationships/hyperlink" Target="https://contrataciondelestado.es/wps/poc?uri=deeplink:detalle_licitacion&amp;idEvl=mZ4wtIpjxifi0Kd8%2Brcp6w%3D%3D" TargetMode="External" Id="rId1150"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1151" /><Relationship Type="http://schemas.openxmlformats.org/officeDocument/2006/relationships/hyperlink" Target="https://contrataciondelestado.es/wps/poc?uri=deeplink:detalle_licitacion&amp;idEvl=KbEdbYhpjHKS81gZFETWmA%3D%3D" TargetMode="External" Id="rId1152" /><Relationship Type="http://schemas.openxmlformats.org/officeDocument/2006/relationships/hyperlink" Target="https://contrataciondelestado.es/FileSystem/servlet/GetDocumentByIdServlet?cifrado=QUC1GjXXSiLkydRHJBmbpw%3D%3D&amp;DocumentIdParam=LQWSnpD4VLziD93lPvjmj0j/AHdL5y3gjAgTQutECHQ31Jc88LNBbrnHoUB5HQQIxJjgGh44aPf%2Bs/1UmncUcUSOVJ3hKZLgvPXXDCTKH7X6CYyL7SIrUOBFfNf52ZqA" TargetMode="External" Id="rId1153" /><Relationship Type="http://schemas.openxmlformats.org/officeDocument/2006/relationships/hyperlink" Target="https://contrataciondelestado.es/wps/poc?uri=deeplink:detalle_licitacion&amp;idEvl=LIlZvhuqLql70UvEyYJSGw%3D%3D" TargetMode="External" Id="rId1154"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1155" /><Relationship Type="http://schemas.openxmlformats.org/officeDocument/2006/relationships/hyperlink" Target="https://contrataciondelestado.es/wps/poc?uri=deeplink:detalle_licitacion&amp;idEvl=TfR6c%2FjMZez%2Fa9DgO%2BoYKQ%3D%3D" TargetMode="External" Id="rId1156" /><Relationship Type="http://schemas.openxmlformats.org/officeDocument/2006/relationships/hyperlink" Target="https://contrataciondelestado.es/FileSystem/servlet/GetDocumentByIdServlet?cifrado=QUC1GjXXSiLkydRHJBmbpw%3D%3D&amp;DocumentIdParam=rhh2kcm4hupwRY960LbHlq3isnBuvJ0z8s/uiwKt3geznoUDyX5lHZwPeplyCSQKu1o41ImdzVfYaSlUs4fh30qiSj4aw2BVXsLUmUceQmR7QB3HKyQaFUExmUVQCerk" TargetMode="External" Id="rId1157" /><Relationship Type="http://schemas.openxmlformats.org/officeDocument/2006/relationships/hyperlink" Target="https://contrataciondelestado.es/wps/poc?uri=deeplink:detalle_licitacion&amp;idEvl=lUyOZIBlWn3pxJFXpLZ%2B2A%3D%3D" TargetMode="External" Id="rId1158" /><Relationship Type="http://schemas.openxmlformats.org/officeDocument/2006/relationships/hyperlink" Target="https://contrataciondelestado.es/FileSystem/servlet/GetDocumentByIdServlet?cifrado=QUC1GjXXSiLkydRHJBmbpw%3D%3D&amp;DocumentIdParam=/q1Cfn1%2BwMjPaE8MctEKNnGUUehEHQRSuKVFensDjKAri6tQgrfoOMO4wcO1KFNila9HaVsZQmo7AQBRjSMMPXpSRS7qv08pxt%2Bx%2B6s15pEC1/zDIE0Kw/PWNnLS0Z0z" TargetMode="External" Id="rId1159" /><Relationship Type="http://schemas.openxmlformats.org/officeDocument/2006/relationships/hyperlink" Target="https://contrataciondelestado.es/wps/poc?uri=deeplink:detalle_licitacion&amp;idEvl=jZxjsRfKIak7u6%2B%2FR7DUoA%3D%3D" TargetMode="External" Id="rId1160" /><Relationship Type="http://schemas.openxmlformats.org/officeDocument/2006/relationships/hyperlink" Target="https://contrataciondelestado.es/FileSystem/servlet/GetDocumentByIdServlet?cifrado=QUC1GjXXSiLkydRHJBmbpw%3D%3D&amp;DocumentIdParam=WmlvI0dNQKAHuasWDPiuE2u23aKVAkFoGKrUqE18FhhE9ZbAU6r0QcRbHEloyT1d9ckog/S3n/brtAmSYVpJ4myXiuXrKUL2m4Rovsznt4rDdQD9RyhUmzT4jZ2In4zL" TargetMode="External" Id="rId1161" /><Relationship Type="http://schemas.openxmlformats.org/officeDocument/2006/relationships/hyperlink" Target="https://contrataciondelestado.es/wps/poc?uri=deeplink:detalle_licitacion&amp;idEvl=fGYfUeBT5bm7JOCXkOhcDg%3D%3D" TargetMode="External" Id="rId1162" /><Relationship Type="http://schemas.openxmlformats.org/officeDocument/2006/relationships/hyperlink" Target="https://contrataciondelestado.es/FileSystem/servlet/GetDocumentByIdServlet?cifrado=QUC1GjXXSiLkydRHJBmbpw%3D%3D&amp;DocumentIdParam=qbzFgh%2B3o8Y8zXXeGFN5guPyE2TCbAI2rllXBgL4ROWnd%2Buhxao%2B2VGvRl/mXvRuX9jmIqKHSwctnHH0z6hc1UG78bDe80OgirOtjB%2B4LEfVTD3T98KC0nSgQFM0q%2B5s" TargetMode="External" Id="rId1163" /><Relationship Type="http://schemas.openxmlformats.org/officeDocument/2006/relationships/hyperlink" Target="https://contrataciondelestado.es/wps/poc?uri=deeplink:detalle_licitacion&amp;idEvl=evD%2FUtKw81mIzo3LHNPGcQ%3D%3D" TargetMode="External" Id="rId1164" /><Relationship Type="http://schemas.openxmlformats.org/officeDocument/2006/relationships/hyperlink" Target="https://contrataciondelestado.es/FileSystem/servlet/GetDocumentByIdServlet?cifrado=QUC1GjXXSiLkydRHJBmbpw%3D%3D&amp;DocumentIdParam=qerKtE3ixTnxcgbgBLKVjhNbg1UOJp4XTqfD9HAozNuuhDdh3hGNOymqZdE0QsawMOplpHMpIPE4p/%2BHhKgnFzs6%2BRB5HoK6dWkI3LmmyFS1aXEvq3KHa/AEHgtDrQw0" TargetMode="External" Id="rId1165" /><Relationship Type="http://schemas.openxmlformats.org/officeDocument/2006/relationships/hyperlink" Target="https://contrataciondelestado.es/wps/poc?uri=deeplink:detalle_licitacion&amp;idEvl=Ccr9C2OVICs3vLk2DU2Ddg%3D%3D" TargetMode="External" Id="rId1166" /><Relationship Type="http://schemas.openxmlformats.org/officeDocument/2006/relationships/hyperlink" Target="https://contrataciondelestado.es/FileSystem/servlet/GetDocumentByIdServlet?cifrado=QUC1GjXXSiLkydRHJBmbpw%3D%3D&amp;DocumentIdParam=ooWUWOLPg4UTyVcK81xmwGQE3A7bAuq7sdyDrzc9YPffGckXx3qQf04/avJjXp7fkLti9T3jsR%2BWDzBZsIbbNCtAB76Q2JaZabwjc1WPFojfdyQgZAdTm3EfcUAC7CJ6" TargetMode="External" Id="rId1167" /><Relationship Type="http://schemas.openxmlformats.org/officeDocument/2006/relationships/hyperlink" Target="https://contrataciondelestado.es/wps/poc?uri=deeplink:detalle_licitacion&amp;idEvl=6NxuvY1CNlFrSd8H4b2soA%3D%3D" TargetMode="External" Id="rId1168" /><Relationship Type="http://schemas.openxmlformats.org/officeDocument/2006/relationships/hyperlink" Target="https://contrataciondelestado.es/FileSystem/servlet/GetDocumentByIdServlet?cifrado=QUC1GjXXSiLkydRHJBmbpw%3D%3D&amp;DocumentIdParam=AC1eiwn02WnTZ5Yu963cbC%2B8j9E/4JCWQW7h3Uwi2qs0YVVO9%2BOcRq8hB4WEhg2UjnpNAuEkffhw85eTTiMDvVq2TRy9R4ATOzDntF8YCMb6CYyL7SIrUOBFfNf52ZqA" TargetMode="External" Id="rId1169" /><Relationship Type="http://schemas.openxmlformats.org/officeDocument/2006/relationships/hyperlink" Target="https://contrataciondelestado.es/wps/poc?uri=deeplink:detalle_licitacion&amp;idEvl=wiQ7h4lbymJ9PLkba5eRog%3D%3D" TargetMode="External" Id="rId1170" /><Relationship Type="http://schemas.openxmlformats.org/officeDocument/2006/relationships/hyperlink" Target="https://contrataciondelestado.es/FileSystem/servlet/GetDocumentByIdServlet?cifrado=QUC1GjXXSiLkydRHJBmbpw%3D%3D&amp;DocumentIdParam=AAILjA4C/jt%2BPjUkCvQ9ItEGht%2BmgXRqLfk9nATbTOzsCtXJUWf%2BgMjip2cQ8FrHfoL2X6C80UpDUzVvXJVTq958uNcWyjAuncoQBLmfyuz6CYyL7SIrUOBFfNf52ZqA" TargetMode="External" Id="rId1171" /><Relationship Type="http://schemas.openxmlformats.org/officeDocument/2006/relationships/hyperlink" Target="https://contrataciondelestado.es/wps/poc?uri=deeplink:detalle_licitacion&amp;idEvl=BG3csO2YxjmFlFRHfEzEaw%3D%3D" TargetMode="External" Id="rId1172" /><Relationship Type="http://schemas.openxmlformats.org/officeDocument/2006/relationships/hyperlink" Target="https://contrataciondelestado.es/FileSystem/servlet/GetDocumentByIdServlet?cifrado=QUC1GjXXSiLkydRHJBmbpw%3D%3D&amp;DocumentIdParam=moF1zauscMtPkpM9yiFqjBqQ2XtTRpIE3oXNi9R8theUtAVH7zAMs5ITFN65HJeFjl8TjLGJA%2BsEdkYtzjXgMmgo5kJMj7rcW4B4DvV1nqtJOVDbGCDM%2BMigrvuVS7Rv" TargetMode="External" Id="rId1173" /><Relationship Type="http://schemas.openxmlformats.org/officeDocument/2006/relationships/hyperlink" Target="https://contrataciondelestado.es/wps/poc?uri=deeplink:detalle_licitacion&amp;idEvl=H0asFA4Psp8QyBAnWzHfCg%3D%3D" TargetMode="External" Id="rId1174" /><Relationship Type="http://schemas.openxmlformats.org/officeDocument/2006/relationships/hyperlink" Target="https://contrataciondelestado.es/FileSystem/servlet/GetDocumentByIdServlet?cifrado=QUC1GjXXSiLkydRHJBmbpw%3D%3D&amp;DocumentIdParam=wP62GvtzBGCLxLK2KyoeGVN6%2Bi9YT4dAmpDqVbmwlcrO3JSKUzgYTAAxA7ascZr1fmwBGJaDDMvgUPWVv1dgmbyfu6mHM0QzGn26oisYZEP3GVhXrFFqN7yFncy7YfRK" TargetMode="External" Id="rId1175" /><Relationship Type="http://schemas.openxmlformats.org/officeDocument/2006/relationships/hyperlink" Target="https://contrataciondelestado.es/wps/poc?uri=deeplink:detalle_licitacion&amp;idEvl=bfNnMcjti6WsNfRW6APEDw%3D%3D" TargetMode="External" Id="rId1176" /><Relationship Type="http://schemas.openxmlformats.org/officeDocument/2006/relationships/hyperlink" Target="https://contrataciondelestado.es/FileSystem/servlet/GetDocumentByIdServlet?cifrado=QUC1GjXXSiLkydRHJBmbpw%3D%3D&amp;DocumentIdParam=BMffgcEhyIRPu8YiIjyUldHgiUUiKWwrNlcImgh5KQ5yWprftgHvrmMTjpYEc5uaRrFlCXWRGMPtMEFVnIiOppwtk0ZqcLAT9Vp43vuI3QNt/o8fNevwsujgRzaBbugn" TargetMode="External" Id="rId1177" /><Relationship Type="http://schemas.openxmlformats.org/officeDocument/2006/relationships/hyperlink" Target="https://contrataciondelestado.es/wps/poc?uri=deeplink:detalle_licitacion&amp;idEvl=vock68ulYVYeIBJRHQiPkQ%3D%3D" TargetMode="External" Id="rId1178" /><Relationship Type="http://schemas.openxmlformats.org/officeDocument/2006/relationships/hyperlink" Target="https://contrataciondelestado.es/FileSystem/servlet/GetDocumentByIdServlet?cifrado=QUC1GjXXSiLkydRHJBmbpw%3D%3D&amp;DocumentIdParam=kVTECiRAPv8gOngTQoJCX0qZOirFtZjHrU3mzPQgvzRQJog%2BKXkbfc5Mw%2B%2Btkn3mUdcZxwEuLXgwhPeD9X/QEzD8kKU0UKSze9CJUU/IQhHfdyQgZAdTm3EfcUAC7CJ6" TargetMode="External" Id="rId1179" /><Relationship Type="http://schemas.openxmlformats.org/officeDocument/2006/relationships/hyperlink" Target="https://contrataciondelestado.es/wps/poc?uri=deeplink:detalle_licitacion&amp;idEvl=%2BUuizd%2FEbYc7%2B9FIQYNjeQ%3D%3D" TargetMode="External" Id="rId1180" /><Relationship Type="http://schemas.openxmlformats.org/officeDocument/2006/relationships/hyperlink" Target="https://contrataciondelestado.es/FileSystem/servlet/GetDocumentByIdServlet?cifrado=QUC1GjXXSiLkydRHJBmbpw%3D%3D&amp;DocumentIdParam=9cU22ncgomrYAqohbNfr9ddk4j5zxaeHMEtLAlM6U1iSgV0ZnbKW4Vr0LKha1nVcvboQbW1thBueedIUKoX22S0e0zutoMsKv7QvarO0cX2HAj0WEJrB5sP7amrh2jBD" TargetMode="External" Id="rId1181" /><Relationship Type="http://schemas.openxmlformats.org/officeDocument/2006/relationships/hyperlink" Target="https://contrataciondelestado.es/wps/poc?uri=deeplink:detalle_licitacion&amp;idEvl=Qh%2Bxzvnhjao%2FbjW6njtWLw%3D%3D" TargetMode="External" Id="rId1182" /><Relationship Type="http://schemas.openxmlformats.org/officeDocument/2006/relationships/hyperlink" Target="https://contrataciondelestado.es/FileSystem/servlet/GetDocumentByIdServlet?cifrado=QUC1GjXXSiLkydRHJBmbpw%3D%3D&amp;DocumentIdParam=jc/xXNChH/HOXak4s4FyTPF6%2B5dzYhjLY3yxOZwOZgmMikA4%2BydGzmKNmC%2B4xF9bgqQXiHBFQKKX4EsT57V/ZIbu2kPE%2BBlCylG9O5ywpeh7QB3HKyQaFUExmUVQCerk" TargetMode="External" Id="rId1183" /><Relationship Type="http://schemas.openxmlformats.org/officeDocument/2006/relationships/hyperlink" Target="https://contrataciondelestado.es/wps/poc?uri=deeplink:detalle_licitacion&amp;idEvl=Pff6OYhdOizua%2Fi14w%2FPLA%3D%3D" TargetMode="External" Id="rId1184" /><Relationship Type="http://schemas.openxmlformats.org/officeDocument/2006/relationships/hyperlink" Target="https://contrataciondelestado.es/FileSystem/servlet/GetDocumentByIdServlet?cifrado=QUC1GjXXSiLkydRHJBmbpw%3D%3D&amp;DocumentIdParam=H5FCqKcdgc7ENIUvbcrz8jGHz0h7N9jvpWOgSMGwgcRZmAxCndl1ILEiE7oEQn%2BdagQ8NlciT/jsHkC%2B/VwwiTQApAURm1xEJhlBQ3UZeF57QB3HKyQaFUExmUVQCerk" TargetMode="External" Id="rId1185" /><Relationship Type="http://schemas.openxmlformats.org/officeDocument/2006/relationships/hyperlink" Target="https://contrataciondelestado.es/wps/poc?uri=deeplink:detalle_licitacion&amp;idEvl=HjD9ShhJ%2BWqKeVWTb9Scog%3D%3D" TargetMode="External" Id="rId1186" /><Relationship Type="http://schemas.openxmlformats.org/officeDocument/2006/relationships/hyperlink" Target="https://contrataciondelestado.es/FileSystem/servlet/GetDocumentByIdServlet?cifrado=QUC1GjXXSiLkydRHJBmbpw%3D%3D&amp;DocumentIdParam=Y4/9/ZFRJrSPpCrCSAunVZgv0F0Zil0n24O0q6YflnCGjTHRH20fc9d1kboKGUFaqJNRjD8igHkdYQ0mPQj1XhyPuJAdVWE%2Bp8p5dZN/P7ht/o8fNevwsujgRzaBbugn" TargetMode="External" Id="rId1187" /><Relationship Type="http://schemas.openxmlformats.org/officeDocument/2006/relationships/hyperlink" Target="https://contrataciondelestado.es/wps/poc?uri=deeplink:detalle_licitacion&amp;idEvl=m4jNpeXqSm4tm4eBPtV6eQ%3D%3D" TargetMode="External" Id="rId1188" /><Relationship Type="http://schemas.openxmlformats.org/officeDocument/2006/relationships/hyperlink" Target="https://contrataciondelestado.es/FileSystem/servlet/GetDocumentByIdServlet?cifrado=QUC1GjXXSiLkydRHJBmbpw%3D%3D&amp;DocumentIdParam=Syu1OPjxFPdfPBzzCIbkQUi55lESPv%2Bh/iCD7kNWyi3M2uGp%2BC//M2qQMBujrU4UElkuxA%2B5U5LnHL87JVNlLJo8aQE7cYI1NrpsIod9QUNt/o8fNevwsujgRzaBbugn" TargetMode="External" Id="rId1189" /><Relationship Type="http://schemas.openxmlformats.org/officeDocument/2006/relationships/hyperlink" Target="https://contrataciondelestado.es/wps/poc?uri=deeplink:detalle_licitacion&amp;idEvl=n6uKVXxDLpF9Zh%2FyRJgM8w%3D%3D" TargetMode="External" Id="rId1190" /><Relationship Type="http://schemas.openxmlformats.org/officeDocument/2006/relationships/hyperlink" Target="https://contrataciondelestado.es/FileSystem/servlet/GetDocumentByIdServlet?cifrado=QUC1GjXXSiLkydRHJBmbpw%3D%3D&amp;DocumentIdParam=UG%2BRhCI4sDnd7/kZmfTpfwOlikVYcAIt3rDDPGr4wG0GfHzU/36cUXrrPIU8o6fVJClHJFPjTssVJqFuCLyTnk70DlmQG89%2B41e%2BnQ7HzNaHAj0WEJrB5sP7amrh2jBD" TargetMode="External" Id="rId1191" /><Relationship Type="http://schemas.openxmlformats.org/officeDocument/2006/relationships/hyperlink" Target="https://contrataciondelestado.es/wps/poc?uri=deeplink:detalle_licitacion&amp;idEvl=2SELKf3jQYHpxJFXpLZ%2B2A%3D%3D" TargetMode="External" Id="rId1192" /><Relationship Type="http://schemas.openxmlformats.org/officeDocument/2006/relationships/hyperlink" Target="https://contrataciondelestado.es/FileSystem/servlet/GetDocumentByIdServlet?cifrado=QUC1GjXXSiLkydRHJBmbpw%3D%3D&amp;DocumentIdParam=hDNm3%2BCXFb7z8j8TXcv0Ayd6QSpOjssfcRy7MEZLyR4j8lx0QIqy%2B6fIahBY677nC4jLQNo/WlVY06CeK8tQyoVCJVMwZQtoJiP9fJItsKS1aXEvq3KHa/AEHgtDrQw0" TargetMode="External" Id="rId1193" /><Relationship Type="http://schemas.openxmlformats.org/officeDocument/2006/relationships/hyperlink" Target="https://contrataciondelestado.es/wps/poc?uri=deeplink:detalle_licitacion&amp;idEvl=Q1iUc6mGGQAXhk1FZxEyvw%3D%3D" TargetMode="External" Id="rId1194" /><Relationship Type="http://schemas.openxmlformats.org/officeDocument/2006/relationships/hyperlink" Target="https://contrataciondelestado.es/FileSystem/servlet/GetDocumentByIdServlet?cifrado=QUC1GjXXSiLkydRHJBmbpw%3D%3D&amp;DocumentIdParam=Q6Jr7YT6rLPTnUk%2BZs4U6JYui69frRjZHh7Gjmt1K0Lev/GeKVj5p%2BCksDpTxWAZc83bUI2m6Bzjpix9xiqyEvfyZG1q5vLUxl0aENDhDvSHAj0WEJrB5sP7amrh2jBD" TargetMode="External" Id="rId1195" /><Relationship Type="http://schemas.openxmlformats.org/officeDocument/2006/relationships/hyperlink" Target="https://contrataciondelestado.es/wps/poc?uri=deeplink:detalle_licitacion&amp;idEvl=7XDNVNqQJot%2FR5QFTlaM4A%3D%3D" TargetMode="External" Id="rId1196" /><Relationship Type="http://schemas.openxmlformats.org/officeDocument/2006/relationships/hyperlink" Target="https://contrataciondelestado.es/FileSystem/servlet/GetDocumentByIdServlet?cifrado=QUC1GjXXSiLkydRHJBmbpw%3D%3D&amp;DocumentIdParam=X%2BkzxSvmrfvwOQBgPoMhQqmST7YQR1IAECLaGMv%2BTLqeBjB1UvwZ/z07du//Y3xvNzerhMyZGJ3BAprOlju/ddvzE%2BclKOqgTBjoSXg/CUx45ClyWkoJ44mKM70IFcOu" TargetMode="External" Id="rId1197" /><Relationship Type="http://schemas.openxmlformats.org/officeDocument/2006/relationships/hyperlink" Target="https://contrataciondelestado.es/wps/poc?uri=deeplink:detalle_licitacion&amp;idEvl=YJYEzjNrp7lt5r0ngvMetA%3D%3D" TargetMode="External" Id="rId1198" /><Relationship Type="http://schemas.openxmlformats.org/officeDocument/2006/relationships/hyperlink" Target="https://contrataciondelestado.es/FileSystem/servlet/GetDocumentByIdServlet?cifrado=QUC1GjXXSiLkydRHJBmbpw%3D%3D&amp;DocumentIdParam=3TtpgjirGTl8M7YRbFGJ4GSbRoA2epNLmM4UmTRl3q2o3J3EivgA892c7HZXtOdaYtI9T4iEgH2ATXbSQx3zGwgEtifD9uTOa6OTi1r/J%2B/6CYyL7SIrUOBFfNf52ZqA" TargetMode="External" Id="rId1199" /><Relationship Type="http://schemas.openxmlformats.org/officeDocument/2006/relationships/hyperlink" Target="https://contrataciondelestado.es/wps/poc?uri=deeplink:detalle_licitacion&amp;idEvl=Y4RnJogpLXDkY6rls5tG9A%3D%3D" TargetMode="External" Id="rId1200" /><Relationship Type="http://schemas.openxmlformats.org/officeDocument/2006/relationships/hyperlink" Target="https://contrataciondelestado.es/FileSystem/servlet/GetDocumentByIdServlet?cifrado=QUC1GjXXSiLkydRHJBmbpw%3D%3D&amp;DocumentIdParam=SA89viOXwanf%2BzT2YNjlP5DWqhW7rPhcOhpVt3/qsvMfI86FoAKUuI8jSPwnO4VHBwsiairtrD5/8FtUaneX1iSgNAH4jaCOO936x8Wr1pT3GVhXrFFqN7yFncy7YfRK" TargetMode="External" Id="rId1201" /><Relationship Type="http://schemas.openxmlformats.org/officeDocument/2006/relationships/hyperlink" Target="https://contrataciondelestado.es/wps/poc?uri=deeplink:detalle_licitacion&amp;idEvl=Y2zC7IelHm87u6%2B%2FR7DUoA%3D%3D" TargetMode="External" Id="rId1202" /><Relationship Type="http://schemas.openxmlformats.org/officeDocument/2006/relationships/hyperlink" Target="https://contrataciondelestado.es/FileSystem/servlet/GetDocumentByIdServlet?cifrado=QUC1GjXXSiLkydRHJBmbpw%3D%3D&amp;DocumentIdParam=VArgmGloiQfi/A7vv7rr95rgXjQK/8hEBdZfX6HGjeKRKLJkPpbaXgXxPOkoorJW0z1yStTnmk2ELuC2PTEl3vT2%2BWxUNRDMwmInvqJ%2B/gxJOVDbGCDM%2BMigrvuVS7Rv" TargetMode="External" Id="rId1203" /><Relationship Type="http://schemas.openxmlformats.org/officeDocument/2006/relationships/hyperlink" Target="https://contrataciondelestado.es/wps/poc?uri=deeplink:detalle_licitacion&amp;idEvl=%2BEY9WOdS4QOIzo3LHNPGcQ%3D%3D" TargetMode="External" Id="rId1204"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1205" /><Relationship Type="http://schemas.openxmlformats.org/officeDocument/2006/relationships/hyperlink" Target="https://contrataciondelestado.es/wps/poc?uri=deeplink:detalle_licitacion&amp;idEvl=rKQRGswmPuV%2BF6L2uCfUWg%3D%3D" TargetMode="External" Id="rId1206" /><Relationship Type="http://schemas.openxmlformats.org/officeDocument/2006/relationships/hyperlink" Target="https://contrataciondelestado.es/FileSystem/servlet/GetDocumentByIdServlet?cifrado=QUC1GjXXSiLkydRHJBmbpw%3D%3D&amp;DocumentIdParam=YsFAY0tN4W%2BXqLUdHEGBmJVtsZWxiWuX%2BEa5NUUyLU9cmJWOo6IYnsiSYTfs20Mwx2FhED1YrkFRsv7XKLL%2BAcW%2Bmyr75/YUXA7nw6x3du97QB3HKyQaFUExmUVQCerk" TargetMode="External" Id="rId1207" /><Relationship Type="http://schemas.openxmlformats.org/officeDocument/2006/relationships/hyperlink" Target="https://contrataciondelestado.es/wps/poc?uri=deeplink:detalle_licitacion&amp;idEvl=ughBGfPBNcjIGlsa0Wad%2Bw%3D%3D" TargetMode="External" Id="rId1208" /><Relationship Type="http://schemas.openxmlformats.org/officeDocument/2006/relationships/hyperlink" Target="https://contrataciondelestado.es/FileSystem/servlet/GetDocumentByIdServlet?cifrado=QUC1GjXXSiLkydRHJBmbpw%3D%3D&amp;DocumentIdParam=/q1Cfn1%2BwMjPaE8MctEKNosiO8qrKLNEpmw/FOy3uTIZb%2BtuXnSDkx3L/2mVdLV%2BDyuV5klxXB2XZHSqc/69ojasbfqG9zoUaen/eu2AG3yCx2e6p7hqtlp2aFupgHMr" TargetMode="External" Id="rId1209" /><Relationship Type="http://schemas.openxmlformats.org/officeDocument/2006/relationships/hyperlink" Target="https://contrataciondelestado.es/wps/poc?uri=deeplink:detalle_licitacion&amp;idEvl=%2FueOpfZ51uKcTfjQf3USOg%3D%3D" TargetMode="External" Id="rId1210"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1211" /><Relationship Type="http://schemas.openxmlformats.org/officeDocument/2006/relationships/hyperlink" Target="https://contrataciondelestado.es/wps/poc?uri=deeplink:detalle_licitacion&amp;idEvl=CiAZxjCxeLfLIx6q1oPaMg%3D%3D" TargetMode="External" Id="rId1212" /><Relationship Type="http://schemas.openxmlformats.org/officeDocument/2006/relationships/hyperlink" Target="https://contrataciondelestado.es/FileSystem/servlet/GetDocumentByIdServlet?cifrado=QUC1GjXXSiLkydRHJBmbpw%3D%3D&amp;DocumentIdParam=foXrR6qPVymRhLPDNuS5k8Y4wLB%2BGi1oNFSxkqfUj82kYrvBgTSgPyUvPAC3F7Kv/lDA%2BNSat0O1PkFf9rhKbmjjrq%2BKTN5ilHoPWEaPTZmHAj0WEJrB5sP7amrh2jBD" TargetMode="External" Id="rId1213" /><Relationship Type="http://schemas.openxmlformats.org/officeDocument/2006/relationships/hyperlink" Target="https://contrataciondelestado.es/wps/poc?uri=deeplink:detalle_licitacion&amp;idEvl=0jeuIpwipJ3VGIpKDxgsAQ%3D%3D" TargetMode="External" Id="rId1214" /><Relationship Type="http://schemas.openxmlformats.org/officeDocument/2006/relationships/hyperlink" Target="https://contrataciondelestado.es/FileSystem/servlet/GetDocumentByIdServlet?cifrado=QUC1GjXXSiLkydRHJBmbpw%3D%3D&amp;DocumentIdParam=YI/nEF4h8/Y5gh6bun6EIFHY7FqjhgSuL1CRRyi8SV8eN73CL3zRmDEMC3x6AAvBmfm5Le8ym5j9PD4y0Lag4kIRug01wOlUU0BIFeGomlKB0nvVKRzfe4rpHcnlPhSZ" TargetMode="External" Id="rId1215" /><Relationship Type="http://schemas.openxmlformats.org/officeDocument/2006/relationships/hyperlink" Target="https://contrataciondelestado.es/wps/poc?uri=deeplink:detalle_licitacion&amp;idEvl=9cJe3OZRGU8wYTJJ03sHog%3D%3D" TargetMode="External" Id="rId1216"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1217" /><Relationship Type="http://schemas.openxmlformats.org/officeDocument/2006/relationships/hyperlink" Target="https://contrataciondelestado.es/wps/poc?uri=deeplink:detalle_licitacion&amp;idEvl=CqNwVeF4OsbyoM4us5k4vw%3D%3D" TargetMode="External" Id="rId1218" /><Relationship Type="http://schemas.openxmlformats.org/officeDocument/2006/relationships/hyperlink" Target="https://contrataciondelestado.es/FileSystem/servlet/GetDocumentByIdServlet?cifrado=QUC1GjXXSiLkydRHJBmbpw%3D%3D&amp;DocumentIdParam=lOZ1XmqNiq3/OhdGFmAMYBqhR9hq1yS7L2Rb8JXvRtkl6z9%2BJDtE4M7T5zYQsADB/KpbEp3GIW2AJFlosF9UAPm0yIHCjl1IxeG8ZaZP3/bfdyQgZAdTm3EfcUAC7CJ6" TargetMode="External" Id="rId1219" /><Relationship Type="http://schemas.openxmlformats.org/officeDocument/2006/relationships/hyperlink" Target="https://contrataciondelestado.es/wps/poc?uri=deeplink:detalle_licitacion&amp;idEvl=Fp1hnbY6ZXadkQsA7ROvsg%3D%3D" TargetMode="External" Id="rId1220"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1221" /><Relationship Type="http://schemas.openxmlformats.org/officeDocument/2006/relationships/hyperlink" Target="https://contrataciondelestado.es/wps/poc?uri=deeplink:detalle_licitacion&amp;idEvl=ZQbk0jDSogMl5NjlNci%2BtA%3D%3D" TargetMode="External" Id="rId1222"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1223" /><Relationship Type="http://schemas.openxmlformats.org/officeDocument/2006/relationships/hyperlink" Target="https://contrataciondelestado.es/wps/poc?uri=deeplink:detalle_licitacion&amp;idEvl=9C8fJ0NRSbOOUi78BmzhOQ%3D%3D" TargetMode="External" Id="rId1224" /><Relationship Type="http://schemas.openxmlformats.org/officeDocument/2006/relationships/hyperlink" Target="https://contrataciondelestado.es/wps/poc?uri=deeplink:detalle_licitacion&amp;idEvl=KTpH5mbtJciOUi78BmzhOQ%3D%3D" TargetMode="External" Id="rId1225" /><Relationship Type="http://schemas.openxmlformats.org/officeDocument/2006/relationships/hyperlink" Target="https://contrataciondelestado.es/FileSystem/servlet/GetDocumentByIdServlet?cifrado=QUC1GjXXSiLkydRHJBmbpw%3D%3D&amp;DocumentIdParam=lRFm5BlgxXBAHht5IfMyaUj%2Bbnawlo%2B85p%2BEuoTECIqfL6j404Om2TySM9wcJDXlfHtzyvD1fqhh3AKU1yt2l47dEhFsSi6v6gqFDTmuxALVTD3T98KC0nSgQFM0q%2B5s" TargetMode="External" Id="rId1226" /><Relationship Type="http://schemas.openxmlformats.org/officeDocument/2006/relationships/hyperlink" Target="https://contrataciondelestado.es/wps/poc?uri=deeplink:detalle_licitacion&amp;idEvl=ATf5Zlofu0ycCF8sV%2BqtYA%3D%3D" TargetMode="External" Id="rId1227" /><Relationship Type="http://schemas.openxmlformats.org/officeDocument/2006/relationships/hyperlink" Target="https://contrataciondelestado.es/FileSystem/servlet/GetDocumentByIdServlet?DocumentIdParam=Oo0uZ/jTI6wr1eYjbzg7NHgXuLxHcJlQvrRmsNf7yPAzSpwo4eBsiNgvAm%2BtKf0Z7CZuqde9I%2B4lsnnSnpRmkpxrJOlOUz/XtcWI/uBnV0/VTD3T98KC0nSgQFM0q%2B5s&amp;cifrado=QUC1GjXXSiLkydRHJBmbpw%3D%3D" TargetMode="External" Id="rId1228" /><Relationship Type="http://schemas.openxmlformats.org/officeDocument/2006/relationships/hyperlink" Target="https://contrataciondelestado.es/wps/poc?uri=deeplink:detalle_licitacion&amp;idEvl=Wpd9DEL4a6Ql5NjlNci%2BtA%3D%3D" TargetMode="External" Id="rId1229" /><Relationship Type="http://schemas.openxmlformats.org/officeDocument/2006/relationships/hyperlink" Target="https://contrataciondelestado.es/FileSystem/servlet/GetDocumentByIdServlet?cifrado=QUC1GjXXSiLkydRHJBmbpw%3D%3D&amp;DocumentIdParam=AWDdNd08BmsZhaaOkJE1n2pesUPBWlml8IOWNdpG/z2D0Zj2dhTxhHAhV1EVmhavBAimgnjaHw7mMONbo9JYevVOdiRXIEmGq5Gbktd1J/D3GVhXrFFqN7yFncy7YfRK" TargetMode="External" Id="rId1230" /><Relationship Type="http://schemas.openxmlformats.org/officeDocument/2006/relationships/hyperlink" Target="https://contrataciondelestado.es/wps/poc?uri=deeplink:detalle_licitacion&amp;idEvl=Mx%2FCWxNEyM22gkLQ8TeYKA%3D%3D" TargetMode="External" Id="rId1231" /><Relationship Type="http://schemas.openxmlformats.org/officeDocument/2006/relationships/hyperlink" Target="https://contrataciondelestado.es/FileSystem/servlet/GetDocumentByIdServlet?cifrado=QUC1GjXXSiLkydRHJBmbpw%3D%3D&amp;DocumentIdParam=e1HpMrJ%2BCx5uWtQgZ7/FlH9vec%2BvgmL2RYz73u8xe/6cJeHv39ZxiRFrlOgA8j8gvO1Nced9e%2B7QQykJ8NMCswyOySrgzYwbuCW4AgCTxom1aXEvq3KHa/AEHgtDrQw0" TargetMode="External" Id="rId1232" /><Relationship Type="http://schemas.openxmlformats.org/officeDocument/2006/relationships/hyperlink" Target="https://contrataciondelestado.es/wps/poc?uri=deeplink:detalle_licitacion&amp;idEvl=wmWWmJ9XzAc36J9Lctlsuw%3D%3D" TargetMode="External" Id="rId1233" /><Relationship Type="http://schemas.openxmlformats.org/officeDocument/2006/relationships/hyperlink" Target="https://contrataciondelestado.es/FileSystem/servlet/GetDocumentByIdServlet?cifrado=QUC1GjXXSiLkydRHJBmbpw%3D%3D&amp;DocumentIdParam=szL2Jkd7Nh91ukB9OHJTwcfF6yJoOSAItae8t9KWTXOEzONkuhNA%2BEjTbBMoohJWDbywtvBULDpecT8Ngo5Hv0p7RI5JbX1jF6hbhzSd3uOCx2e6p7hqtlp2aFupgHMr" TargetMode="External" Id="rId1234" /><Relationship Type="http://schemas.openxmlformats.org/officeDocument/2006/relationships/hyperlink" Target="https://contrataciondelestado.es/wps/poc?uri=deeplink:detalle_licitacion&amp;idEvl=rXZqTZZzV3eP66GS%2BONYvQ%3D%3D" TargetMode="External" Id="rId1235" /><Relationship Type="http://schemas.openxmlformats.org/officeDocument/2006/relationships/hyperlink" Target="https://contrataciondelestado.es/FileSystem/servlet/GetDocumentByIdServlet?DocumentIdParam=pmBmkMJRp5sYTOU%2BkxoaORF30roLeLATYlUqcBbjsx8Q7a9rkY/8oejXjGLzjKC7wcizVxkb5i3Bmqd1sEGjv0tbAvAaeJUxBAnHQWM/EkAZyAJWGsSt0OzTSTyw9JAs&amp;cifrado=QUC1GjXXSiLkydRHJBmbpw%3D%3D" TargetMode="External" Id="rId1236" /><Relationship Type="http://schemas.openxmlformats.org/officeDocument/2006/relationships/hyperlink" Target="https://contrataciondelestado.es/wps/poc?uri=deeplink:detalle_licitacion&amp;idEvl=4bXIpwQg%2B92HCIsjvJ3rhQ%3D%3D" TargetMode="External" Id="rId1237" /><Relationship Type="http://schemas.openxmlformats.org/officeDocument/2006/relationships/hyperlink" Target="https://contrataciondelestado.es/FileSystem/servlet/GetDocumentByIdServlet?cifrado=QUC1GjXXSiLkydRHJBmbpw%3D%3D&amp;DocumentIdParam=KwixiVkKqCW0QtFoSNXDMD5TWxdpuxotUUoPz7uOS8SBBE0TDgAZ31JgYcdlvwIQptdEfmeAL0XY341HP5uSHftfxzc3BYykHvcuQPf0xdt7QB3HKyQaFUExmUVQCerk" TargetMode="External" Id="rId1238" /><Relationship Type="http://schemas.openxmlformats.org/officeDocument/2006/relationships/hyperlink" Target="https://contrataciondelestado.es/wps/poc?uri=deeplink:detalle_licitacion&amp;idEvl=aq%2BRxoJqp1ykU02jNGj1Fw%3D%3D" TargetMode="External" Id="rId1239" /><Relationship Type="http://schemas.openxmlformats.org/officeDocument/2006/relationships/hyperlink" Target="https://contrataciondelestado.es/FileSystem/servlet/GetDocumentByIdServlet?DocumentIdParam=m7ugFvr4m/qCtfomse4kP9bEQc4a6HT9JSabf82T6TfEWO3x4bhVY3FODrEvF0ufwazsGWV%2Ba1M9ouh2pVtua65Zdno6KQupO5F49s7judEC1/zDIE0Kw/PWNnLS0Z0z&amp;cifrado=QUC1GjXXSiLkydRHJBmbpw%3D%3D" TargetMode="External" Id="rId1240" /><Relationship Type="http://schemas.openxmlformats.org/officeDocument/2006/relationships/hyperlink" Target="https://contrataciondelestado.es/wps/poc?uri=deeplink:detalle_licitacion&amp;idEvl=hKfMTQ2rdOl%2BF6L2uCfUWg%3D%3D" TargetMode="External" Id="rId1241" /><Relationship Type="http://schemas.openxmlformats.org/officeDocument/2006/relationships/hyperlink" Target="https://contrataciondelestado.es/FileSystem/servlet/GetDocumentByIdServlet?cifrado=QUC1GjXXSiLkydRHJBmbpw%3D%3D&amp;DocumentIdParam=37pUTsqzhJPtfLo4WOjc/vfTq1a7hGuCrXrxQXiPQfQnKfte%2BuYW6zsC7pW3AnFBkkV/TaM95NuqblNOs%2BYVPX5L0xmfN1JbB6UGD2FRnee1aXEvq3KHa/AEHgtDrQw0" TargetMode="External" Id="rId1242" /><Relationship Type="http://schemas.openxmlformats.org/officeDocument/2006/relationships/hyperlink" Target="https://contrataciondelestado.es/wps/poc?uri=deeplink:detalle_licitacion&amp;idEvl=lyl%2FalNB7WN9Zh%2FyRJgM8w%3D%3D" TargetMode="External" Id="rId1243"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1244" /><Relationship Type="http://schemas.openxmlformats.org/officeDocument/2006/relationships/hyperlink" Target="https://contrataciondelestado.es/wps/poc?uri=deeplink:detalle_licitacion&amp;idEvl=l4zVC1kfvwqKeVWTb9Scog%3D%3D" TargetMode="External" Id="rId1245" /><Relationship Type="http://schemas.openxmlformats.org/officeDocument/2006/relationships/hyperlink" Target="https://contrataciondelestado.es/FileSystem/servlet/GetDocumentByIdServlet?cifrado=QUC1GjXXSiLkydRHJBmbpw%3D%3D&amp;DocumentIdParam=t7g399WyLhNsEH0ChRd7O5VIVpOcGwjDNGz/lFGPf5AtNTkOdpb%2BpQ8i4jI0ktCKcKhEgyFrJhk52WNVaefk6RJasxbrsXIIBzgfk9tynCd7QB3HKyQaFUExmUVQCerk" TargetMode="External" Id="rId1246" /><Relationship Type="http://schemas.openxmlformats.org/officeDocument/2006/relationships/hyperlink" Target="https://contrataciondelestado.es/wps/poc?uri=deeplink:detalle_licitacion&amp;idEvl=i%2FRwT2CxhCbgL1BHd3qjQA%3D%3D" TargetMode="External" Id="rId1247" /><Relationship Type="http://schemas.openxmlformats.org/officeDocument/2006/relationships/hyperlink" Target="https://contrataciondelestado.es/FileSystem/servlet/GetDocumentByIdServlet?cifrado=QUC1GjXXSiLkydRHJBmbpw%3D%3D&amp;DocumentIdParam=edKMeEfxi49LM3rUWtY7FjUTwMvu8SvAMl9URjrDzQymdpdYn93g7dJwriyTQUH3bkRWmui8SRw/MHdV/L85Wsj2cRYGvjgV9%2B%2BTIQL1tVHVTD3T98KC0nSgQFM0q%2B5s" TargetMode="External" Id="rId1248" /><Relationship Type="http://schemas.openxmlformats.org/officeDocument/2006/relationships/hyperlink" Target="https://contrataciondelestado.es/wps/poc?uri=deeplink:detalle_licitacion&amp;idEvl=5qMK1msWVvO7JOCXkOhcDg%3D%3D" TargetMode="External" Id="rId1249" /><Relationship Type="http://schemas.openxmlformats.org/officeDocument/2006/relationships/hyperlink" Target="https://contrataciondelestado.es/wps/poc?uri=deeplink:detalle_licitacion&amp;idEvl=GmXw9VhLX%2F2KeVWTb9Scog%3D%3D" TargetMode="External" Id="rId1250" /><Relationship Type="http://schemas.openxmlformats.org/officeDocument/2006/relationships/hyperlink" Target="https://contrataciondelestado.es/FileSystem/servlet/GetDocumentByIdServlet?cifrado=QUC1GjXXSiLkydRHJBmbpw%3D%3D&amp;DocumentIdParam=frQkjlNZciTuevbfmUKTeh/%2BSsPbCceyqKSLv5Up5aOrBKfiUIqKG1ZGwtmnwPi5sqp5A4jvRs6jgYc3kqzCBdkP8/qUB6zcIKdz0sAtwcN7QB3HKyQaFUExmUVQCerk" TargetMode="External" Id="rId1251" /><Relationship Type="http://schemas.openxmlformats.org/officeDocument/2006/relationships/hyperlink" Target="https://contrataciondelestado.es/wps/poc?uri=deeplink:detalle_licitacion&amp;idEvl=swtye%2FT0sBdrhBlEHQFSKA%3D%3D" TargetMode="External" Id="rId1252" /><Relationship Type="http://schemas.openxmlformats.org/officeDocument/2006/relationships/hyperlink" Target="https://contrataciondelestado.es/wps/poc?uri=deeplink:detalle_licitacion&amp;idEvl=IxSZcrf9ZO3yoM4us5k4vw%3D%3D" TargetMode="External" Id="rId1253" /><Relationship Type="http://schemas.openxmlformats.org/officeDocument/2006/relationships/hyperlink" Target="https://contrataciondelestado.es/FileSystem/servlet/GetDocumentByIdServlet?cifrado=QUC1GjXXSiLkydRHJBmbpw%3D%3D&amp;DocumentIdParam=gxaksYVNpprTBmgNoNwagKLgUIpW6kEvuDGXRKrDpR7a6O5lFxtp23Zv7TNDVw2E8e%2Bzy5kVmOedCYQCapIgKC8/ORx8ccqTR9P64TxszVr3GVhXrFFqN7yFncy7YfRK" TargetMode="External" Id="rId1254" /><Relationship Type="http://schemas.openxmlformats.org/officeDocument/2006/relationships/hyperlink" Target="https://contrataciondelestado.es/wps/poc?uri=deeplink:detalle_licitacion&amp;idEvl=XfrvUCNLeZJPpzdqOdhuWg%3D%3D" TargetMode="External" Id="rId1255" /><Relationship Type="http://schemas.openxmlformats.org/officeDocument/2006/relationships/hyperlink" Target="https://contrataciondelestado.es/wps/poc?uri=deeplink:detalle_licitacion&amp;idEvl=IgzUj%2F70CkxxseVhcqrkhw%3D%3D" TargetMode="External" Id="rId1256" /><Relationship Type="http://schemas.openxmlformats.org/officeDocument/2006/relationships/hyperlink" Target="https://contrataciondelestado.es/FileSystem/servlet/GetDocumentByIdServlet?cifrado=QUC1GjXXSiLkydRHJBmbpw%3D%3D&amp;DocumentIdParam=j4bGbUpRPLkiW2UD8JX6DSTu/Hj4CAdvKC69uKuo7rkSrK3W%2BwDDg0JvldD61PovJovL//%2Bl56rh4WD039%2BtLmidDccfs2dg6ygUpFdjRVJ45ClyWkoJ44mKM70IFcOu" TargetMode="External" Id="rId1257" /><Relationship Type="http://schemas.openxmlformats.org/officeDocument/2006/relationships/hyperlink" Target="https://contrataciondelestado.es/wps/poc?uri=deeplink:detalle_licitacion&amp;idEvl=j3PNTKW%2Bs27pxJFXpLZ%2B2A%3D%3D" TargetMode="External" Id="rId1258" /><Relationship Type="http://schemas.openxmlformats.org/officeDocument/2006/relationships/hyperlink" Target="https://contrataciondelestado.es/FileSystem/servlet/GetDocumentByIdServlet?cifrado=QUC1GjXXSiLkydRHJBmbpw%3D%3D&amp;DocumentIdParam=UOzM1/JCF/9fwq3I60NDEfm8GF/QDVyvwQRy9dyhuuYJognZQ8iORm/mFGYRYbS0HlAfwyhSSFyZb926kHnMt8qk/S/KVj/vMMnDoRNITi9JOVDbGCDM%2BMigrvuVS7Rv" TargetMode="External" Id="rId1259" /><Relationship Type="http://schemas.openxmlformats.org/officeDocument/2006/relationships/hyperlink" Target="https://contrataciondelestado.es/wps/poc?uri=deeplink:detalle_licitacion&amp;idEvl=KK0MYmxHA45q1DdmE7eaXg%3D%3D" TargetMode="External" Id="rId1260" /><Relationship Type="http://schemas.openxmlformats.org/officeDocument/2006/relationships/hyperlink" Target="https://contrataciondelestado.es/FileSystem/servlet/GetDocumentByIdServlet?cifrado=QUC1GjXXSiLkydRHJBmbpw%3D%3D&amp;DocumentIdParam=P58Z26Ns4HsL8qFLSC2g8ZMJRApCeCu4M/ERqDSVwAx%2B4/Jh7ViKy5xnHkDjZs/HCnsIfXHRdurcRpKQs%2BDsc44SW6Bjr8HnMehsw7GcNtTDdQD9RyhUmzT4jZ2In4zL" TargetMode="External" Id="rId1261" /><Relationship Type="http://schemas.openxmlformats.org/officeDocument/2006/relationships/hyperlink" Target="https://contrataciondelestado.es/wps/poc?uri=deeplink:detalle_licitacion&amp;idEvl=s978obsrmhc3vLk2DU2Ddg%3D%3D" TargetMode="External" Id="rId1262" /><Relationship Type="http://schemas.openxmlformats.org/officeDocument/2006/relationships/hyperlink" Target="https://contrataciondelestado.es/FileSystem/servlet/GetDocumentByIdServlet?cifrado=QUC1GjXXSiLkydRHJBmbpw%3D%3D&amp;DocumentIdParam=LJ13Ga5khgjYvowFQJ6MksjQCVKgb3S4TPl0pi%2BpKLgiqQyAV6lJcuFSq1pIc4WyGNt3lnPO1H3EFnos3i/BoiFsFJXc8cfNBbu52fqWECZJOVDbGCDM%2BMigrvuVS7Rv" TargetMode="External" Id="rId1263" /><Relationship Type="http://schemas.openxmlformats.org/officeDocument/2006/relationships/hyperlink" Target="https://contrataciondelestado.es/wps/poc?uri=deeplink:detalle_licitacion&amp;idEvl=01od6Zp6%2B6H9pbnDwlaUlg%3D%3D" TargetMode="External" Id="rId1264" /><Relationship Type="http://schemas.openxmlformats.org/officeDocument/2006/relationships/hyperlink" Target="https://contrataciondelestado.es/FileSystem/servlet/GetDocumentByIdServlet?cifrado=QUC1GjXXSiLkydRHJBmbpw%3D%3D&amp;DocumentIdParam=3bJIwdBq7PkaELRYiFflsghgEB4OF513cr/YFMLg/xerkSlu4K4ZdziokY9IQy5bF8lKsD%2BhUATVKyzqpFvZxA82hXBKgyyVFM/DMyOXxg145ClyWkoJ44mKM70IFcOu" TargetMode="External" Id="rId1265" /><Relationship Type="http://schemas.openxmlformats.org/officeDocument/2006/relationships/hyperlink" Target="https://contrataciondelestado.es/wps/poc?uri=deeplink:detalle_licitacion&amp;idEvl=UUG541%2BpbYrECtSnloz%2BZQ%3D%3D" TargetMode="External" Id="rId1266"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1267" /><Relationship Type="http://schemas.openxmlformats.org/officeDocument/2006/relationships/hyperlink" Target="https://contrataciondelestado.es/wps/poc?uri=deeplink:detalle_licitacion&amp;idEvl=RcMfamf4zkAeIBJRHQiPkQ%3D%3D" TargetMode="External" Id="rId1268" /><Relationship Type="http://schemas.openxmlformats.org/officeDocument/2006/relationships/hyperlink" Target="https://contrataciondelestado.es/FileSystem/servlet/GetDocumentByIdServlet?cifrado=QUC1GjXXSiLkydRHJBmbpw%3D%3D&amp;DocumentIdParam=hXokwArjgnLJBZ0sRhk2AzneKh2mR84NT/AHlmRGgLmRU2fuMcKPF3/Ct/xcArcrEwz8wTVANMnf96lMeWnFcysPQ1YNngtXKLsmxx60Ur4C1/zDIE0Kw/PWNnLS0Z0z" TargetMode="External" Id="rId1269" /><Relationship Type="http://schemas.openxmlformats.org/officeDocument/2006/relationships/hyperlink" Target="https://contrataciondelestado.es/wps/poc?uri=deeplink:detalle_licitacion&amp;idEvl=m9DVFI6T0vJ9PLkba5eRog%3D%3D" TargetMode="External" Id="rId1270"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1271" /><Relationship Type="http://schemas.openxmlformats.org/officeDocument/2006/relationships/hyperlink" Target="https://contrataciondelestado.es/wps/poc?uri=deeplink:detalle_licitacion&amp;idEvl=nFqfS1eOUcbLIx6q1oPaMg%3D%3D" TargetMode="External" Id="rId1272"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1273" /><Relationship Type="http://schemas.openxmlformats.org/officeDocument/2006/relationships/hyperlink" Target="https://contrataciondelestado.es/wps/poc?uri=deeplink:detalle_licitacion&amp;idEvl=cwi3SLkHEu6FQ%2FlhRK79lA%3D%3D" TargetMode="External" Id="rId1274" /><Relationship Type="http://schemas.openxmlformats.org/officeDocument/2006/relationships/hyperlink" Target="https://contrataciondelestado.es/FileSystem/servlet/GetDocumentByIdServlet?cifrado=QUC1GjXXSiLkydRHJBmbpw%3D%3D&amp;DocumentIdParam=4NOq0sGdPZyckAU0h2girwjvlBrCtd4nVU9rRMVmF75NHyd24ldLjFaOPOjeGgGpVSSClbeaYjPFI39MEsO0lquOahZ4y0tul/ox7k5TTkq1aXEvq3KHa/AEHgtDrQw0" TargetMode="External" Id="rId1275" /><Relationship Type="http://schemas.openxmlformats.org/officeDocument/2006/relationships/hyperlink" Target="https://contrataciondelestado.es/wps/poc?uri=deeplink:detalle_licitacion&amp;idEvl=cuF0LwtVWF3zAq95uGTrDQ%3D%3D" TargetMode="External" Id="rId1276" /><Relationship Type="http://schemas.openxmlformats.org/officeDocument/2006/relationships/hyperlink" Target="https://contrataciondelestado.es/FileSystem/servlet/GetDocumentByIdServlet?cifrado=QUC1GjXXSiLkydRHJBmbpw%3D%3D&amp;DocumentIdParam=w3EuJEraeVvSkxz7a6RPditAqRQYxp%2Bb5AzA1FM8Obey4fA8L0f3Te7jdmhb0SUFrJlSE3HsEbnxhYQ6xnfCMDArpmARO22XPh5%2Be017oGSHAj0WEJrB5sP7amrh2jBD" TargetMode="External" Id="rId1277" /><Relationship Type="http://schemas.openxmlformats.org/officeDocument/2006/relationships/hyperlink" Target="https://contrataciondelestado.es/wps/poc?uri=deeplink:detalle_licitacion&amp;idEvl=6K67B2U2%2BXqsNfRW6APEDw%3D%3D" TargetMode="External" Id="rId1278" /><Relationship Type="http://schemas.openxmlformats.org/officeDocument/2006/relationships/hyperlink" Target="https://contrataciondelestado.es/FileSystem/servlet/GetDocumentByIdServlet?cifrado=QUC1GjXXSiLkydRHJBmbpw%3D%3D&amp;DocumentIdParam=LRPUEjS41G/%2BkkMFM7IGQvMK6jL7kj%2BepwZDkPIN3E6ZtuAa0pGbKx9lPo9%2BAydcDfNvh7hwAA9YhcEiE0uBIW4ZdXK4KqLWxff7vgp/jZOCx2e6p7hqtlp2aFupgHMr" TargetMode="External" Id="rId1279" /><Relationship Type="http://schemas.openxmlformats.org/officeDocument/2006/relationships/hyperlink" Target="https://contrataciondelestado.es/wps/poc?uri=deeplink:detalle_licitacion&amp;idEvl=3fyh6MOLIx6cTfjQf3USOg%3D%3D" TargetMode="External" Id="rId1280" /><Relationship Type="http://schemas.openxmlformats.org/officeDocument/2006/relationships/hyperlink" Target="https://contrataciondelestado.es/FileSystem/servlet/GetDocumentByIdServlet?cifrado=QUC1GjXXSiLkydRHJBmbpw%3D%3D&amp;DocumentIdParam=KaIJNEgumcejCtH0lP1flNT8W8owNG5kdGjXs7P7t5pSveuUziA0mf%2BgVL722drBrAk2geeUSPVDg79lAnfsnvbfwzoHwLMwFFtcpKah1nZ7QB3HKyQaFUExmUVQCerk" TargetMode="External" Id="rId1281" /><Relationship Type="http://schemas.openxmlformats.org/officeDocument/2006/relationships/hyperlink" Target="https://contrataciondelestado.es/wps/poc?uri=deeplink:detalle_licitacion&amp;idEvl=59lJFIybtLr5Rey58Yagpg%3D%3D" TargetMode="External" Id="rId1282"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1283" /><Relationship Type="http://schemas.openxmlformats.org/officeDocument/2006/relationships/hyperlink" Target="https://contrataciondelestado.es/wps/poc?uri=deeplink:detalle_licitacion&amp;idEvl=HryIjpPFlkl9Zh%2FyRJgM8w%3D%3D" TargetMode="External" Id="rId1284" /><Relationship Type="http://schemas.openxmlformats.org/officeDocument/2006/relationships/hyperlink" Target="https://contrataciondelestado.es/FileSystem/servlet/GetDocumentByIdServlet?cifrado=QUC1GjXXSiLkydRHJBmbpw%3D%3D&amp;DocumentIdParam=uHXCa1vI6qpshPEh32H7lzD1sx96qBD4T8OXxI89hClv6SiA2mC511V08WQz8VfNE2SmfnlBmzFA/71SYKQaheRj9cw7lwA4kEmBFjFW00/6CYyL7SIrUOBFfNf52ZqA" TargetMode="External" Id="rId1285" /><Relationship Type="http://schemas.openxmlformats.org/officeDocument/2006/relationships/hyperlink" Target="https://contrataciondelestado.es/wps/poc?uri=deeplink:detalle_licitacion&amp;idEvl=MuiGfr0PkSKopEMYCmrbmw%3D%3D" TargetMode="External" Id="rId1286" /><Relationship Type="http://schemas.openxmlformats.org/officeDocument/2006/relationships/hyperlink" Target="https://contrataciondelestado.es/FileSystem/servlet/GetDocumentByIdServlet?cifrado=QUC1GjXXSiLkydRHJBmbpw%3D%3D&amp;DocumentIdParam=U62S0TNuUVM9k3WfO8u37vP7iAidqDTxV8bMzKsDNHz8proxQZ/0kF0vjgi9q2mDZF6S7UpPhIkSeFac6e3cx1HZLfnFIQU0KcfnevZKJjiB0nvVKRzfe4rpHcnlPhSZ" TargetMode="External" Id="rId1287" /><Relationship Type="http://schemas.openxmlformats.org/officeDocument/2006/relationships/hyperlink" Target="https://contrataciondelestado.es/wps/poc?uri=deeplink:detalle_licitacion&amp;idEvl=a5EWHuSHtQN%2FR5QFTlaM4A%3D%3D" TargetMode="External" Id="rId1288" /><Relationship Type="http://schemas.openxmlformats.org/officeDocument/2006/relationships/hyperlink" Target="https://contrataciondelestado.es/wps/wcm/connect/PLACE_es/Site/area/docAccCmpnt?srv=cmpnt&amp;cmpntname=GetDocumentsById&amp;source=library&amp;DocumentIdParam=6dafda29-dab9-450a-bf79-34fbb6bc084c" TargetMode="External" Id="rId1289" /><Relationship Type="http://schemas.openxmlformats.org/officeDocument/2006/relationships/hyperlink" Target="https://contrataciondelestado.es/wps/poc?uri=deeplink:detalle_licitacion&amp;idEvl=CVlnp7VtYzc%2Bk2oCbDosIw%3D%3D" TargetMode="External" Id="rId1290" /><Relationship Type="http://schemas.openxmlformats.org/officeDocument/2006/relationships/hyperlink" Target="https://contrataciondelestado.es/FileSystem/servlet/GetDocumentByIdServlet?cifrado=QUC1GjXXSiLkydRHJBmbpw%3D%3D&amp;DocumentIdParam=CZ9sQrBnEDc83v2kq80bV7D%2ByMjC3q23DAe4sTt3DDjaZr2dd2uAw7Pb1GWm0zSC2EvtrigJNFjCBRF/tGw%2BPo6Pp4lZbfz/TdEjMBJgY3145ClyWkoJ44mKM70IFcOu" TargetMode="External" Id="rId1291" /><Relationship Type="http://schemas.openxmlformats.org/officeDocument/2006/relationships/hyperlink" Target="https://contrataciondelestado.es/wps/poc?uri=deeplink:detalle_licitacion&amp;idEvl=Us3FCCWFPM6AAM7L03kM8A%3D%3D" TargetMode="External" Id="rId1292" /><Relationship Type="http://schemas.openxmlformats.org/officeDocument/2006/relationships/hyperlink" Target="https://contrataciondelestado.es/FileSystem/servlet/GetDocumentByIdServlet?cifrado=QUC1GjXXSiLkydRHJBmbpw%3D%3D&amp;DocumentIdParam=nKpEWVDmLGEs9S6gbHMrZGWrb5Slm%2BhdYAa%2BIEDsjw8Q8vTXxTzb7g8veuAoCzkwtnQDndrz1KR0%2BENN2GzRB82aJSq4HGAJcnLgyTHJFe36CYyL7SIrUOBFfNf52ZqA" TargetMode="External" Id="rId1293" /><Relationship Type="http://schemas.openxmlformats.org/officeDocument/2006/relationships/hyperlink" Target="https://contrataciondelestado.es/wps/poc?uri=deeplink:detalle_licitacion&amp;idEvl=V80zv08EWQjzAq95uGTrDQ%3D%3D" TargetMode="External" Id="rId1294" /><Relationship Type="http://schemas.openxmlformats.org/officeDocument/2006/relationships/hyperlink" Target="https://contrataciondelestado.es/FileSystem/servlet/GetDocumentByIdServlet?cifrado=QUC1GjXXSiLkydRHJBmbpw%3D%3D&amp;DocumentIdParam=87Egb0QjuMjAd3LRQWH1n%2BZFkvQkdo0ri3DdSUUZUlh%2BixArDmBwtlOok7n1Y1dndpTw3ThcGh1472dP65sRAURC2N4uCbjq4yusQeruUMQZyAJWGsSt0OzTSTyw9JAs" TargetMode="External" Id="rId1295" /><Relationship Type="http://schemas.openxmlformats.org/officeDocument/2006/relationships/hyperlink" Target="https://contrataciondelestado.es/wps/poc?uri=deeplink:detalle_licitacion&amp;idEvl=%2Fj%2Btq1dEySwXhk1FZxEyvw%3D%3D" TargetMode="External" Id="rId1296" /><Relationship Type="http://schemas.openxmlformats.org/officeDocument/2006/relationships/hyperlink" Target="https://contrataciondelestado.es/FileSystem/servlet/GetDocumentByIdServlet?cifrado=QUC1GjXXSiLkydRHJBmbpw%3D%3D&amp;DocumentIdParam=qe2DTUAXyOWg1I5na6sHgQDlpItUrPmr7Ts5QIODRl9YnZObDPdtXPPfPwCuD8PV3K7odBPb/H0tk0PHUfEKwD%2Bf1v382ayGc3AHU7h%2BPiw//q7NB2iMZvNyf0xrJmjt" TargetMode="External" Id="rId1297" /><Relationship Type="http://schemas.openxmlformats.org/officeDocument/2006/relationships/hyperlink" Target="https://contrataciondelestado.es/wps/poc?uri=deeplink:detalle_licitacion&amp;idEvl=jplMQ9NIHYkwYTJJ03sHog%3D%3D" TargetMode="External" Id="rId1298" /><Relationship Type="http://schemas.openxmlformats.org/officeDocument/2006/relationships/hyperlink" Target="https://contrataciondelestado.es/FileSystem/servlet/GetDocumentByIdServlet?cifrado=QUC1GjXXSiLkydRHJBmbpw%3D%3D&amp;DocumentIdParam=KZLnRwEIKA9qCaFNDvJEVY1LgiXqUWKeY2UO32G3Sdd%2BUE6rZl4Avq9Qlxlj7PtHoYM7eu7wkxOdBpZyaYLKxDC2S9NvvKmMuExuhM/tOpyHAj0WEJrB5sP7amrh2jBD" TargetMode="External" Id="rId1299" /><Relationship Type="http://schemas.openxmlformats.org/officeDocument/2006/relationships/hyperlink" Target="https://contrataciondelestado.es/wps/poc?uri=deeplink:detalle_licitacion&amp;idEvl=eMMmVynWf2ydkQsA7ROvsg%3D%3D" TargetMode="External" Id="rId1300" /><Relationship Type="http://schemas.openxmlformats.org/officeDocument/2006/relationships/hyperlink" Target="https://contrataciondelestado.es/FileSystem/servlet/GetDocumentByIdServlet?cifrado=QUC1GjXXSiLkydRHJBmbpw%3D%3D&amp;DocumentIdParam=aB18pFXB4IgNXISXNepwDue5DVXFVE0A9btZ4bgqTLHQpi1CClspqY53CiA8zv9REywahQMr0mqrSXQQAXCQvu/uoo//YuhMspK7wp9nWe145ClyWkoJ44mKM70IFcOu" TargetMode="External" Id="rId1301" /><Relationship Type="http://schemas.openxmlformats.org/officeDocument/2006/relationships/hyperlink" Target="https://contrataciondelestado.es/wps/poc?uri=deeplink:detalle_licitacion&amp;idEvl=aDIiO4grF1pVYjgxA4nMUw%3D%3D" TargetMode="External" Id="rId1302" /><Relationship Type="http://schemas.openxmlformats.org/officeDocument/2006/relationships/hyperlink" Target="https://contrataciondelestado.es/FileSystem/servlet/GetDocumentByIdServlet?cifrado=QUC1GjXXSiLkydRHJBmbpw%3D%3D&amp;DocumentIdParam=Bm1bESbxpxhGe7BPVUg1/IudNFWy0fNp6eU7TqBSkuEB3NaT%2BMqcNLLHkYBQRecNG%2BjP3vM7JPWPp0KGbc%2ByDzkglb1furAA5MUeVvvF%2Bn61aXEvq3KHa/AEHgtDrQw0" TargetMode="External" Id="rId1303" /><Relationship Type="http://schemas.openxmlformats.org/officeDocument/2006/relationships/hyperlink" Target="https://contrataciondelestado.es/wps/poc?uri=deeplink:detalle_licitacion&amp;idEvl=kx1d%2FIsnP8v5Rey58Yagpg%3D%3D" TargetMode="External" Id="rId1304" /><Relationship Type="http://schemas.openxmlformats.org/officeDocument/2006/relationships/hyperlink" Target="https://contrataciondelestado.es/FileSystem/servlet/GetDocumentByIdServlet?cifrado=QUC1GjXXSiLkydRHJBmbpw%3D%3D&amp;DocumentIdParam=sk6A5Ic5chM8XOdBlSj9yhiazCXkd9FJCHDklPFUxbrTM9a%2B3gFeuGOh2SwxDohOk7rR/CwhxviAqE3PN/xDqh91yktfGWCJGXCHgYEdIv9JOVDbGCDM%2BMigrvuVS7Rv" TargetMode="External" Id="rId1305" /><Relationship Type="http://schemas.openxmlformats.org/officeDocument/2006/relationships/hyperlink" Target="https://contrataciondelestado.es/wps/poc?uri=deeplink:detalle_licitacion&amp;idEvl=I9L%2FPpoa9at4zIRvjBVCSw%3D%3D" TargetMode="External" Id="rId1306" /><Relationship Type="http://schemas.openxmlformats.org/officeDocument/2006/relationships/hyperlink" Target="https://contrataciondelestado.es/FileSystem/servlet/GetDocumentByIdServlet?cifrado=QUC1GjXXSiLkydRHJBmbpw%3D%3D&amp;DocumentIdParam=gZLIRagTBsSd%2B9QIjDzlp0p0mrTqHJbqS6y9u0KT1I9DIKucawR8PwZNf9ImUPHTPpP%2BSTc3nVKrzhuQMu5LU5nqLZ62D8S1aeUrDH24objDdQD9RyhUmzT4jZ2In4zL" TargetMode="External" Id="rId1307" /><Relationship Type="http://schemas.openxmlformats.org/officeDocument/2006/relationships/hyperlink" Target="https://contrataciondelestado.es/wps/poc?uri=deeplink:detalle_licitacion&amp;idEvl=UDmOA6kVFZSkU02jNGj1Fw%3D%3D" TargetMode="External" Id="rId1308" /><Relationship Type="http://schemas.openxmlformats.org/officeDocument/2006/relationships/hyperlink" Target="https://contrataciondelestado.es/FileSystem/servlet/GetDocumentByIdServlet?cifrado=QUC1GjXXSiLkydRHJBmbpw%3D%3D&amp;DocumentIdParam=M8q1PrJPgtDTgx/mH6jaqxiiDZ3pJEI/VLXlp32Mjc/8OaSfCXXt%2BAbhlRfoWyW0LFF4EZmAFRCc8AVECar2YglyyDdWN/QvgB6wh3AhGo8C1/zDIE0Kw/PWNnLS0Z0z" TargetMode="External" Id="rId1309" /><Relationship Type="http://schemas.openxmlformats.org/officeDocument/2006/relationships/hyperlink" Target="https://contrataciondelestado.es/wps/poc?uri=deeplink:detalle_licitacion&amp;idEvl=cH%2BOZlpbz1n%2B3JAijKO%2Bkg%3D%3D" TargetMode="External" Id="rId1310" /><Relationship Type="http://schemas.openxmlformats.org/officeDocument/2006/relationships/hyperlink" Target="https://contrataciondelestado.es/FileSystem/servlet/GetDocumentByIdServlet?cifrado=QUC1GjXXSiLkydRHJBmbpw%3D%3D&amp;DocumentIdParam=Xdpg5vNa1N/IMlIMTH0VWqr7rZ7g1SrTAHgC8w30nvk%2BqoHzFYFizEf14vymyk351YyA/GmEerI56jP2kK/HaO9bbJsyVDaS3cCYQY2Vz0OHAj0WEJrB5sP7amrh2jBD" TargetMode="External" Id="rId1311" /><Relationship Type="http://schemas.openxmlformats.org/officeDocument/2006/relationships/hyperlink" Target="https://contrataciondelestado.es/wps/poc?uri=deeplink:detalle_licitacion&amp;idEvl=5QTLF8VFRpGExvMJXBMHHQ%3D%3D" TargetMode="External" Id="rId1312" /><Relationship Type="http://schemas.openxmlformats.org/officeDocument/2006/relationships/hyperlink" Target="https://contrataciondelestado.es/FileSystem/servlet/GetDocumentByIdServlet?cifrado=QUC1GjXXSiLkydRHJBmbpw%3D%3D&amp;DocumentIdParam=TA2AilHejXMghwnJQIcA01SmUY79Vog3OVcsuc1LLbGsMBRAfkUQ5Xljf61fDffSDBzGodi8SxcHzDwK/GQ9iJneccVkGzCddvBPtGbJb0vfdyQgZAdTm3EfcUAC7CJ6" TargetMode="External" Id="rId1313" /><Relationship Type="http://schemas.openxmlformats.org/officeDocument/2006/relationships/hyperlink" Target="https://contrataciondelestado.es/wps/poc?uri=deeplink:detalle_licitacion&amp;idEvl=HU3OXTdR%2F9o2wEhQbcAqug%3D%3D" TargetMode="External" Id="rId1314" /><Relationship Type="http://schemas.openxmlformats.org/officeDocument/2006/relationships/hyperlink" Target="https://contrataciondelestado.es/FileSystem/servlet/GetDocumentByIdServlet?cifrado=QUC1GjXXSiLkydRHJBmbpw%3D%3D&amp;DocumentIdParam=VuO4lVLNm%2BdWG31sTsPmv/ZaM12lLkOTHkgWCZQ3a7fQatN9cLRTm5oaESBmki75HRBVdNsomZ94dT0UAm7t66LlwfQoFy1Y8O2PL4FASZP3GVhXrFFqN7yFncy7YfRK" TargetMode="External" Id="rId1315" /><Relationship Type="http://schemas.openxmlformats.org/officeDocument/2006/relationships/hyperlink" Target="https://contrataciondelestado.es/wps/poc?uri=deeplink:detalle_licitacion&amp;idEvl=b9F4Bpc6ioht5r0ngvMetA%3D%3D" TargetMode="External" Id="rId1316" /><Relationship Type="http://schemas.openxmlformats.org/officeDocument/2006/relationships/hyperlink" Target="https://contrataciondelestado.es/FileSystem/servlet/GetDocumentByIdServlet?cifrado=QUC1GjXXSiLkydRHJBmbpw%3D%3D&amp;DocumentIdParam=a1NwsmOJt77tBVSTLw6ROCWWCk87gMKPrmobfRsWNnz0MVHFN8QLgD54DxGeemc7tPGxUYDp0Y6RlmmVV36HrdBEYHDBHNFJxr46rcxfE/mB0nvVKRzfe4rpHcnlPhSZ" TargetMode="External" Id="rId1317" /><Relationship Type="http://schemas.openxmlformats.org/officeDocument/2006/relationships/hyperlink" Target="https://contrataciondelestado.es/wps/poc?uri=deeplink:detalle_licitacion&amp;idEvl=1hIALmlZvK%2BS81gZFETWmA%3D%3D" TargetMode="External" Id="rId1318" /><Relationship Type="http://schemas.openxmlformats.org/officeDocument/2006/relationships/hyperlink" Target="https://contrataciondelestado.es/FileSystem/servlet/GetDocumentByIdServlet?cifrado=QUC1GjXXSiLkydRHJBmbpw%3D%3D&amp;DocumentIdParam=L/8lYKqp8sUMyNYrbQeQnsftHoTMTghQoOoeR1ONIIHJffF7ySnIePYzE92Sn%2BzLTnNbaK6v0DitJlX5fhtKWi38N1lNU9W%2BSAX/7qTodSSCx2e6p7hqtlp2aFupgHMr" TargetMode="External" Id="rId1319" /><Relationship Type="http://schemas.openxmlformats.org/officeDocument/2006/relationships/hyperlink" Target="https://contrataciondelestado.es/wps/poc?uri=deeplink:detalle_licitacion&amp;idEvl=QUBy0%2FwQjLUadbH3CysQuQ%3D%3D" TargetMode="External" Id="rId1320" /><Relationship Type="http://schemas.openxmlformats.org/officeDocument/2006/relationships/hyperlink" Target="https://contrataciondelestado.es/FileSystem/servlet/GetDocumentByIdServlet?cifrado=QUC1GjXXSiLkydRHJBmbpw%3D%3D&amp;DocumentIdParam=FizOu4Kg%2BW6hJU3PYt9%2BTWha0tG4wB2EKqTtRwclnWNzAJ0MgB4X//n6luhx90V1o6nWasQgVE5Q24tUpLPCkzO0xi1AchtZjc4ayZVYdvbDdQD9RyhUmzT4jZ2In4zL" TargetMode="External" Id="rId1321" /><Relationship Type="http://schemas.openxmlformats.org/officeDocument/2006/relationships/hyperlink" Target="https://contrataciondelestado.es/wps/poc?uri=deeplink:detalle_licitacion&amp;idEvl=2yXCdpseY5ceIBJRHQiPkQ%3D%3D" TargetMode="External" Id="rId1322"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1323" /><Relationship Type="http://schemas.openxmlformats.org/officeDocument/2006/relationships/hyperlink" Target="https://contrataciondelestado.es/wps/poc?uri=deeplink:detalle_licitacion&amp;idEvl=zwRzOZ4Wx4GP%2Bo96UAV7cQ%3D%3D" TargetMode="External" Id="rId1324" /><Relationship Type="http://schemas.openxmlformats.org/officeDocument/2006/relationships/hyperlink" Target="https://contrataciondelestado.es/FileSystem/servlet/GetDocumentByIdServlet?cifrado=QUC1GjXXSiLkydRHJBmbpw%3D%3D&amp;DocumentIdParam=SzmoDhNmuwktbMW9MT9myFWt3Fc7uUQz3TOnjquBgbrkIX2YaENybeVnEU1uQptBGOeDta4tg7Pof%2BrS9KgXJfNbAauMAO2vc16MfYes/b/3GVhXrFFqN7yFncy7YfRK" TargetMode="External" Id="rId1325" /><Relationship Type="http://schemas.openxmlformats.org/officeDocument/2006/relationships/hyperlink" Target="https://contrataciondelestado.es/wps/poc?uri=deeplink:detalle_licitacion&amp;idEvl=bkt9Ze7zc8US7pcxhTeWOg%3D%3D" TargetMode="External" Id="rId1326" /><Relationship Type="http://schemas.openxmlformats.org/officeDocument/2006/relationships/hyperlink" Target="https://contrataciondelestado.es/FileSystem/servlet/GetDocumentByIdServlet?cifrado=QUC1GjXXSiLkydRHJBmbpw%3D%3D&amp;DocumentIdParam=%2BiTNOd4VVMEK3n1rjMH9yqkWdQQOegY/%2B7qivuF0UDSzibHq1JlGPRiE1ZZd6oQK/PNm8sBA8r29lysxt0/Z45GBL6i7zDYTTfqJ%2BWLOc7uHAj0WEJrB5sP7amrh2jBD" TargetMode="External" Id="rId1327" /><Relationship Type="http://schemas.openxmlformats.org/officeDocument/2006/relationships/hyperlink" Target="https://contrataciondelestado.es/wps/poc?uri=deeplink:detalle_licitacion&amp;idEvl=Kvi%2FkBMm32%2BcCF8sV%2BqtYA%3D%3D" TargetMode="External" Id="rId1328" /><Relationship Type="http://schemas.openxmlformats.org/officeDocument/2006/relationships/hyperlink" Target="https://contrataciondelestado.es/FileSystem/servlet/GetDocumentByIdServlet?cifrado=QUC1GjXXSiLkydRHJBmbpw%3D%3D&amp;DocumentIdParam=YT6JPBSl4vzEdmckXX0fDM3g1AYBoSu8wvIZyywd4ETL8XgpOB6y0WonaJ1EgzuQPSGdOPVfL2JrtoX76bVbv3MB0f%2BsEPPMHXXoe6UPsL36CYyL7SIrUOBFfNf52ZqA" TargetMode="External" Id="rId1329" /><Relationship Type="http://schemas.openxmlformats.org/officeDocument/2006/relationships/hyperlink" Target="https://contrataciondelestado.es/wps/poc?uri=deeplink:detalle_licitacion&amp;idEvl=oCjY4l4eX8pSYrkJkLlFdw%3D%3D" TargetMode="External" Id="rId1330"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1331" /><Relationship Type="http://schemas.openxmlformats.org/officeDocument/2006/relationships/hyperlink" Target="https://contrataciondelestado.es/wps/poc?uri=deeplink:detalle_licitacion&amp;idEvl=EG%2BzfVpK%2FyaHCIsjvJ3rhQ%3D%3D" TargetMode="External" Id="rId1332" /><Relationship Type="http://schemas.openxmlformats.org/officeDocument/2006/relationships/hyperlink" Target="https://contrataciondelestado.es/FileSystem/servlet/GetDocumentByIdServlet?cifrado=QUC1GjXXSiLkydRHJBmbpw%3D%3D&amp;DocumentIdParam=H/0OhLwqB8Yj8P1TC9VOeZsI/4kNd8OkgTOx4RnhtufO4BOmpJtjewYYz4OO/yKEVOFc6wyLjQqEcPtoCpR8VWXlNoSkdfAZ7gfXCMjIjTcZyAJWGsSt0OzTSTyw9JAs" TargetMode="External" Id="rId1333" /><Relationship Type="http://schemas.openxmlformats.org/officeDocument/2006/relationships/hyperlink" Target="https://contrataciondelestado.es/wps/poc?uri=deeplink:detalle_licitacion&amp;idEvl=Ym4Ny35hlJk3vLk2DU2Ddg%3D%3D" TargetMode="External" Id="rId1334" /><Relationship Type="http://schemas.openxmlformats.org/officeDocument/2006/relationships/hyperlink" Target="https://contrataciondelestado.es/FileSystem/servlet/GetDocumentByIdServlet?cifrado=QUC1GjXXSiLkydRHJBmbpw%3D%3D&amp;DocumentIdParam=w3BvdXw/E7ybK5xx867N7Dich91X1XnpCsXJ91ma3Hl/waSxZ2lOSI0friCmD/lqj6MU2bKbui9VIN5oMxdEMHeYd%2Bhkx1ZP%2BLi3auYuQiQ//q7NB2iMZvNyf0xrJmjt" TargetMode="External" Id="rId1335" /><Relationship Type="http://schemas.openxmlformats.org/officeDocument/2006/relationships/hyperlink" Target="https://contrataciondelestado.es/wps/poc?uri=deeplink:detalle_licitacion&amp;idEvl=tZjJedjeGcEaF6cS8TCh%2FA%3D%3D" TargetMode="External" Id="rId1336"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1337" /><Relationship Type="http://schemas.openxmlformats.org/officeDocument/2006/relationships/hyperlink" Target="https://contrataciondelestado.es/wps/poc?uri=deeplink:detalle_licitacion&amp;idEvl=2TCWn5fTIu87u6%2B%2FR7DUoA%3D%3D" TargetMode="External" Id="rId1338" /><Relationship Type="http://schemas.openxmlformats.org/officeDocument/2006/relationships/hyperlink" Target="https://contrataciondelestado.es/FileSystem/servlet/GetDocumentByIdServlet?cifrado=QUC1GjXXSiLkydRHJBmbpw%3D%3D&amp;DocumentIdParam=/7MIDU/htOuJjTJr/weagrKsRMcomnZH4qP9chcvPP8823HcjREmGDLQPRQQZmafifiF2YtxF0ug0DeV3mKhthXHU3EkZGCMcBdO236uIRb3GVhXrFFqN7yFncy7YfRK" TargetMode="External" Id="rId1339" /><Relationship Type="http://schemas.openxmlformats.org/officeDocument/2006/relationships/hyperlink" Target="https://contrataciondelestado.es/wps/poc?uri=deeplink:detalle_licitacion&amp;idEvl=nQjFTgc2iw2LAncw3qdZkA%3D%3D" TargetMode="External" Id="rId1340"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1341" /><Relationship Type="http://schemas.openxmlformats.org/officeDocument/2006/relationships/hyperlink" Target="https://contrataciondelestado.es/wps/poc?uri=deeplink:detalle_licitacion&amp;idEvl=93vE308pW1WOUi78BmzhOQ%3D%3D" TargetMode="External" Id="rId1342" /><Relationship Type="http://schemas.openxmlformats.org/officeDocument/2006/relationships/hyperlink" Target="https://contrataciondelestado.es/FileSystem/servlet/GetDocumentByIdServlet?cifrado=QUC1GjXXSiLkydRHJBmbpw%3D%3D&amp;DocumentIdParam=MyA0dRlfiD8hCODS1EzEP%2B70f291GrgMnN/6TNPpwVFjyqbwIy1%2BmsQ1uZd5LfB%2BP/cqHyCMOoGxie4MtC0x3vRPB9MB2Dq0sQpFmOH79nx7QB3HKyQaFUExmUVQCerk" TargetMode="External" Id="rId1343" /><Relationship Type="http://schemas.openxmlformats.org/officeDocument/2006/relationships/hyperlink" Target="https://contrataciondelestado.es/wps/poc?uri=deeplink:detalle_licitacion&amp;idEvl=NdbesGdv%2Bs2S81gZFETWmA%3D%3D" TargetMode="External" Id="rId1344"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1345" /><Relationship Type="http://schemas.openxmlformats.org/officeDocument/2006/relationships/hyperlink" Target="https://contrataciondelestado.es/wps/poc?uri=deeplink:detalle_licitacion&amp;idEvl=yJxjIVLcIbNQFSeKCRun4Q%3D%3D" TargetMode="External" Id="rId1346" /><Relationship Type="http://schemas.openxmlformats.org/officeDocument/2006/relationships/hyperlink" Target="https://contrataciondelestado.es/FileSystem/servlet/GetDocumentByIdServlet?cifrado=QUC1GjXXSiLkydRHJBmbpw%3D%3D&amp;DocumentIdParam=6lqe4OIZJ2Ao46bJM/qVQ4OGQL8HtMhq90nP3Q1Wsnh%2B1HImgb/8Iyynt9dZnWKCa55jM2VpQeK6Nh2ii1VDeGl4K4aKC2dNi1HM7SqrTBeCx2e6p7hqtlp2aFupgHMr" TargetMode="External" Id="rId1347" /><Relationship Type="http://schemas.openxmlformats.org/officeDocument/2006/relationships/hyperlink" Target="https://contrataciondelestado.es/wps/poc?uri=deeplink:detalle_licitacion&amp;idEvl=Dh2D9o1t2uk%2FbjW6njtWLw%3D%3D" TargetMode="External" Id="rId1348"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1349" /><Relationship Type="http://schemas.openxmlformats.org/officeDocument/2006/relationships/hyperlink" Target="https://contrataciondelestado.es/wps/poc?uri=deeplink:detalle_licitacion&amp;idEvl=N1pHBwwtQIadkQsA7ROvsg%3D%3D" TargetMode="External" Id="rId1350" /><Relationship Type="http://schemas.openxmlformats.org/officeDocument/2006/relationships/hyperlink" Target="https://contrataciondelestado.es/FileSystem/servlet/GetDocumentByIdServlet?cifrado=QUC1GjXXSiLkydRHJBmbpw%3D%3D&amp;DocumentIdParam=onzoy8RPPNgSxe%2BFUjdkt4alTlD2hujVt5GQ8QSsoZHLuw1CPnUNiloizJj7CaVs4rtgTwK5FoXacV/bis9sOFPRDmzAvHkX6eQwDMxRUEvfdyQgZAdTm3EfcUAC7CJ6" TargetMode="External" Id="rId1351" /><Relationship Type="http://schemas.openxmlformats.org/officeDocument/2006/relationships/hyperlink" Target="https://contrataciondelestado.es/wps/poc?uri=deeplink:detalle_licitacion&amp;idEvl=1MNFmaXQTD2dkQsA7ROvsg%3D%3D" TargetMode="External" Id="rId1352" /><Relationship Type="http://schemas.openxmlformats.org/officeDocument/2006/relationships/hyperlink" Target="https://contrataciondelestado.es/FileSystem/servlet/GetDocumentByIdServlet?cifrado=QUC1GjXXSiLkydRHJBmbpw%3D%3D&amp;DocumentIdParam=JOdRJ1/C5y5x0485nlpZnVVzx5PvhD%2BbpWXYWr6uRWpGcmW%2BgIIFdntByWLcPNfOZJTOwTSUxQX5Xiifl8a0GNXuJ87rzrLoPPY0gYyBTSXVTD3T98KC0nSgQFM0q%2B5s" TargetMode="External" Id="rId1353" /><Relationship Type="http://schemas.openxmlformats.org/officeDocument/2006/relationships/hyperlink" Target="https://contrataciondelestado.es/wps/poc?uri=deeplink:detalle_licitacion&amp;idEvl=S%2FOWxmU59LqGCFcHcNGIlQ%3D%3D" TargetMode="External" Id="rId1354" /><Relationship Type="http://schemas.openxmlformats.org/officeDocument/2006/relationships/hyperlink" Target="https://contrataciondelestado.es/FileSystem/servlet/GetDocumentByIdServlet?cifrado=QUC1GjXXSiLkydRHJBmbpw%3D%3D&amp;DocumentIdParam=PCJFlpt0AaICR/HkYqbqu1bPrvsft/nWR42xTI0TmdieFW2vJ05k4EJuUcdmL1hPsUz3i/ouQdol3GuSBYVbWNEsqoF3Dd5aC8OeYnKnGDcZyAJWGsSt0OzTSTyw9JAs" TargetMode="External" Id="rId1355" /><Relationship Type="http://schemas.openxmlformats.org/officeDocument/2006/relationships/hyperlink" Target="https://contrataciondelestado.es/wps/poc?uri=deeplink:detalle_licitacion&amp;idEvl=zAXpYiFYfW%2BTylGzYmBF9Q%3D%3D" TargetMode="External" Id="rId1356" /><Relationship Type="http://schemas.openxmlformats.org/officeDocument/2006/relationships/hyperlink" Target="https://contrataciondelestado.es/FileSystem/servlet/GetDocumentByIdServlet?cifrado=QUC1GjXXSiLkydRHJBmbpw%3D%3D&amp;DocumentIdParam=E3mdZ6OemB6tJ8oZYs4JQxMRsQpW6IwW0V9/HpeNrCfJYb6LfqPrhrrVjdRQ3uw5bvWMyHta3gmrZRGKxGevHUJOOXlVCKxo48ZkSReE6AWB0nvVKRzfe4rpHcnlPhSZ" TargetMode="External" Id="rId1357" /><Relationship Type="http://schemas.openxmlformats.org/officeDocument/2006/relationships/hyperlink" Target="https://contrataciondelestado.es/wps/poc?uri=deeplink:detalle_licitacion&amp;idEvl=ayDPxFgjkIk3vLk2DU2Ddg%3D%3D" TargetMode="External" Id="rId1358" /><Relationship Type="http://schemas.openxmlformats.org/officeDocument/2006/relationships/hyperlink" Target="https://contrataciondelestado.es/FileSystem/servlet/GetDocumentByIdServlet?cifrado=QUC1GjXXSiLkydRHJBmbpw%3D%3D&amp;DocumentIdParam=wP62GvtzBGCLxLK2KyoeGbyJ5USiulRXtV%2BEGEGL2vmVQgDGD0bO98mxBm%2BR6V8PmvDQgLnB1HlBsAF5OJR099gyZjSva0TInNE3KbMNOsWB0nvVKRzfe4rpHcnlPhSZ" TargetMode="External" Id="rId1359" /><Relationship Type="http://schemas.openxmlformats.org/officeDocument/2006/relationships/hyperlink" Target="https://contrataciondelestado.es/wps/poc?uri=deeplink:detalle_licitacion&amp;idEvl=vff2%2BpnCxuqopEMYCmrbmw%3D%3D" TargetMode="External" Id="rId1360" /><Relationship Type="http://schemas.openxmlformats.org/officeDocument/2006/relationships/hyperlink" Target="https://contrataciondelestado.es/FileSystem/servlet/GetDocumentByIdServlet?cifrado=QUC1GjXXSiLkydRHJBmbpw%3D%3D&amp;DocumentIdParam=mwEwjpzAqO/wkHc%2BB/eTCySwzicd6xpNX0dj1JMJQiAzBVDhwDnTobH%2BjB9oNCgeEsLTnUJoxrhto0cyqzqiEqBQUa2B4kQPIHw7nOA5c4z3GVhXrFFqN7yFncy7YfRK" TargetMode="External" Id="rId1361" /><Relationship Type="http://schemas.openxmlformats.org/officeDocument/2006/relationships/hyperlink" Target="https://contrataciondelestado.es/wps/poc?uri=deeplink:detalle_licitacion&amp;idEvl=LoDAPDg99ew2wEhQbcAqug%3D%3D" TargetMode="External" Id="rId1362" /><Relationship Type="http://schemas.openxmlformats.org/officeDocument/2006/relationships/hyperlink" Target="https://contrataciondelestado.es/FileSystem/servlet/GetDocumentByIdServlet?cifrado=QUC1GjXXSiLkydRHJBmbpw%3D%3D&amp;DocumentIdParam=/BpvTyl/lOZLWSmbtMaWIyJyH%2Bd7pXD9LUsaO7Q0761uNWdgBGvVpLA9NwIQuoMQOo54T8UZBEN0hVwBNTT8vqH7v%2BsCwSnT/ywYLPfZG%2BiHAj0WEJrB5sP7amrh2jBD" TargetMode="External" Id="rId1363" /><Relationship Type="http://schemas.openxmlformats.org/officeDocument/2006/relationships/hyperlink" Target="https://contrataciondelestado.es/wps/poc?uri=deeplink:detalle_licitacion&amp;idEvl=i2napjsxTibE6P%2FuLemXRw%3D%3D" TargetMode="External" Id="rId1364"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365" /><Relationship Type="http://schemas.openxmlformats.org/officeDocument/2006/relationships/hyperlink" Target="https://contrataciondelestado.es/wps/poc?uri=deeplink:detalle_licitacion&amp;idEvl=7f3dvyBHu%2Bmqb7rCcv76BA%3D%3D" TargetMode="External" Id="rId1366" /><Relationship Type="http://schemas.openxmlformats.org/officeDocument/2006/relationships/hyperlink" Target="https://contrataciondelestado.es/FileSystem/servlet/GetDocumentByIdServlet?cifrado=QUC1GjXXSiLkydRHJBmbpw%3D%3D&amp;DocumentIdParam=J9u/yd16g4mGNDJAX43x0MbIG%2Bk4Fy8O9GEcXlkfMYqqfoHeq0/HhjFDBil4wmGWf2CzlmJe4cj2EXyasovn%2BuWRAyhBcFDAIyp14ef6mQw//q7NB2iMZvNyf0xrJmjt" TargetMode="External" Id="rId1367" /><Relationship Type="http://schemas.openxmlformats.org/officeDocument/2006/relationships/hyperlink" Target="https://contrataciondelestado.es/wps/poc?uri=deeplink:detalle_licitacion&amp;idEvl=vq7m%2FeEpKmlq1DdmE7eaXg%3D%3D" TargetMode="External" Id="rId1368" /><Relationship Type="http://schemas.openxmlformats.org/officeDocument/2006/relationships/hyperlink" Target="https://contrataciondelestado.es/FileSystem/servlet/GetDocumentByIdServlet?cifrado=QUC1GjXXSiLkydRHJBmbpw%3D%3D&amp;DocumentIdParam=swyK/co06cTythpyqdhFzIwfKRKR62fn73A4oUc03Cl3sUa2%2B4uRwPpEdhPINv3RNgEhI7kaqhLVUjVzL5yQBIbu85iydM2OpFuvC9U%2BIMIC1/zDIE0Kw/PWNnLS0Z0z" TargetMode="External" Id="rId1369" /><Relationship Type="http://schemas.openxmlformats.org/officeDocument/2006/relationships/hyperlink" Target="https://contrataciondelestado.es/wps/poc?uri=deeplink:detalle_licitacion&amp;idEvl=urCqKXpPMfl70UvEyYJSGw%3D%3D" TargetMode="External" Id="rId1370"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1371" /><Relationship Type="http://schemas.openxmlformats.org/officeDocument/2006/relationships/hyperlink" Target="https://contrataciondelestado.es/wps/poc?uri=deeplink:detalle_licitacion&amp;idEvl=Qs3bfEOT6vN9Zh%2FyRJgM8w%3D%3D" TargetMode="External" Id="rId1372" /><Relationship Type="http://schemas.openxmlformats.org/officeDocument/2006/relationships/hyperlink" Target="https://contrataciondelestado.es/FileSystem/servlet/GetDocumentByIdServlet?cifrado=QUC1GjXXSiLkydRHJBmbpw%3D%3D&amp;DocumentIdParam=8%2BNy/zDb/c/n7TsJ/CfYuyTvMOT/LB0M8jDx%2BH5T1PZFoOXTMCCXV8mC9itOAicipK965dqFR8igrbEkK8nHyxmBq9uylVyvRt7R/weCDZoZyAJWGsSt0OzTSTyw9JAs" TargetMode="External" Id="rId1373" /><Relationship Type="http://schemas.openxmlformats.org/officeDocument/2006/relationships/hyperlink" Target="https://contrataciondelestado.es/wps/poc?uri=deeplink:detalle_licitacion&amp;idEvl=OItI7%2Fjf7KmS81gZFETWmA%3D%3D" TargetMode="External" Id="rId1374" /><Relationship Type="http://schemas.openxmlformats.org/officeDocument/2006/relationships/hyperlink" Target="https://contrataciondelestado.es/FileSystem/servlet/GetDocumentByIdServlet?cifrado=QUC1GjXXSiLkydRHJBmbpw%3D%3D&amp;DocumentIdParam=ybjCKs4004jNQ01mm76RW%2BD/557eNNUN%2B8vO%2BxyztmjKab9uXUFE2OyrtyeVrgmA920u/Ur11CYh6uvh7l0Ot2BzFlw5QWx9tHgRQUJQ%2BXLDdQD9RyhUmzT4jZ2In4zL" TargetMode="External" Id="rId1375" /><Relationship Type="http://schemas.openxmlformats.org/officeDocument/2006/relationships/hyperlink" Target="https://contrataciondelestado.es/wps/poc?uri=deeplink:detalle_licitacion&amp;idEvl=dnYuaFwk%2BgecCF8sV%2BqtYA%3D%3D" TargetMode="External" Id="rId1376" /><Relationship Type="http://schemas.openxmlformats.org/officeDocument/2006/relationships/hyperlink" Target="https://contrataciondelestado.es/FileSystem/servlet/GetDocumentByIdServlet?cifrado=QUC1GjXXSiLkydRHJBmbpw%3D%3D&amp;DocumentIdParam=GneVU/zz0Z%2B51%2B3rmaea1R05LxK8vEFth/OXCIzj4q%2BMo/vqez0qZ8uTYGWMQH84LA2%2BKVFB6hvYCv4%2BczBvS1mqt3dLwTgTG/hEqSM%2BWfl7QB3HKyQaFUExmUVQCerk" TargetMode="External" Id="rId1377" /><Relationship Type="http://schemas.openxmlformats.org/officeDocument/2006/relationships/hyperlink" Target="https://contrataciondelestado.es/wps/poc?uri=deeplink:detalle_licitacion&amp;idEvl=F3Ph8WshBHfL1rX3q%2FMAPA%3D%3D" TargetMode="External" Id="rId1378"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1379" /><Relationship Type="http://schemas.openxmlformats.org/officeDocument/2006/relationships/hyperlink" Target="https://contrataciondelestado.es/wps/poc?uri=deeplink:detalle_licitacion&amp;idEvl=jWWAoS5HeZLXOjazN1Dw9Q%3D%3D" TargetMode="External" Id="rId1380" /><Relationship Type="http://schemas.openxmlformats.org/officeDocument/2006/relationships/hyperlink" Target="https://contrataciondelestado.es/FileSystem/servlet/GetDocumentByIdServlet?cifrado=QUC1GjXXSiLkydRHJBmbpw%3D%3D&amp;DocumentIdParam=wjCDoocgJyIn%2Bw/MlXt0NjUFd4rUJA1jEj3wU6yFudCAaudytzYZRjtbhu8e0nsgOO/a/uG858OLOCZL5VxMEONkOl7B41CQNmQPpzrqvmHDdQD9RyhUmzT4jZ2In4zL" TargetMode="External" Id="rId1381" /><Relationship Type="http://schemas.openxmlformats.org/officeDocument/2006/relationships/hyperlink" Target="https://contrataciondelestado.es/wps/poc?uri=deeplink:detalle_licitacion&amp;idEvl=bR%2F7iTUxy2jE6P%2FuLemXRw%3D%3D" TargetMode="External" Id="rId1382" /><Relationship Type="http://schemas.openxmlformats.org/officeDocument/2006/relationships/hyperlink" Target="https://contrataciondelestado.es/FileSystem/servlet/GetDocumentByIdServlet?cifrado=QUC1GjXXSiLkydRHJBmbpw%3D%3D&amp;DocumentIdParam=M2pPcULggUqQOiFiXeyNHQRKTQK7JdHkMswbvnMCXXAS68iJcSLDIjVxlkv22ksW8A4X8%2BZxUhHPwPnW9Oxy59/M96Uxjh/9AHk/Xg14EN2Cx2e6p7hqtlp2aFupgHMr" TargetMode="External" Id="rId1383" /><Relationship Type="http://schemas.openxmlformats.org/officeDocument/2006/relationships/hyperlink" Target="https://contrataciondelestado.es/wps/poc?uri=deeplink:detalle_licitacion&amp;idEvl=%2FwGdz3Y30%2Bs%2FbjW6njtWLw%3D%3D" TargetMode="External" Id="rId1384" /><Relationship Type="http://schemas.openxmlformats.org/officeDocument/2006/relationships/hyperlink" Target="https://contrataciondelestado.es/FileSystem/servlet/GetDocumentByIdServlet?cifrado=QUC1GjXXSiLkydRHJBmbpw%3D%3D&amp;DocumentIdParam=aEzlPwvcDgGlCYMpyqxNdH1dT7U9r3O8ETwIon2kzuU1kMx/DvV2Lnax08xVJ9Ic9SBDIeU4L37p5LhIDU9x389uNc9rL47DKCHnYsSWW1PDdQD9RyhUmzT4jZ2In4zL" TargetMode="External" Id="rId1385" /><Relationship Type="http://schemas.openxmlformats.org/officeDocument/2006/relationships/hyperlink" Target="https://contrataciondelestado.es/wps/poc?uri=deeplink:detalle_licitacion&amp;idEvl=%2FyAtQAvRMswl5NjlNci%2BtA%3D%3D" TargetMode="External" Id="rId1386" /><Relationship Type="http://schemas.openxmlformats.org/officeDocument/2006/relationships/hyperlink" Target="https://contrataciondelestado.es/FileSystem/servlet/GetDocumentByIdServlet?cifrado=QUC1GjXXSiLkydRHJBmbpw%3D%3D&amp;DocumentIdParam=M%2BwAgRprBMpnbfAFwgplT%2BvzFJyXxcDDuG3GKJL/pyHz%2BibnOB6duRwxYBOywNO3bqNJqS5wEKJ4Kgu3qyrowX5aSxuOhNcsR7K8rtUJVN6B0nvVKRzfe4rpHcnlPhSZ" TargetMode="External" Id="rId1387" /><Relationship Type="http://schemas.openxmlformats.org/officeDocument/2006/relationships/hyperlink" Target="https://contrataciondelestado.es/wps/poc?uri=deeplink:detalle_licitacion&amp;idEvl=fWHe2SqlITTI8aL3PRS10Q%3D%3D" TargetMode="External" Id="rId1388" /><Relationship Type="http://schemas.openxmlformats.org/officeDocument/2006/relationships/hyperlink" Target="https://contrataciondelestado.es/FileSystem/servlet/GetDocumentByIdServlet?cifrado=QUC1GjXXSiLkydRHJBmbpw%3D%3D&amp;DocumentIdParam=zb179kB1cbghIoCbN%2BMX8cvmkMLO16dqno%2B3sxsNF2eEkQlCB0kaxYuv8V1y8tibUtn2D2u1xQYjFklfqsoel6vMRvPAdfiJjViQlJfl3Hg//q7NB2iMZvNyf0xrJmjt" TargetMode="External" Id="rId1389" /><Relationship Type="http://schemas.openxmlformats.org/officeDocument/2006/relationships/hyperlink" Target="https://contrataciondelestado.es/wps/poc?uri=deeplink:detalle_licitacion&amp;idEvl=R9Q3lQpBs75VYjgxA4nMUw%3D%3D" TargetMode="External" Id="rId1390"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1391" /><Relationship Type="http://schemas.openxmlformats.org/officeDocument/2006/relationships/hyperlink" Target="https://contrataciondelestado.es/wps/poc?uri=deeplink:detalle_licitacion&amp;idEvl=AvI78bucC7lxseVhcqrkhw%3D%3D" TargetMode="External" Id="rId1392" /><Relationship Type="http://schemas.openxmlformats.org/officeDocument/2006/relationships/hyperlink" Target="https://contrataciondelestado.es/FileSystem/servlet/GetDocumentByIdServlet?cifrado=QUC1GjXXSiLkydRHJBmbpw%3D%3D&amp;DocumentIdParam=6tvyDzB4UurWQEw1VhhAJfag6krPjQQXtDZqWBG3%2B0pMTn6HjNqXeqRIigr1JilnW4KOcS21HsRBX70sA7eR0L0D%2BGGQl2on324KS7SUzR1t/o8fNevwsujgRzaBbugn" TargetMode="External" Id="rId1393" /><Relationship Type="http://schemas.openxmlformats.org/officeDocument/2006/relationships/hyperlink" Target="https://contrataciondelestado.es/wps/poc?uri=deeplink:detalle_licitacion&amp;idEvl=otLaHi8X9U7mnwcj%2BxbdTg%3D%3D" TargetMode="External" Id="rId1394" /><Relationship Type="http://schemas.openxmlformats.org/officeDocument/2006/relationships/hyperlink" Target="https://contrataciondelestado.es/FileSystem/servlet/GetDocumentByIdServlet?cifrado=QUC1GjXXSiLkydRHJBmbpw%3D%3D&amp;DocumentIdParam=QcN1vl%2B3JtmYsu7w2k3YIj%2BcaQVOw01yGSc%2Bwt7RAELFVJxqwGjy61/S6YyyDBwBxUsV/0jOL8hHc1GBSIN6c7CxUXvxjpsK90fVIDJJCyTDdQD9RyhUmzT4jZ2In4zL" TargetMode="External" Id="rId1395" /><Relationship Type="http://schemas.openxmlformats.org/officeDocument/2006/relationships/hyperlink" Target="https://contrataciondelestado.es/wps/poc?uri=deeplink:detalle_licitacion&amp;idEvl=Tq4VNlz32MX9pbnDwlaUlg%3D%3D" TargetMode="External" Id="rId1396"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1397" /><Relationship Type="http://schemas.openxmlformats.org/officeDocument/2006/relationships/hyperlink" Target="https://contrataciondelestado.es/wps/poc?uri=deeplink:detalle_licitacion&amp;idEvl=hSvJJYQHGWWKeVWTb9Scog%3D%3D" TargetMode="External" Id="rId1398"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1399" /><Relationship Type="http://schemas.openxmlformats.org/officeDocument/2006/relationships/hyperlink" Target="https://contrataciondelestado.es/wps/poc?uri=deeplink:detalle_licitacion&amp;idEvl=26dhjfUNQl7VGIpKDxgsAQ%3D%3D" TargetMode="External" Id="rId1400"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1401" /><Relationship Type="http://schemas.openxmlformats.org/officeDocument/2006/relationships/hyperlink" Target="https://contrataciondelestado.es/wps/poc?uri=deeplink:detalle_licitacion&amp;idEvl=yPL2gxWRPEp%2FR5QFTlaM4A%3D%3D" TargetMode="External" Id="rId1402" /><Relationship Type="http://schemas.openxmlformats.org/officeDocument/2006/relationships/hyperlink" Target="https://contrataciondelestado.es/FileSystem/servlet/GetDocumentByIdServlet?cifrado=QUC1GjXXSiLkydRHJBmbpw%3D%3D&amp;DocumentIdParam=CX4gnTl%2BNREoRtJiBF6DUwjLEdFh1iQwBv4M02hJNgjCRfi0JPatfR72YqeVrXuTozp/BqmD3sJLTBpADEseqJb4o97iHO2Pezlj6wMMldvfdyQgZAdTm3EfcUAC7CJ6" TargetMode="External" Id="rId1403" /><Relationship Type="http://schemas.openxmlformats.org/officeDocument/2006/relationships/hyperlink" Target="https://contrataciondelestado.es/wps/poc?uri=deeplink:detalle_licitacion&amp;idEvl=ALveh7CaMd%2B7JOCXkOhcDg%3D%3D" TargetMode="External" Id="rId1404" /><Relationship Type="http://schemas.openxmlformats.org/officeDocument/2006/relationships/hyperlink" Target="https://contrataciondelestado.es/FileSystem/servlet/GetDocumentByIdServlet?cifrado=QUC1GjXXSiLkydRHJBmbpw%3D%3D&amp;DocumentIdParam=9w%2BAI1Qo1BzXCIA8v2CaMehA6D4BxZ2Z5z%2BRMGGBwvpqZ7i1pdUuunmcHxHIq9eKyU1LOCikPB77%2BbeqobwLO195utyMkpVymXTm1VzwtuW1aXEvq3KHa/AEHgtDrQw0" TargetMode="External" Id="rId1405" /><Relationship Type="http://schemas.openxmlformats.org/officeDocument/2006/relationships/hyperlink" Target="https://contrataciondelestado.es/wps/poc?uri=deeplink:detalle_licitacion&amp;idEvl=D8P%2BFvfVIYoeC9GJQOEBkQ%3D%3D" TargetMode="External" Id="rId1406"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1407" /><Relationship Type="http://schemas.openxmlformats.org/officeDocument/2006/relationships/hyperlink" Target="https://contrataciondelestado.es/wps/poc?uri=deeplink:detalle_licitacion&amp;idEvl=zfQhOxqx1YjE6P%2FuLemXRw%3D%3D" TargetMode="External" Id="rId1408"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1409" /><Relationship Type="http://schemas.openxmlformats.org/officeDocument/2006/relationships/hyperlink" Target="https://contrataciondelestado.es/wps/poc?uri=deeplink:detalle_licitacion&amp;idEvl=B5ehtnshdu22gkLQ8TeYKA%3D%3D" TargetMode="External" Id="rId1410" /><Relationship Type="http://schemas.openxmlformats.org/officeDocument/2006/relationships/hyperlink" Target="https://contrataciondelestado.es/FileSystem/servlet/GetDocumentByIdServlet?cifrado=QUC1GjXXSiLkydRHJBmbpw%3D%3D&amp;DocumentIdParam=autbZxxet%2BFNidPtF99YllRzmzTB%2BvJTrFjsks/bn6Aj8BNDKGjZ7JJERRMwmo17tXWk3tnNMXM7Kn2snUyiCwD0rzIkPM9iLIMWnvVmry5JOVDbGCDM%2BMigrvuVS7Rv" TargetMode="External" Id="rId1411" /><Relationship Type="http://schemas.openxmlformats.org/officeDocument/2006/relationships/hyperlink" Target="https://contrataciondelestado.es/wps/poc?uri=deeplink:detalle_licitacion&amp;idEvl=lxzASPReqNIaF6cS8TCh%2FA%3D%3D" TargetMode="External" Id="rId1412" /><Relationship Type="http://schemas.openxmlformats.org/officeDocument/2006/relationships/hyperlink" Target="https://contrataciondelestado.es/FileSystem/servlet/GetDocumentByIdServlet?DocumentIdParam=v2ykiAzq%2BtLXmzPjPlTxpz7d1v8MLPBqoyrJDOm2uuwOvSVc5kawkWJ%2B2wGiyiyTDdefwwb8nFxO0GLIt6YlEkKFTfZFm5AXeSdQVwWS9GF7QB3HKyQaFUExmUVQCerk&amp;cifrado=QUC1GjXXSiLkydRHJBmbpw%3D%3D" TargetMode="External" Id="rId1413" /><Relationship Type="http://schemas.openxmlformats.org/officeDocument/2006/relationships/hyperlink" Target="https://contrataciondelestado.es/wps/poc?uri=deeplink:detalle_licitacion&amp;idEvl=dLy1sTBc6tc3vLk2DU2Ddg%3D%3D" TargetMode="External" Id="rId1414" /><Relationship Type="http://schemas.openxmlformats.org/officeDocument/2006/relationships/hyperlink" Target="https://contrataciondelestado.es/FileSystem/servlet/GetDocumentByIdServlet?cifrado=QUC1GjXXSiLkydRHJBmbpw%3D%3D&amp;DocumentIdParam=2KHL1WcIq5UU6K9mxTBh2gX6L3ph76EeZZgigbVlGvEM/vQJ5Zk%2BrvoXOY1mxf81MGbOMsgmVGVUy6SGH3%2BiCAX9Hpj1SOP5Z1C75PGZ6xHDdQD9RyhUmzT4jZ2In4zL" TargetMode="External" Id="rId1415" /><Relationship Type="http://schemas.openxmlformats.org/officeDocument/2006/relationships/hyperlink" Target="https://contrataciondelestado.es/wps/poc?uri=deeplink:detalle_licitacion&amp;idEvl=jlKe22rdsDiExvMJXBMHHQ%3D%3D" TargetMode="External" Id="rId1416" /><Relationship Type="http://schemas.openxmlformats.org/officeDocument/2006/relationships/hyperlink" Target="https://contrataciondelestado.es/FileSystem/servlet/GetDocumentByIdServlet?cifrado=QUC1GjXXSiLkydRHJBmbpw%3D%3D&amp;DocumentIdParam=upDPj6F00qzlUU/LlhoXxSuNWfK4bPJh%2B2hR9x43t6JD7RbA0rpl4yfSXOze9qJj5iLOdgRTTQlcg%2BD1uVLSVeg9g1lijj1jEuuyW5glrPNJOVDbGCDM%2BMigrvuVS7Rv" TargetMode="External" Id="rId1417" /><Relationship Type="http://schemas.openxmlformats.org/officeDocument/2006/relationships/hyperlink" Target="https://contrataciondelestado.es/wps/poc?uri=deeplink:detalle_licitacion&amp;idEvl=hnYV5i8%2BqH5q1DdmE7eaXg%3D%3D" TargetMode="External" Id="rId1418" /><Relationship Type="http://schemas.openxmlformats.org/officeDocument/2006/relationships/hyperlink" Target="https://contrataciondelestado.es/FileSystem/servlet/GetDocumentByIdServlet?cifrado=QUC1GjXXSiLkydRHJBmbpw%3D%3D&amp;DocumentIdParam=Gpw3WeFZxNL7R218zeu5/ys4d8E0%2BrLqdinPIDfnpgiS1cUqtkBCG2Lu/iT%2Ba/UjXiWTZwIYMCA9xBSMBNxiQF/3zA24y1RbQdrP95qqpDvVTD3T98KC0nSgQFM0q%2B5s" TargetMode="External" Id="rId1419" /><Relationship Type="http://schemas.openxmlformats.org/officeDocument/2006/relationships/hyperlink" Target="https://contrataciondelestado.es/wps/poc?uri=deeplink:detalle_licitacion&amp;idEvl=dzfB0MLdUHk36J9Lctlsuw%3D%3D" TargetMode="External" Id="rId1420"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1421" /><Relationship Type="http://schemas.openxmlformats.org/officeDocument/2006/relationships/hyperlink" Target="https://contrataciondelestado.es/wps/poc?uri=deeplink:detalle_licitacion&amp;idEvl=emZxXk9PJwTXOjazN1Dw9Q%3D%3D" TargetMode="External" Id="rId1422" /><Relationship Type="http://schemas.openxmlformats.org/officeDocument/2006/relationships/hyperlink" Target="https://contrataciondelestado.es/FileSystem/servlet/GetDocumentByIdServlet?cifrado=QUC1GjXXSiLkydRHJBmbpw%3D%3D&amp;DocumentIdParam=Hk7/q/PJKgOagV71dR8Q2l6JZmbqzovA/PJISuqdNjbw/meBBwT8agppjQy25MP3MvzabfWqd%2Bu/TVI7ZOWuw/3Mt%2BzigPlGFz2RP3VtIhy1aXEvq3KHa/AEHgtDrQw0" TargetMode="External" Id="rId1423" /><Relationship Type="http://schemas.openxmlformats.org/officeDocument/2006/relationships/hyperlink" Target="https://contrataciondelestado.es/wps/poc?uri=deeplink:detalle_licitacion&amp;idEvl=btxl5SA3sV9%2FR5QFTlaM4A%3D%3D" TargetMode="External" Id="rId1424"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1425" /><Relationship Type="http://schemas.openxmlformats.org/officeDocument/2006/relationships/hyperlink" Target="https://contrataciondelestado.es/wps/poc?uri=deeplink:detalle_licitacion&amp;idEvl=yH1SrhX59b5VkTabT%2FRM8A%3D%3D" TargetMode="External" Id="rId1426" /><Relationship Type="http://schemas.openxmlformats.org/officeDocument/2006/relationships/hyperlink" Target="https://contrataciondelestado.es/FileSystem/servlet/GetDocumentByIdServlet?cifrado=QUC1GjXXSiLkydRHJBmbpw%3D%3D&amp;DocumentIdParam=G7wNxEiLl8Tdvwi1XKZmpb313fv5cFjkGXdXTcQajmTVKvxF8%2B2QDkV2MpoS%2Br2wGHlJGpZHPZbkaSU2U5fUDmv1tTt1ACTs1LjIxhUg/4SB0nvVKRzfe4rpHcnlPhSZ" TargetMode="External" Id="rId1427" /><Relationship Type="http://schemas.openxmlformats.org/officeDocument/2006/relationships/hyperlink" Target="https://contrataciondelestado.es/wps/poc?uri=deeplink:detalle_licitacion&amp;idEvl=wEohuWoEBKhWhbmkna2nXQ%3D%3D" TargetMode="External" Id="rId1428"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1429" /><Relationship Type="http://schemas.openxmlformats.org/officeDocument/2006/relationships/hyperlink" Target="https://contrataciondelestado.es/wps/poc?uri=deeplink:detalle_licitacion&amp;idEvl=0g03eFHsseyOUi78BmzhOQ%3D%3D" TargetMode="External" Id="rId1430"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1431" /><Relationship Type="http://schemas.openxmlformats.org/officeDocument/2006/relationships/hyperlink" Target="https://contrataciondelestado.es/wps/poc?uri=deeplink:detalle_licitacion&amp;idEvl=f2Jv%2FgGwFPdrSd8H4b2soA%3D%3D" TargetMode="External" Id="rId1432" /><Relationship Type="http://schemas.openxmlformats.org/officeDocument/2006/relationships/hyperlink" Target="https://contrataciondelestado.es/FileSystem/servlet/GetDocumentByIdServlet?cifrado=QUC1GjXXSiLkydRHJBmbpw%3D%3D&amp;DocumentIdParam=3o2b3hXSNQvtC6BIU6sFRf1p5TiBE%2BixvL/KmDtDTg4aVAORTvuLt3/Rn0FJdy/x8eJX5GeID6sWw0KV0TERTUZZixHpEX0oppXAXYJ1lvc//q7NB2iMZvNyf0xrJmjt" TargetMode="External" Id="rId1433" /><Relationship Type="http://schemas.openxmlformats.org/officeDocument/2006/relationships/hyperlink" Target="https://contrataciondelestado.es/wps/poc?uri=deeplink:detalle_licitacion&amp;idEvl=Op0z6bUdcGTpxJFXpLZ%2B2A%3D%3D" TargetMode="External" Id="rId1434" /><Relationship Type="http://schemas.openxmlformats.org/officeDocument/2006/relationships/hyperlink" Target="https://contrataciondelestado.es/FileSystem/servlet/GetDocumentByIdServlet?cifrado=QUC1GjXXSiLkydRHJBmbpw%3D%3D&amp;DocumentIdParam=2yn3TO/lyB4x0chYvGB2%2B1NxKbAeN2NS/SdYzkL8So6aZPA%2B%2BxX0Xj4202rcsmv1hkuxM67XkzFAVcdR9xE9ySDiluqnfTk/%2BDIeI2f3hra1aXEvq3KHa/AEHgtDrQw0" TargetMode="External" Id="rId1435" /><Relationship Type="http://schemas.openxmlformats.org/officeDocument/2006/relationships/hyperlink" Target="https://contrataciondelestado.es/wps/poc?uri=deeplink:detalle_licitacion&amp;idEvl=aj82WZUxkm7jHF5qKI4aaw%3D%3D" TargetMode="External" Id="rId1436" /><Relationship Type="http://schemas.openxmlformats.org/officeDocument/2006/relationships/hyperlink" Target="https://contrataciondelestado.es/FileSystem/servlet/GetDocumentByIdServlet?cifrado=QUC1GjXXSiLkydRHJBmbpw%3D%3D&amp;DocumentIdParam=yip7%2BuBHHAO7CNE8Q13ArQyreRC9BAYHCrNzASBTMWfqCXN3UtBzg1yUoU3ICLpru/XDL5HLc6TegfqxE8FmgO%2B1N8yPiWRMebLfvu0/Al0C1/zDIE0Kw/PWNnLS0Z0z" TargetMode="External" Id="rId1437" /><Relationship Type="http://schemas.openxmlformats.org/officeDocument/2006/relationships/hyperlink" Target="https://contrataciondelestado.es/wps/poc?uri=deeplink:detalle_licitacion&amp;idEvl=yaav8xbO00zI8aL3PRS10Q%3D%3D" TargetMode="External" Id="rId1438" /><Relationship Type="http://schemas.openxmlformats.org/officeDocument/2006/relationships/hyperlink" Target="https://contrataciondelestado.es/wps/wcm/connect/PLACE_es/Site/area/docAccCmpnt?srv=cmpnt&amp;cmpntname=GetDocumentsById&amp;source=library&amp;DocumentIdParam=9b7828f6-e1c7-4401-aea2-5a156c5e068a" TargetMode="External" Id="rId1439" /><Relationship Type="http://schemas.openxmlformats.org/officeDocument/2006/relationships/hyperlink" Target="https://contrataciondelestado.es/wps/poc?uri=deeplink:detalle_licitacion&amp;idEvl=jmfWovKgk6C2gkLQ8TeYKA%3D%3D" TargetMode="External" Id="rId1440" /><Relationship Type="http://schemas.openxmlformats.org/officeDocument/2006/relationships/hyperlink" Target="https://contrataciondelestado.es/FileSystem/servlet/GetDocumentByIdServlet?cifrado=QUC1GjXXSiLkydRHJBmbpw%3D%3D&amp;DocumentIdParam=XiSbF7w1BGN4Lh8nfw/ApavN6P4ljdcwQHTYzb8Cf5RO9cKRT3C7muwQlqb12iiVeXknpHz0dU4uQJalwFPf7Al5iBsKdVkzv8LnNvCuAEHDdQD9RyhUmzT4jZ2In4zL" TargetMode="External" Id="rId1441" /><Relationship Type="http://schemas.openxmlformats.org/officeDocument/2006/relationships/hyperlink" Target="https://contrataciondelestado.es/wps/poc?uri=deeplink:detalle_licitacion&amp;idEvl=EkkYjHhmzYnIGlsa0Wad%2Bw%3D%3D" TargetMode="External" Id="rId1442" /><Relationship Type="http://schemas.openxmlformats.org/officeDocument/2006/relationships/hyperlink" Target="https://contrataciondelestado.es/FileSystem/servlet/GetDocumentByIdServlet?cifrado=QUC1GjXXSiLkydRHJBmbpw%3D%3D&amp;DocumentIdParam=cOhTpNai%2BCJH7foM1GeLTX5HtPGTyRgHYKJT0XFORmXcs5GvJMAVdOfnphtWVbrV3o0k6jZ%2B7ILVdyo/CM7vESYW7ynCZuvvuRAA16eqguv6CYyL7SIrUOBFfNf52ZqA" TargetMode="External" Id="rId1443" /><Relationship Type="http://schemas.openxmlformats.org/officeDocument/2006/relationships/hyperlink" Target="https://contrataciondelestado.es/wps/poc?uri=deeplink:detalle_licitacion&amp;idEvl=QACaGzYLgAjIGlsa0Wad%2Bw%3D%3D" TargetMode="External" Id="rId1444" /><Relationship Type="http://schemas.openxmlformats.org/officeDocument/2006/relationships/hyperlink" Target="https://contrataciondelestado.es/FileSystem/servlet/GetDocumentByIdServlet?cifrado=QUC1GjXXSiLkydRHJBmbpw%3D%3D&amp;DocumentIdParam=YT2mbosatI/EOSLgDPEo0MGt3zZSLR1bhY8O/C2KiCZJzppLi5tdP4nrgl0lUyTpxAWn4IE0bX5WaWEEzYIH7gDcYl2tYw%2BevCCP6rVn62Bt/o8fNevwsujgRzaBbugn" TargetMode="External" Id="rId1445" /><Relationship Type="http://schemas.openxmlformats.org/officeDocument/2006/relationships/hyperlink" Target="https://contrataciondelestado.es/wps/poc?uri=deeplink:detalle_licitacion&amp;idEvl=B9SFnzrWbjwmMOlAXxDEjw%3D%3D" TargetMode="External" Id="rId1446" /><Relationship Type="http://schemas.openxmlformats.org/officeDocument/2006/relationships/hyperlink" Target="https://contrataciondelestado.es/FileSystem/servlet/GetDocumentByIdServlet?cifrado=QUC1GjXXSiLkydRHJBmbpw%3D%3D&amp;DocumentIdParam=0VmIPjV2AbOZvsKU9tfzzw/PMrK3f2pFnMW7A/uDQcm3U3VFy5ECNyDivbvdBhS7OcsZnN5xhTMDt%2Bz3ESlB%2B0c8QJvXNy3sJoHac941RuTDdQD9RyhUmzT4jZ2In4zL" TargetMode="External" Id="rId1447" /><Relationship Type="http://schemas.openxmlformats.org/officeDocument/2006/relationships/hyperlink" Target="https://contrataciondelestado.es/wps/poc?uri=deeplink:detalle_licitacion&amp;idEvl=GZ6Y9WaZSUBVYjgxA4nMUw%3D%3D" TargetMode="External" Id="rId1448" /><Relationship Type="http://schemas.openxmlformats.org/officeDocument/2006/relationships/hyperlink" Target="https://contrataciondelestado.es/FileSystem/servlet/GetDocumentByIdServlet?cifrado=QUC1GjXXSiLkydRHJBmbpw%3D%3D&amp;DocumentIdParam=SjFqutA60hGWMQcsNei7UD0OZ8zxSfBzuxgdcz5vi16zt2VY2FB%2B1UgT5Rd10xFBEVMW21L8w8McWST23Bf0EIg7JAuGtyk6FiBFaCXsRtYC1/zDIE0Kw/PWNnLS0Z0z" TargetMode="External" Id="rId1449" /><Relationship Type="http://schemas.openxmlformats.org/officeDocument/2006/relationships/hyperlink" Target="https://contrataciondelestado.es/wps/poc?uri=deeplink:detalle_licitacion&amp;idEvl=7T1zxXisYdnLIx6q1oPaMg%3D%3D" TargetMode="External" Id="rId1450"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451" /><Relationship Type="http://schemas.openxmlformats.org/officeDocument/2006/relationships/hyperlink" Target="https://contrataciondelestado.es/wps/poc?uri=deeplink:detalle_licitacion&amp;idEvl=owUVFoCoggE7u6%2B%2FR7DUoA%3D%3D" TargetMode="External" Id="rId1452" /><Relationship Type="http://schemas.openxmlformats.org/officeDocument/2006/relationships/hyperlink" Target="https://contrataciondelestado.es/FileSystem/servlet/GetDocumentByIdServlet?cifrado=QUC1GjXXSiLkydRHJBmbpw%3D%3D&amp;DocumentIdParam=3Ftuv01pcldJrGa33jojk7u/xZsrkilZ%2B%2BktV1MjqVxjssXl9qMZ8uZKNwr8eZtcvdrcRLgOtCdvbOOmO%2Bzf3l4Ax0V02O1jMO9Oovew%2BOfVTD3T98KC0nSgQFM0q%2B5s" TargetMode="External" Id="rId1453" /><Relationship Type="http://schemas.openxmlformats.org/officeDocument/2006/relationships/hyperlink" Target="https://contrataciondelestado.es/wps/poc?uri=deeplink:detalle_licitacion&amp;idEvl=uFfh63lSTlxLAIVZdUs8KA%3D%3D" TargetMode="External" Id="rId1454" /><Relationship Type="http://schemas.openxmlformats.org/officeDocument/2006/relationships/hyperlink" Target="https://contrataciondelestado.es/FileSystem/servlet/GetDocumentByIdServlet?cifrado=QUC1GjXXSiLkydRHJBmbpw%3D%3D&amp;DocumentIdParam=1hWs%2BwqxoawBHwxBS2O3Z6g7gVYUmgcUWM2rUPX69O0zWF69ijQnD9C4bVj0bJDVIbfmOfOglRssXgmFzbjCtgU1Kru2o1rqAiGlbebFCu/DdQD9RyhUmzT4jZ2In4zL" TargetMode="External" Id="rId1455" /><Relationship Type="http://schemas.openxmlformats.org/officeDocument/2006/relationships/hyperlink" Target="https://contrataciondelestado.es/wps/poc?uri=deeplink:detalle_licitacion&amp;idEvl=M%2BP1AKIIWr0%2Bk2oCbDosIw%3D%3D" TargetMode="External" Id="rId1456"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1457" /><Relationship Type="http://schemas.openxmlformats.org/officeDocument/2006/relationships/hyperlink" Target="https://contrataciondelestado.es/wps/poc?uri=deeplink:detalle_licitacion&amp;idEvl=l5iPpcCyPKAeC9GJQOEBkQ%3D%3D" TargetMode="External" Id="rId1458" /><Relationship Type="http://schemas.openxmlformats.org/officeDocument/2006/relationships/hyperlink" Target="https://contrataciondelestado.es/FileSystem/servlet/GetDocumentByIdServlet?cifrado=QUC1GjXXSiLkydRHJBmbpw%3D%3D&amp;DocumentIdParam=1k/dGOENdyAjFI%2BLW7XQG4pMa7YZfhedd7POrz8uYUL78tCWIzUzUtwtJNu8rxv7Oyz17ypCjoILy/Pl/J5UnyRf3rsjd4Uic5nkgYC80eoZyAJWGsSt0OzTSTyw9JAs" TargetMode="External" Id="rId1459" /><Relationship Type="http://schemas.openxmlformats.org/officeDocument/2006/relationships/hyperlink" Target="https://contrataciondelestado.es/wps/poc?uri=deeplink:detalle_licitacion&amp;idEvl=BsOkx26tTx%2BsNfRW6APEDw%3D%3D" TargetMode="External" Id="rId1460" /><Relationship Type="http://schemas.openxmlformats.org/officeDocument/2006/relationships/hyperlink" Target="https://contrataciondelestado.es/FileSystem/servlet/GetDocumentByIdServlet?cifrado=QUC1GjXXSiLkydRHJBmbpw%3D%3D&amp;DocumentIdParam=UTnFxV6J997Tez8Szt9tdvtscZoKmS2oFGGctDYmScgT62rWBZ8OwNWXj90BlWmsbeQsbnlpXS8xH8fPcQlaXYZRk0AslL4SF1UM7YHkNbN45ClyWkoJ44mKM70IFcOu" TargetMode="External" Id="rId1461" /><Relationship Type="http://schemas.openxmlformats.org/officeDocument/2006/relationships/hyperlink" Target="https://contrataciondelestado.es/wps/poc?uri=deeplink:detalle_licitacion&amp;idEvl=Khz2%2FpfD94F6nTs9LZ9RhQ%3D%3D" TargetMode="External" Id="rId1462" /><Relationship Type="http://schemas.openxmlformats.org/officeDocument/2006/relationships/hyperlink" Target="https://contrataciondelestado.es/FileSystem/servlet/GetDocumentByIdServlet?cifrado=QUC1GjXXSiLkydRHJBmbpw%3D%3D&amp;DocumentIdParam=0e2/ud6ZPWQuX7sk4TfLYozS1WGY53Q8mEZ%2BbJwougfy7mH54Bv6XXOU7yXEOxlnQhzXOZH0QzcMJV4ZXAhUA8ycrtiOSk617KnlcsR79NffdyQgZAdTm3EfcUAC7CJ6" TargetMode="External" Id="rId1463" /><Relationship Type="http://schemas.openxmlformats.org/officeDocument/2006/relationships/hyperlink" Target="https://contrataciondelestado.es/wps/poc?uri=deeplink:detalle_licitacion&amp;idEvl=CyoHFl0L7ZpVq4S9zvaQpQ%3D%3D" TargetMode="External" Id="rId1464" /><Relationship Type="http://schemas.openxmlformats.org/officeDocument/2006/relationships/hyperlink" Target="https://contrataciondelestado.es/FileSystem/servlet/GetDocumentByIdServlet?cifrado=QUC1GjXXSiLkydRHJBmbpw%3D%3D&amp;DocumentIdParam=RR3l8PqZ3868FEoVrlBs9inC276Lb%2Bmokdzf6asCJpGkSk15zic4qYkBh4Wo0cRkCSGJImcgKJ5oHcO/rZvXt8yGPpkmxVhWFOol/o8xvd9t/o8fNevwsujgRzaBbugn" TargetMode="External" Id="rId1465" /><Relationship Type="http://schemas.openxmlformats.org/officeDocument/2006/relationships/hyperlink" Target="https://contrataciondelestado.es/wps/poc?uri=deeplink:detalle_licitacion&amp;idEvl=O07recMFy%2BkaF6cS8TCh%2FA%3D%3D" TargetMode="External" Id="rId1466" /><Relationship Type="http://schemas.openxmlformats.org/officeDocument/2006/relationships/hyperlink" Target="https://contrataciondelestado.es/FileSystem/servlet/GetDocumentByIdServlet?cifrado=QUC1GjXXSiLkydRHJBmbpw%3D%3D&amp;DocumentIdParam=z9//z/LgE86TyTz/3gH9zrqJs1ia6AkogKYE4USQTctjjha/Ux0rhbe4HR6kcSTNNT0KkSZVgWKpf3eNQJ8nytMSFedG0mBhvCKv/diM3BE//q7NB2iMZvNyf0xrJmjt" TargetMode="External" Id="rId1467" /><Relationship Type="http://schemas.openxmlformats.org/officeDocument/2006/relationships/hyperlink" Target="https://contrataciondelestado.es/wps/poc?uri=deeplink:detalle_licitacion&amp;idEvl=2mL2pfF71Mh%2FP7lJ7Fu0SA%3D%3D" TargetMode="External" Id="rId1468" /><Relationship Type="http://schemas.openxmlformats.org/officeDocument/2006/relationships/hyperlink" Target="https://contrataciondelestado.es/wps/poc?uri=deeplink:detalle_licitacion&amp;idEvl=ssJ4qOIfs7ES7pcxhTeWOg%3D%3D" TargetMode="External" Id="rId1469" /><Relationship Type="http://schemas.openxmlformats.org/officeDocument/2006/relationships/hyperlink" Target="https://contrataciondelestado.es/FileSystem/servlet/GetDocumentByIdServlet?DocumentIdParam=IMoL%2BJmq6PlGotApWZhqcfcFS9ay5pOMwnLe4ukHaCPK2eUsWXP83Ta4Sx2dNqLAMWMlrQT58EGSyUoLSMmFGYdkAeh5zesTdFf67%2BFT3pXVTD3T98KC0nSgQFM0q%2B5s&amp;cifrado=QUC1GjXXSiLkydRHJBmbpw%3D%3D" TargetMode="External" Id="rId1470" /><Relationship Type="http://schemas.openxmlformats.org/officeDocument/2006/relationships/hyperlink" Target="https://contrataciondelestado.es/wps/poc?uri=deeplink:detalle_licitacion&amp;idEvl=jOUXAP4H3%2FfI8aL3PRS10Q%3D%3D" TargetMode="External" Id="rId1471"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1472" /><Relationship Type="http://schemas.openxmlformats.org/officeDocument/2006/relationships/hyperlink" Target="https://contrataciondelestado.es/wps/poc?uri=deeplink:detalle_licitacion&amp;idEvl=2jaUThAwLKrL1rX3q%2FMAPA%3D%3D" TargetMode="External" Id="rId1473" /><Relationship Type="http://schemas.openxmlformats.org/officeDocument/2006/relationships/hyperlink" Target="https://contrataciondelestado.es/FileSystem/servlet/GetDocumentByIdServlet?cifrado=QUC1GjXXSiLkydRHJBmbpw%3D%3D&amp;DocumentIdParam=0iXTfXQj/TqSnpBHmPtiytGGic83tWyu9bR2ZL/LFD%2BtxWrwB1rLnClfnID%2Bm1dn2o0YSrhCWrgme2OgOdT/8i0TJxBE9SSVwaH5zRb0F2pt/o8fNevwsujgRzaBbugn" TargetMode="External" Id="rId1474" /><Relationship Type="http://schemas.openxmlformats.org/officeDocument/2006/relationships/hyperlink" Target="https://contrataciondelestado.es/wps/poc?uri=deeplink:detalle_licitacion&amp;idEvl=kjMqNmaSSOOzz8fXU2i3eQ%3D%3D" TargetMode="External" Id="rId1475" /><Relationship Type="http://schemas.openxmlformats.org/officeDocument/2006/relationships/hyperlink" Target="https://contrataciondelestado.es/FileSystem/servlet/GetDocumentByIdServlet?cifrado=QUC1GjXXSiLkydRHJBmbpw%3D%3D&amp;DocumentIdParam=lIfXzN8n/pUR2xBGlTfJ/r9PUZaj6x6vAWz8PAemw4JqqEWq6o/2AI23y19K3GRcL9PFXYfjupcb0O5DLocyaKan5Qfd3JHAzWAwpSwn1gH6CYyL7SIrUOBFfNf52ZqA" TargetMode="External" Id="rId1476" /><Relationship Type="http://schemas.openxmlformats.org/officeDocument/2006/relationships/hyperlink" Target="https://contrataciondelestado.es/wps/poc?uri=deeplink:detalle_licitacion&amp;idEvl=XR%2Ff4tDBJI%2FN3k3tjedSGw%3D%3D" TargetMode="External" Id="rId1477" /><Relationship Type="http://schemas.openxmlformats.org/officeDocument/2006/relationships/hyperlink" Target="https://contrataciondelestado.es/FileSystem/servlet/GetDocumentByIdServlet?cifrado=QUC1GjXXSiLkydRHJBmbpw%3D%3D&amp;DocumentIdParam=tDUJKLt5v88YYGr8iMGXErzwOt2phutPSotrekyCf3nNNuKaXFLkzQJLR4vEuNYJDNmmUETIRzItKSBma7cBkIyq2ZYOk3Np4vB5AIxpTKk//q7NB2iMZvNyf0xrJmjt" TargetMode="External" Id="rId1478" /><Relationship Type="http://schemas.openxmlformats.org/officeDocument/2006/relationships/hyperlink" Target="https://contrataciondelestado.es/wps/poc?uri=deeplink:detalle_licitacion&amp;idEvl=m%2Bzt6Fa6e94%2FbjW6njtWLw%3D%3D" TargetMode="External" Id="rId1479" /><Relationship Type="http://schemas.openxmlformats.org/officeDocument/2006/relationships/hyperlink" Target="https://contrataciondelestado.es/FileSystem/servlet/GetDocumentByIdServlet?cifrado=QUC1GjXXSiLkydRHJBmbpw%3D%3D&amp;DocumentIdParam=43omxTJZTpZ9yyqTWRS8sW/5PjasGV7nxAeRxdNLbRBL6ocHgp3RWr8Yml4AwkpqdHD4MaXP04Zu4jSAJwlUdnN%2B4OvvHuP34C2gE3YtpG36CYyL7SIrUOBFfNf52ZqA" TargetMode="External" Id="rId1480" /><Relationship Type="http://schemas.openxmlformats.org/officeDocument/2006/relationships/hyperlink" Target="https://contrataciondelestado.es/wps/poc?uri=deeplink:detalle_licitacion&amp;idEvl=a%2FsgtfkOGkAUqXM96WStVA%3D%3D" TargetMode="External" Id="rId1481" /><Relationship Type="http://schemas.openxmlformats.org/officeDocument/2006/relationships/hyperlink" Target="https://contrataciondelestado.es/FileSystem/servlet/GetDocumentByIdServlet?cifrado=QUC1GjXXSiLkydRHJBmbpw%3D%3D&amp;DocumentIdParam=r0Bo1jwLmmJLf0zLG09%2BdtwiXyCuh%2BrNr0rvHjsHMqnXLw4G5CQ64pC7Bqq7ZOXfav13Qr8XfsL%2Br1YnuEF9mStaaAHrhL%2BeqGVUJYTrv9545ClyWkoJ44mKM70IFcOu" TargetMode="External" Id="rId1482" /><Relationship Type="http://schemas.openxmlformats.org/officeDocument/2006/relationships/hyperlink" Target="https://contrataciondelestado.es/wps/poc?uri=deeplink:detalle_licitacion&amp;idEvl=dkycU%2Fy1WzMUqXM96WStVA%3D%3D" TargetMode="External" Id="rId1483"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1484" /><Relationship Type="http://schemas.openxmlformats.org/officeDocument/2006/relationships/hyperlink" Target="https://contrataciondelestado.es/wps/poc?uri=deeplink:detalle_licitacion&amp;idEvl=ZI2J4aHV9bN70UvEyYJSGw%3D%3D" TargetMode="External" Id="rId1485"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1486" /><Relationship Type="http://schemas.openxmlformats.org/officeDocument/2006/relationships/hyperlink" Target="https://contrataciondelestado.es/wps/poc?uri=deeplink:detalle_licitacion&amp;idEvl=m531RvESeXzLIx6q1oPaMg%3D%3D" TargetMode="External" Id="rId1487" /><Relationship Type="http://schemas.openxmlformats.org/officeDocument/2006/relationships/hyperlink" Target="https://contrataciondelestado.es/FileSystem/servlet/GetDocumentByIdServlet?cifrado=QUC1GjXXSiLkydRHJBmbpw%3D%3D&amp;DocumentIdParam=%2BFDx1SbKtLQiyfzGAZuLl/PN3AgpWtozaq%2B3TTox3hTDd4Xtu9fsGFrqjIueqAvaEH4A2Jgxw5Rr5tIGMNkPGGVP7/9FVEteUfmyildUHZJt/o8fNevwsujgRzaBbugn" TargetMode="External" Id="rId1488" /><Relationship Type="http://schemas.openxmlformats.org/officeDocument/2006/relationships/hyperlink" Target="https://contrataciondelestado.es/wps/poc?uri=deeplink:detalle_licitacion&amp;idEvl=iWEKKg0URCotm4eBPtV6eQ%3D%3D" TargetMode="External" Id="rId1489" /><Relationship Type="http://schemas.openxmlformats.org/officeDocument/2006/relationships/hyperlink" Target="https://contrataciondelestado.es/FileSystem/servlet/GetDocumentByIdServlet?cifrado=QUC1GjXXSiLkydRHJBmbpw%3D%3D&amp;DocumentIdParam=SFTMrwsxyNxtiYVHy60xT6CtJbH9TWD96BLb4M30EsxaTq1hVcZnaWTxXawX7kbU/U2iqfLP3r5LgoUiUqwpEVDnX5lwmn%2BVG9ln77xJD4Vt/o8fNevwsujgRzaBbugn" TargetMode="External" Id="rId1490" /><Relationship Type="http://schemas.openxmlformats.org/officeDocument/2006/relationships/hyperlink" Target="https://contrataciondelestado.es/wps/poc?uri=deeplink:detalle_licitacion&amp;idEvl=2I%2FQ16mSrx3IGlsa0Wad%2Bw%3D%3D" TargetMode="External" Id="rId1491" /><Relationship Type="http://schemas.openxmlformats.org/officeDocument/2006/relationships/hyperlink" Target="https://contrataciondelestado.es/FileSystem/servlet/GetDocumentByIdServlet?cifrado=QUC1GjXXSiLkydRHJBmbpw%3D%3D&amp;DocumentIdParam=0jxcYpyRf/JKgRcNB7xOikY%2BLBA1lw6RrLFeY35q5WpUHFfzf9%2BTLJ9ys9PSvH8hab2MLD7bBVYRx6KyH50OnYd3jixQQk5wT7RkpvSH9XN7QB3HKyQaFUExmUVQCerk" TargetMode="External" Id="rId1492" /><Relationship Type="http://schemas.openxmlformats.org/officeDocument/2006/relationships/hyperlink" Target="https://contrataciondelestado.es/wps/poc?uri=deeplink:detalle_licitacion&amp;idEvl=GADmwfO5rNuqb7rCcv76BA%3D%3D" TargetMode="External" Id="rId1493"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1494" /><Relationship Type="http://schemas.openxmlformats.org/officeDocument/2006/relationships/hyperlink" Target="https://contrataciondelestado.es/wps/poc?uri=deeplink:detalle_licitacion&amp;idEvl=zScWEvqwJiG8ebB%2FXTwy0A%3D%3D" TargetMode="External" Id="rId1495" /><Relationship Type="http://schemas.openxmlformats.org/officeDocument/2006/relationships/hyperlink" Target="https://contrataciondelestado.es/FileSystem/servlet/GetDocumentByIdServlet?cifrado=QUC1GjXXSiLkydRHJBmbpw%3D%3D&amp;DocumentIdParam=veRubTMpnQvXy5MwFWcKpxZuRg5puovufVMnoQMhlBz7ySBXfeJhHg%2BSuoYo1nzw0pmva96hRJgHGDozAHSkKuflXa3%2BwP%2B8wghzu0ePZ25JOVDbGCDM%2BMigrvuVS7Rv" TargetMode="External" Id="rId1496" /><Relationship Type="http://schemas.openxmlformats.org/officeDocument/2006/relationships/hyperlink" Target="https://contrataciondelestado.es/wps/poc?uri=deeplink:detalle_licitacion&amp;idEvl=45AMlaZ6q5U%2Bk2oCbDosIw%3D%3D" TargetMode="External" Id="rId1497" /><Relationship Type="http://schemas.openxmlformats.org/officeDocument/2006/relationships/hyperlink" Target="https://contrataciondelestado.es/FileSystem/servlet/GetDocumentByIdServlet?cifrado=QUC1GjXXSiLkydRHJBmbpw%3D%3D&amp;DocumentIdParam=XOjSQjv/mNDnWVUZ%2BNky46pUWKTPiGLm3mw%2B4eKI1KTXvWsIxWC7hFw6/JuBe70KDQxlukW7FTtGZZYhcayKTQBJbs3t0O%2BO/ckGZIPkVXI//q7NB2iMZvNyf0xrJmjt" TargetMode="External" Id="rId1498" /><Relationship Type="http://schemas.openxmlformats.org/officeDocument/2006/relationships/hyperlink" Target="https://contrataciondelestado.es/wps/poc?uri=deeplink:detalle_licitacion&amp;idEvl=%2F05EPAERVNW9Hd5zqvq9cg%3D%3D" TargetMode="External" Id="rId1499" /><Relationship Type="http://schemas.openxmlformats.org/officeDocument/2006/relationships/hyperlink" Target="https://contrataciondelestado.es/FileSystem/servlet/GetDocumentByIdServlet?cifrado=QUC1GjXXSiLkydRHJBmbpw%3D%3D&amp;DocumentIdParam=zqhodZsqaiP%2Bknkwz9h5JrMw2wSl0QbUXc6iRQiEUvLGH5owL/Pzlf0lBFaTFoeH4c1a0HphsZ/LhN4/cx/Op2vQozae3UufPO7P/C2/6cdJOVDbGCDM%2BMigrvuVS7Rv" TargetMode="External" Id="rId1500" /><Relationship Type="http://schemas.openxmlformats.org/officeDocument/2006/relationships/hyperlink" Target="https://contrataciondelestado.es/wps/poc?uri=deeplink:detalle_licitacion&amp;idEvl=9rFYmZgBJ6f%2Fa9DgO%2BoYKQ%3D%3D" TargetMode="External" Id="rId1501" /><Relationship Type="http://schemas.openxmlformats.org/officeDocument/2006/relationships/hyperlink" Target="https://contrataciondelestado.es/FileSystem/servlet/GetDocumentByIdServlet?cifrado=QUC1GjXXSiLkydRHJBmbpw%3D%3D&amp;DocumentIdParam=IbmwLlFhPFWOFr9p5SCUDy%2BnIyazKZz51yNJN0/BuXMa4tTWDnuqsEk51l2QhSjUZ/WWBJbSUVcGnNjr8WT6AMg8uruQpUn9kD7Tjv/ItTM//q7NB2iMZvNyf0xrJmjt" TargetMode="External" Id="rId1502" /><Relationship Type="http://schemas.openxmlformats.org/officeDocument/2006/relationships/hyperlink" Target="https://contrataciondelestado.es/wps/poc?uri=deeplink:detalle_licitacion&amp;idEvl=iHx5nncmO%2F84NavIWzMcHA%3D%3D" TargetMode="External" Id="rId1503" /><Relationship Type="http://schemas.openxmlformats.org/officeDocument/2006/relationships/hyperlink" Target="https://contrataciondelestado.es/FileSystem/servlet/GetDocumentByIdServlet?cifrado=QUC1GjXXSiLkydRHJBmbpw%3D%3D&amp;DocumentIdParam=V5RDuHZmrmPVq//9brQnmIdYxGJShFBXIKfm9hLIHdcqgSe1bUH1RvSYR2IwRAceJc9RXyF7/WPuMtAFaLv4n4nGRJgS72UeacxoOoyEWmBt/o8fNevwsujgRzaBbugn" TargetMode="External" Id="rId1504" /><Relationship Type="http://schemas.openxmlformats.org/officeDocument/2006/relationships/hyperlink" Target="https://contrataciondelestado.es/wps/poc?uri=deeplink:detalle_licitacion&amp;idEvl=pQHBa7sALoXs%2BnLj3vAg5A%3D%3D" TargetMode="External" Id="rId1505"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1506" /><Relationship Type="http://schemas.openxmlformats.org/officeDocument/2006/relationships/hyperlink" Target="https://contrataciondelestado.es/wps/poc?uri=deeplink:detalle_licitacion&amp;idEvl=q%2BQgw3BsMBTmnwcj%2BxbdTg%3D%3D" TargetMode="External" Id="rId1507" /><Relationship Type="http://schemas.openxmlformats.org/officeDocument/2006/relationships/hyperlink" Target="https://contrataciondelestado.es/FileSystem/servlet/GetDocumentByIdServlet?cifrado=QUC1GjXXSiLkydRHJBmbpw%3D%3D&amp;DocumentIdParam=KZLnRwEIKA9qCaFNDvJEVULk7CEOykNIvNgN36H1rxUI3d0MAuvr/P9YcbD1N%2BOu2UwUqXfHRxIJucWiVopX9zswxZW1vuz8RWUUVearA3f6CYyL7SIrUOBFfNf52ZqA" TargetMode="External" Id="rId1508" /><Relationship Type="http://schemas.openxmlformats.org/officeDocument/2006/relationships/hyperlink" Target="https://contrataciondelestado.es/wps/poc?uri=deeplink:detalle_licitacion&amp;idEvl=jF8H4YMnN3pt5r0ngvMetA%3D%3D" TargetMode="External" Id="rId1509" /><Relationship Type="http://schemas.openxmlformats.org/officeDocument/2006/relationships/hyperlink" Target="https://contrataciondelestado.es/FileSystem/servlet/GetDocumentByIdServlet?cifrado=QUC1GjXXSiLkydRHJBmbpw%3D%3D&amp;DocumentIdParam=bgmEka5OVDYpLrbo8W/NVQp7DU%2BYxaUXkSbf7q%2BQHkFbWDGjdN0u7gI6cDvWVA9tJyil410sxn1zKNgpGAim7OEg971GBlZ/v2LLRn2s3UkZyAJWGsSt0OzTSTyw9JAs" TargetMode="External" Id="rId1510" /><Relationship Type="http://schemas.openxmlformats.org/officeDocument/2006/relationships/hyperlink" Target="https://contrataciondelestado.es/wps/poc?uri=deeplink:detalle_licitacion&amp;idEvl=%2B0aZtpH0g5RJ8Trn0ZPzLw%3D%3D" TargetMode="External" Id="rId1511" /><Relationship Type="http://schemas.openxmlformats.org/officeDocument/2006/relationships/hyperlink" Target="https://contrataciondelestado.es/FileSystem/servlet/GetDocumentByIdServlet?cifrado=QUC1GjXXSiLkydRHJBmbpw%3D%3D&amp;DocumentIdParam=nJqViA7w%2Bwd/CBGBB36y1eJfgo83v5cBuzGvm9mmw%2BGjmqfG3uArqPPjfnrP%2BKSOu3gR36b1Nu4l4NbI1dFZ/0xqiOX%2BAQHZzoL68SdIeey1aXEvq3KHa/AEHgtDrQw0" TargetMode="External" Id="rId1512" /><Relationship Type="http://schemas.openxmlformats.org/officeDocument/2006/relationships/hyperlink" Target="https://contrataciondelestado.es/wps/poc?uri=deeplink:detalle_licitacion&amp;idEvl=5ZAamrmTphOHCIsjvJ3rhQ%3D%3D" TargetMode="External" Id="rId1513" /><Relationship Type="http://schemas.openxmlformats.org/officeDocument/2006/relationships/hyperlink" Target="https://contrataciondelestado.es/FileSystem/servlet/GetDocumentByIdServlet?cifrado=QUC1GjXXSiLkydRHJBmbpw%3D%3D&amp;DocumentIdParam=L426wQGABFiCiobiAO5tm29H5wSrallH2LZwNXg04L%2BD3Hh3gs0GSUK2usPyeQed1kcs99AuOVIqsR46iEQHePgik%2BjrKiZHLIBUPzML68wZyAJWGsSt0OzTSTyw9JAs" TargetMode="External" Id="rId1514" /><Relationship Type="http://schemas.openxmlformats.org/officeDocument/2006/relationships/hyperlink" Target="https://contrataciondelestado.es/wps/poc?uri=deeplink:detalle_licitacion&amp;idEvl=A0hdTJx%2BD6ecCF8sV%2BqtYA%3D%3D" TargetMode="External" Id="rId1515" /><Relationship Type="http://schemas.openxmlformats.org/officeDocument/2006/relationships/hyperlink" Target="https://contrataciondelestado.es/FileSystem/servlet/GetDocumentByIdServlet?cifrado=QUC1GjXXSiLkydRHJBmbpw%3D%3D&amp;DocumentIdParam=E%2B2PqfSm98lilsICUGV2Q9ZoWxBOxyv8Y0BUs75/ZspEQh87WONlgD%2BPPfHeEOctaNkQk5duDrZndZXnEpktYG4CXkSvAbqEY2FuqsJxVNwZyAJWGsSt0OzTSTyw9JAs" TargetMode="External" Id="rId1516" /><Relationship Type="http://schemas.openxmlformats.org/officeDocument/2006/relationships/hyperlink" Target="https://contrataciondelestado.es/wps/poc?uri=deeplink:detalle_licitacion&amp;idEvl=1tXYVC1wrvRVYjgxA4nMUw%3D%3D" TargetMode="External" Id="rId1517"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1518" /><Relationship Type="http://schemas.openxmlformats.org/officeDocument/2006/relationships/hyperlink" Target="https://contrataciondelestado.es/wps/poc?uri=deeplink:detalle_licitacion&amp;idEvl=ICFDk6B9moy5HQrHoP3G5A%3D%3D" TargetMode="External" Id="rId1519" /><Relationship Type="http://schemas.openxmlformats.org/officeDocument/2006/relationships/hyperlink" Target="https://contrataciondelestado.es/FileSystem/servlet/GetDocumentByIdServlet?cifrado=QUC1GjXXSiLkydRHJBmbpw%3D%3D&amp;DocumentIdParam=kOIV9qgLmB8SY8Eg2xgAiM8yRSExgPoiw8QZ6Fofm2xez3uyv9gTo64oC3dJ9BnezNyY48VmUBT1Gwu5GHVMVAz5W4mWhLJ9iLLGPgoAGQAC1/zDIE0Kw/PWNnLS0Z0z" TargetMode="External" Id="rId1520" /><Relationship Type="http://schemas.openxmlformats.org/officeDocument/2006/relationships/hyperlink" Target="https://contrataciondelestado.es/wps/poc?uri=deeplink:detalle_licitacion&amp;idEvl=8zEJtqOT%2BRWHCIsjvJ3rhQ%3D%3D" TargetMode="External" Id="rId1521" /><Relationship Type="http://schemas.openxmlformats.org/officeDocument/2006/relationships/hyperlink" Target="https://contrataciondelestado.es/FileSystem/servlet/GetDocumentByIdServlet?cifrado=QUC1GjXXSiLkydRHJBmbpw%3D%3D&amp;DocumentIdParam=61bQDv1xhJsnMZApKUX%2BMUy2PlCXhwJz8VQmTfu1OCKNEynRxllmL9RuZUCM%2BL9%2Bv1lVcUzOwruYoVhfcxmoEK9DbiKAnH3d6ydvIVhF/sPDdQD9RyhUmzT4jZ2In4zL" TargetMode="External" Id="rId1522" /><Relationship Type="http://schemas.openxmlformats.org/officeDocument/2006/relationships/hyperlink" Target="https://contrataciondelestado.es/wps/poc?uri=deeplink:detalle_licitacion&amp;idEvl=ptekLwR3yDTIGlsa0Wad%2Bw%3D%3D" TargetMode="External" Id="rId1523" /><Relationship Type="http://schemas.openxmlformats.org/officeDocument/2006/relationships/hyperlink" Target="https://contrataciondelestado.es/FileSystem/servlet/GetDocumentByIdServlet?cifrado=QUC1GjXXSiLkydRHJBmbpw%3D%3D&amp;DocumentIdParam=nHqrny%2BIG%2BIbbVmLMyFyzUTZyZ4ZJTVYFeIwnHUSg93GLF4N1qHmY6G4r880D/BhCFuIlfYPo81HU6oawlPOc9JN/ZcQjN4VlRnQ0RcctNG1aXEvq3KHa/AEHgtDrQw0" TargetMode="External" Id="rId1524" /><Relationship Type="http://schemas.openxmlformats.org/officeDocument/2006/relationships/hyperlink" Target="https://contrataciondelestado.es/wps/poc?uri=deeplink:detalle_licitacion&amp;idEvl=04mR97hr32wzjChw4z%2FXvw%3D%3D" TargetMode="External" Id="rId1525"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1526" /><Relationship Type="http://schemas.openxmlformats.org/officeDocument/2006/relationships/hyperlink" Target="https://contrataciondelestado.es/wps/poc?uri=deeplink:detalle_licitacion&amp;idEvl=GxlSydvGnUQ36J9Lctlsuw%3D%3D" TargetMode="External" Id="rId1527" /><Relationship Type="http://schemas.openxmlformats.org/officeDocument/2006/relationships/hyperlink" Target="https://contrataciondelestado.es/FileSystem/servlet/GetDocumentByIdServlet?cifrado=QUC1GjXXSiLkydRHJBmbpw%3D%3D&amp;DocumentIdParam=LX2brjUbU9a9d9ltNSJukozm09uMDwt%2BuPIddsihSah/HLgT5IIwEA5a0/0cWbukNEJhlUOkgP8h5YZYlZAdwsypCaJmIEIyy%2BJzCJm5Sl3DdQD9RyhUmzT4jZ2In4zL" TargetMode="External" Id="rId1528" /><Relationship Type="http://schemas.openxmlformats.org/officeDocument/2006/relationships/hyperlink" Target="https://contrataciondelestado.es/wps/poc?uri=deeplink:detalle_licitacion&amp;idEvl=iMD4m2JzQzwBPRBxZ4nJ%2Fg%3D%3D" TargetMode="External" Id="rId1529" /><Relationship Type="http://schemas.openxmlformats.org/officeDocument/2006/relationships/hyperlink" Target="https://contrataciondelestado.es/wps/wcm/connect/PLACE_es/Site/area/docAccCmpnt?srv=cmpnt&amp;cmpntname=GetDocumentsById&amp;source=library&amp;DocumentIdParam=2e2ee9f4-ad8a-46d3-bf82-34b56caf665e" TargetMode="External" Id="rId1530" /><Relationship Type="http://schemas.openxmlformats.org/officeDocument/2006/relationships/hyperlink" Target="https://contrataciondelestado.es/wps/poc?uri=deeplink:detalle_licitacion&amp;idEvl=rJc49tn7knHL1rX3q%2FMAPA%3D%3D" TargetMode="External" Id="rId1531" /><Relationship Type="http://schemas.openxmlformats.org/officeDocument/2006/relationships/hyperlink" Target="https://contrataciondelestado.es/FileSystem/servlet/GetDocumentByIdServlet?cifrado=QUC1GjXXSiLkydRHJBmbpw%3D%3D&amp;DocumentIdParam=OimoipVvmIu9tI7g2qVQoHZmw0/vfSVWH%2BjBKwEkzeyV1XUu98i70%2BqaXEg5NLqcWHrPvNmNbR0T%2BOMyT82igSD%2Bj%2B0IeGhhqz0TljYZqRWCx2e6p7hqtlp2aFupgHMr" TargetMode="External" Id="rId1532" /><Relationship Type="http://schemas.openxmlformats.org/officeDocument/2006/relationships/hyperlink" Target="https://contrataciondelestado.es/wps/poc?uri=deeplink:detalle_licitacion&amp;idEvl=Yzq1eAgxXeA%2Bk2oCbDosIw%3D%3D" TargetMode="External" Id="rId1533"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1534" /><Relationship Type="http://schemas.openxmlformats.org/officeDocument/2006/relationships/hyperlink" Target="https://contrataciondelestado.es/wps/poc?uri=deeplink:detalle_licitacion&amp;idEvl=y3I%2BuvCIK1o36J9Lctlsuw%3D%3D" TargetMode="External" Id="rId1535" /><Relationship Type="http://schemas.openxmlformats.org/officeDocument/2006/relationships/hyperlink" Target="https://contrataciondelestado.es/FileSystem/servlet/GetDocumentByIdServlet?cifrado=QUC1GjXXSiLkydRHJBmbpw%3D%3D&amp;DocumentIdParam=LGpBWBn3QPPOlHR7nQd2kAvR6B3x46HBOU2ekhHz1nXIKlxVr5O7ZYV0jfPsvqit2reYbm7%2B7CGReF5/JHG8zIhYlCEdPd1KJG4C%2BITt59z6CYyL7SIrUOBFfNf52ZqA" TargetMode="External" Id="rId1536" /><Relationship Type="http://schemas.openxmlformats.org/officeDocument/2006/relationships/hyperlink" Target="https://contrataciondelestado.es/wps/poc?uri=deeplink:detalle_licitacion&amp;idEvl=cQbWxtnWm2Ts%2BnLj3vAg5A%3D%3D" TargetMode="External" Id="rId1537"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1538" /><Relationship Type="http://schemas.openxmlformats.org/officeDocument/2006/relationships/hyperlink" Target="https://contrataciondelestado.es/wps/poc?uri=deeplink:detalle_licitacion&amp;idEvl=B8gfKoy0QRKTylGzYmBF9Q%3D%3D" TargetMode="External" Id="rId1539" /><Relationship Type="http://schemas.openxmlformats.org/officeDocument/2006/relationships/hyperlink" Target="https://contrataciondelestado.es/FileSystem/servlet/GetDocumentByIdServlet?cifrado=QUC1GjXXSiLkydRHJBmbpw%3D%3D&amp;DocumentIdParam=uwgv0r4N7ti8h3jIHPa7IXYRf5arUzCAC%2B30FhwjGAr/HOtNtyXovZOnmE4yIFs%2BHXg/LxxjB67AiZSMfI6fC415Fu9vLoIOdse7PKeOYF/3GVhXrFFqN7yFncy7YfRK" TargetMode="External" Id="rId1540" /><Relationship Type="http://schemas.openxmlformats.org/officeDocument/2006/relationships/hyperlink" Target="https://contrataciondelestado.es/wps/poc?uri=deeplink:detalle_licitacion&amp;idEvl=FjUIb1OJ56vECtSnloz%2BZQ%3D%3D" TargetMode="External" Id="rId1541" /><Relationship Type="http://schemas.openxmlformats.org/officeDocument/2006/relationships/hyperlink" Target="https://contrataciondelestado.es/FileSystem/servlet/GetDocumentByIdServlet?cifrado=QUC1GjXXSiLkydRHJBmbpw%3D%3D&amp;DocumentIdParam=HSSiMN082WR7gpyrggN0LgvhL1LEkHfcPFmNN/BPEGY78H1c%2BncckwW5hAHyz6rpBZJMRpTrjCpPC0F9ifMizQYbk48Yw8ihLN3mvDTI5fX3GVhXrFFqN7yFncy7YfRK" TargetMode="External" Id="rId1542" /><Relationship Type="http://schemas.openxmlformats.org/officeDocument/2006/relationships/hyperlink" Target="https://contrataciondelestado.es/wps/poc?uri=deeplink:detalle_licitacion&amp;idEvl=XMbLsDfbwLrN3k3tjedSGw%3D%3D" TargetMode="External" Id="rId1543"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1544" /><Relationship Type="http://schemas.openxmlformats.org/officeDocument/2006/relationships/hyperlink" Target="https://contrataciondelestado.es/wps/poc?uri=deeplink:detalle_licitacion&amp;idEvl=vZ%2FhsH%2B0w7lt5r0ngvMetA%3D%3D" TargetMode="External" Id="rId1545"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546" /><Relationship Type="http://schemas.openxmlformats.org/officeDocument/2006/relationships/hyperlink" Target="https://contrataciondelestado.es/wps/poc?uri=deeplink:detalle_licitacion&amp;idEvl=6P2t5FJBTMu7JOCXkOhcDg%3D%3D" TargetMode="External" Id="rId1547" /><Relationship Type="http://schemas.openxmlformats.org/officeDocument/2006/relationships/hyperlink" Target="https://contrataciondelestado.es/wps/poc?uri=deeplink:detalle_licitacion&amp;idEvl=G2p5Fy9Fgm3CfVQHDepjGQ%3D%3D" TargetMode="External" Id="rId1548"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1549" /><Relationship Type="http://schemas.openxmlformats.org/officeDocument/2006/relationships/hyperlink" Target="https://contrataciondelestado.es/wps/poc?uri=deeplink:detalle_licitacion&amp;idEvl=ENUKH%2BacOtXI8aL3PRS10Q%3D%3D" TargetMode="External" Id="rId1550"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1551" /><Relationship Type="http://schemas.openxmlformats.org/officeDocument/2006/relationships/hyperlink" Target="https://contrataciondelestado.es/wps/poc?uri=deeplink:detalle_licitacion&amp;idEvl=Fn54sRnvqVlVkTabT%2FRM8A%3D%3D" TargetMode="External" Id="rId1552" /><Relationship Type="http://schemas.openxmlformats.org/officeDocument/2006/relationships/hyperlink" Target="https://contrataciondelestado.es/FileSystem/servlet/GetDocumentByIdServlet?cifrado=QUC1GjXXSiLkydRHJBmbpw%3D%3D&amp;DocumentIdParam=h0YZpn4sZVOzGVx7gKGe8Tp/DcHO1b7TXNShmWGovzsURUJn/UfOnHRy%2BwI6Y2M3giF9KncE%2BNRCCZnpLLYk/RuULJc%2BOCfg40pKc5C5/yz3GVhXrFFqN7yFncy7YfRK" TargetMode="External" Id="rId1553" /><Relationship Type="http://schemas.openxmlformats.org/officeDocument/2006/relationships/hyperlink" Target="https://contrataciondelestado.es/wps/poc?uri=deeplink:detalle_licitacion&amp;idEvl=E1LUQ6TjDKlJ8Trn0ZPzLw%3D%3D" TargetMode="External" Id="rId1554" /><Relationship Type="http://schemas.openxmlformats.org/officeDocument/2006/relationships/hyperlink" Target="https://contrataciondelestado.es/FileSystem/servlet/GetDocumentByIdServlet?cifrado=QUC1GjXXSiLkydRHJBmbpw%3D%3D&amp;DocumentIdParam=UA/pKd8cPL89ZoU7j25qfO6A7Y72ZayRcZ3o9DZRRyhX9czJv76Ll23k7RhYIRYa55b9hqZRayM6EZdZlHhBiUav2/ksYk2b/wGgu6uSm1IC1/zDIE0Kw/PWNnLS0Z0z" TargetMode="External" Id="rId1555" /><Relationship Type="http://schemas.openxmlformats.org/officeDocument/2006/relationships/hyperlink" Target="https://contrataciondelestado.es/wps/poc?uri=deeplink:detalle_licitacion&amp;idEvl=ipYjrHly0tw2wEhQbcAqug%3D%3D" TargetMode="External" Id="rId1556" /><Relationship Type="http://schemas.openxmlformats.org/officeDocument/2006/relationships/hyperlink" Target="https://contrataciondelestado.es/FileSystem/servlet/GetDocumentByIdServlet?cifrado=QUC1GjXXSiLkydRHJBmbpw%3D%3D&amp;DocumentIdParam=7dJfD0%2BGx2EB/VDdf8jeRVFap/dd%2BuZ9jOZupnl6VWHVgOfI8oZQ1ewKStbIcz%2BgY88frGhHtpny72ATN1OvIHvkUkP8RKvJQDWUAeSNlENt/o8fNevwsujgRzaBbugn" TargetMode="External" Id="rId1557" /><Relationship Type="http://schemas.openxmlformats.org/officeDocument/2006/relationships/hyperlink" Target="https://contrataciondelestado.es/wps/poc?uri=deeplink:detalle_licitacion&amp;idEvl=rA38CxUedswtm4eBPtV6eQ%3D%3D" TargetMode="External" Id="rId1558" /><Relationship Type="http://schemas.openxmlformats.org/officeDocument/2006/relationships/hyperlink" Target="https://contrataciondelestado.es/FileSystem/servlet/GetDocumentByIdServlet?cifrado=QUC1GjXXSiLkydRHJBmbpw%3D%3D&amp;DocumentIdParam=WdS1LuaQvIfP%2B4YXarLmby%2BZl6BeC4O4j3IEXxrDaR8q4SPEv/0mQFJhM5OqOJhNCWLpcTW5YLKxsDHG/t4AlflUfTRsnXNktVZUPSRlQ9TVTD3T98KC0nSgQFM0q%2B5s" TargetMode="External" Id="rId1559" /><Relationship Type="http://schemas.openxmlformats.org/officeDocument/2006/relationships/hyperlink" Target="https://contrataciondelestado.es/wps/poc?uri=deeplink:detalle_licitacion&amp;idEvl=SMPZFNEVQ96GCFcHcNGIlQ%3D%3D" TargetMode="External" Id="rId1560" /><Relationship Type="http://schemas.openxmlformats.org/officeDocument/2006/relationships/hyperlink" Target="https://contrataciondelestado.es/wps/poc?uri=deeplink:detalle_licitacion&amp;idEvl=C53ZMBfhVDc36J9Lctlsuw%3D%3D" TargetMode="External" Id="rId1561" /><Relationship Type="http://schemas.openxmlformats.org/officeDocument/2006/relationships/hyperlink" Target="https://contrataciondelestado.es/FileSystem/servlet/GetDocumentByIdServlet?cifrado=QUC1GjXXSiLkydRHJBmbpw%3D%3D&amp;DocumentIdParam=LpPIgqBCrcI%2BCWPsDmG0ucBIuBTDF6gHbsHvOQyiLi5QWeBAFNlkOvXyAP%2BXrxkPYaCR8O0bIPN5js3nY/yHQWbJ5VWdWF6ktGOQuxPwT6Ft/o8fNevwsujgRzaBbugn" TargetMode="External" Id="rId1562" /><Relationship Type="http://schemas.openxmlformats.org/officeDocument/2006/relationships/hyperlink" Target="https://contrataciondelestado.es/wps/poc?uri=deeplink:detalle_licitacion&amp;idEvl=tSXg9s%2BxJHoQyBAnWzHfCg%3D%3D" TargetMode="External" Id="rId1563" /><Relationship Type="http://schemas.openxmlformats.org/officeDocument/2006/relationships/hyperlink" Target="https://contrataciondelestado.es/FileSystem/servlet/GetDocumentByIdServlet?cifrado=QUC1GjXXSiLkydRHJBmbpw%3D%3D&amp;DocumentIdParam=xVwpZ5uU6G4ID7maAL%2BXFmsUMNMED7zN9xnH2u7/K7cJouJGBUxA%2BK%2BX15nhijs33vk8djWaWtv41ovVb36yQzYC2nNILyIxJioK2WEMzd6B0nvVKRzfe4rpHcnlPhSZ" TargetMode="External" Id="rId1564" /><Relationship Type="http://schemas.openxmlformats.org/officeDocument/2006/relationships/hyperlink" Target="https://contrataciondelestado.es/wps/poc?uri=deeplink:detalle_licitacion&amp;idEvl=H%2BfoiMiWeQuS81gZFETWmA%3D%3D" TargetMode="External" Id="rId1565" /><Relationship Type="http://schemas.openxmlformats.org/officeDocument/2006/relationships/hyperlink" Target="https://contrataciondelestado.es/FileSystem/servlet/GetDocumentByIdServlet?cifrado=QUC1GjXXSiLkydRHJBmbpw%3D%3D&amp;DocumentIdParam=EvNLXcH34YGE/AkgGXmdu%2B25m0r%2BPRyv2m9m78qv9cq2QUZFTiUKhAt7oB0aHZPEobFiwJhMOrrgukYkl%2BLpxS2vI6ouJpMBUGLDCyH1j4iB0nvVKRzfe4rpHcnlPhSZ" TargetMode="External" Id="rId1566" /><Relationship Type="http://schemas.openxmlformats.org/officeDocument/2006/relationships/hyperlink" Target="https://contrataciondelestado.es/wps/poc?uri=deeplink:detalle_licitacion&amp;idEvl=TBVAfSQ3Ua6opEMYCmrbmw%3D%3D" TargetMode="External" Id="rId1567"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1568" /><Relationship Type="http://schemas.openxmlformats.org/officeDocument/2006/relationships/hyperlink" Target="https://contrataciondelestado.es/wps/poc?uri=deeplink:detalle_licitacion&amp;idEvl=%2Fc%2Bm8RERtmmsNfRW6APEDw%3D%3D" TargetMode="External" Id="rId1569"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1570" /><Relationship Type="http://schemas.openxmlformats.org/officeDocument/2006/relationships/hyperlink" Target="https://contrataciondelestado.es/wps/poc?uri=deeplink:detalle_licitacion&amp;idEvl=v1xB%2FUnSk1Qtm4eBPtV6eQ%3D%3D" TargetMode="External" Id="rId1571"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572" /><Relationship Type="http://schemas.openxmlformats.org/officeDocument/2006/relationships/hyperlink" Target="https://contrataciondelestado.es/wps/poc?uri=deeplink:detalle_licitacion&amp;idEvl=Onh%2Fl6FYRGhQFSeKCRun4Q%3D%3D" TargetMode="External" Id="rId1573"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1574" /><Relationship Type="http://schemas.openxmlformats.org/officeDocument/2006/relationships/hyperlink" Target="https://contrataciondelestado.es/wps/poc?uri=deeplink:detalle_licitacion&amp;idEvl=1cudDmqrVQCP%2Bo96UAV7cQ%3D%3D" TargetMode="External" Id="rId1575" /><Relationship Type="http://schemas.openxmlformats.org/officeDocument/2006/relationships/hyperlink" Target="https://contrataciondelestado.es/FileSystem/servlet/GetDocumentByIdServlet?cifrado=QUC1GjXXSiLkydRHJBmbpw%3D%3D&amp;DocumentIdParam=JOG%2BiPsAr6NLrS7NaV1ORpGpHDPgkbE5xRHVmvPPFG6Cdm5mCudZsLN2zLxXDMlS%2BMkvTa3JztI/kvVRY9VBuoxk8aXWZ6Z2w7SVpwWOKweCx2e6p7hqtlp2aFupgHMr" TargetMode="External" Id="rId1576" /><Relationship Type="http://schemas.openxmlformats.org/officeDocument/2006/relationships/hyperlink" Target="https://contrataciondelestado.es/wps/poc?uri=deeplink:detalle_licitacion&amp;idEvl=BJ4j1IN%2F7LEuf4aBO%2BvQlQ%3D%3D" TargetMode="External" Id="rId1577" /><Relationship Type="http://schemas.openxmlformats.org/officeDocument/2006/relationships/hyperlink" Target="https://contrataciondelestado.es/wps/wcm/connect/PLACE_es/Site/area/docAccCmpnt?srv=cmpnt&amp;cmpntname=GetDocumentsById&amp;source=library&amp;DocumentIdParam=fb3fea8c-39d2-4f43-9eab-76c690167ddb" TargetMode="External" Id="rId1578" /><Relationship Type="http://schemas.openxmlformats.org/officeDocument/2006/relationships/hyperlink" Target="https://contrataciondelestado.es/wps/poc?uri=deeplink:detalle_licitacion&amp;idEvl=FIoPQHXBjIMtm4eBPtV6eQ%3D%3D" TargetMode="External" Id="rId1579" /><Relationship Type="http://schemas.openxmlformats.org/officeDocument/2006/relationships/hyperlink" Target="https://contrataciondelestado.es/FileSystem/servlet/GetDocumentByIdServlet?cifrado=QUC1GjXXSiLkydRHJBmbpw%3D%3D&amp;DocumentIdParam=cDc1LRD4N0EDFIFlscSz3qcv83P/OFhwxmu8UfS9zlWsNIGYQVDlR6eQe5Fna4UxRx5382nQmGVJc1paTEAuMJnpfQ%2BwFpApMHkdU9AO36UZyAJWGsSt0OzTSTyw9JAs" TargetMode="External" Id="rId1580" /><Relationship Type="http://schemas.openxmlformats.org/officeDocument/2006/relationships/hyperlink" Target="https://contrataciondelestado.es/wps/poc?uri=deeplink:detalle_licitacion&amp;idEvl=VXITiTNQZKcQyBAnWzHfCg%3D%3D" TargetMode="External" Id="rId1581" /><Relationship Type="http://schemas.openxmlformats.org/officeDocument/2006/relationships/hyperlink" Target="https://contrataciondelestado.es/FileSystem/servlet/GetDocumentByIdServlet?cifrado=QUC1GjXXSiLkydRHJBmbpw%3D%3D&amp;DocumentIdParam=x2hBcXED16PWJstQKG1F3AwDA4Treo%2B1rnm7yoZRJ9ui29CUiCfk2dfSYc/OtY%2BxdQ3TlxturYtMJhhiNgMMVUUYmOFDgLnrt%2BD7ZiWB0Yl45ClyWkoJ44mKM70IFcOu" TargetMode="External" Id="rId1582" /><Relationship Type="http://schemas.openxmlformats.org/officeDocument/2006/relationships/hyperlink" Target="https://contrataciondelestado.es/wps/poc?uri=deeplink:detalle_licitacion&amp;idEvl=nEMwizfo68ZVq4S9zvaQpQ%3D%3D" TargetMode="External" Id="rId1583" /><Relationship Type="http://schemas.openxmlformats.org/officeDocument/2006/relationships/hyperlink" Target="https://contrataciondelestado.es/FileSystem/servlet/GetDocumentByIdServlet?cifrado=QUC1GjXXSiLkydRHJBmbpw%3D%3D&amp;DocumentIdParam=jikdtFpMYSjDG8WrYbchLeiuh4/OJHrQVCqVbqR%2BFh8CO%2BEW3K0r/xa1O7YjMwl0cHqKzoOU8EbtyQ/8lIFafcDj%2Bqq7T8kTxOn4qgjIlBT6CYyL7SIrUOBFfNf52ZqA" TargetMode="External" Id="rId1584" /><Relationship Type="http://schemas.openxmlformats.org/officeDocument/2006/relationships/hyperlink" Target="https://contrataciondelestado.es/wps/poc?uri=deeplink:detalle_licitacion&amp;idEvl=KQA5aUxcsRBVq4S9zvaQpQ%3D%3D" TargetMode="External" Id="rId1585"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1586" /><Relationship Type="http://schemas.openxmlformats.org/officeDocument/2006/relationships/hyperlink" Target="https://contrataciondelestado.es/wps/poc?uri=deeplink:detalle_licitacion&amp;idEvl=RMBw1T2Mjta5HQrHoP3G5A%3D%3D" TargetMode="External" Id="rId1587" /><Relationship Type="http://schemas.openxmlformats.org/officeDocument/2006/relationships/hyperlink" Target="https://contrataciondelestado.es/FileSystem/servlet/GetDocumentByIdServlet?cifrado=QUC1GjXXSiLkydRHJBmbpw%3D%3D&amp;DocumentIdParam=N/ksm9%2B5g/hA6Y4pgF9yeF%2BQVT/xoVvZPECD5FIU4joRyngEYW/fPZMCbwOwwtzM0efW4dGPzkVO1hkkzOWIcOeKidbcP5YqwfRUyblXNeL6CYyL7SIrUOBFfNf52ZqA" TargetMode="External" Id="rId1588" /><Relationship Type="http://schemas.openxmlformats.org/officeDocument/2006/relationships/hyperlink" Target="https://contrataciondelestado.es/wps/poc?uri=deeplink:detalle_licitacion&amp;idEvl=ln6AJkEjlzAIYE3ZiZ%2BxmQ%3D%3D" TargetMode="External" Id="rId1589" /><Relationship Type="http://schemas.openxmlformats.org/officeDocument/2006/relationships/hyperlink" Target="https://contrataciondelestado.es/FileSystem/servlet/GetDocumentByIdServlet?cifrado=QUC1GjXXSiLkydRHJBmbpw%3D%3D&amp;DocumentIdParam=4OcMvXVc0SACSsmsuyDgHMrKduuCUksmsluTeZG2nUP/nkJtpGeDaxvY8LoTfI3N/AhhUJdqGIovgTMn6UzMqil5d2rgM3zlDzDLiXwvYq6HAj0WEJrB5sP7amrh2jBD" TargetMode="External" Id="rId1590" /><Relationship Type="http://schemas.openxmlformats.org/officeDocument/2006/relationships/hyperlink" Target="https://contrataciondelestado.es/wps/poc?uri=deeplink:detalle_licitacion&amp;idEvl=FB%2BlQK8s6kjI8aL3PRS10Q%3D%3D" TargetMode="External" Id="rId1591" /><Relationship Type="http://schemas.openxmlformats.org/officeDocument/2006/relationships/hyperlink" Target="https://contrataciondelestado.es/FileSystem/servlet/GetDocumentByIdServlet?cifrado=QUC1GjXXSiLkydRHJBmbpw%3D%3D&amp;DocumentIdParam=yevM0ZFisVtpv/zlDlW01GUYroVglndcBU7KZ8G/0rHemk06qmm0NvdXnlU8kUGns1eYJuRMPLziEQjlzask0u62XqGlrjNwQGS6ALcwnO21aXEvq3KHa/AEHgtDrQw0" TargetMode="External" Id="rId1592" /><Relationship Type="http://schemas.openxmlformats.org/officeDocument/2006/relationships/hyperlink" Target="https://contrataciondelestado.es/wps/poc?uri=deeplink:detalle_licitacion&amp;idEvl=sVtnuWC6Fk6FQ%2FlhRK79lA%3D%3D" TargetMode="External" Id="rId1593" /><Relationship Type="http://schemas.openxmlformats.org/officeDocument/2006/relationships/hyperlink" Target="https://contrataciondelestado.es/FileSystem/servlet/GetDocumentByIdServlet?cifrado=QUC1GjXXSiLkydRHJBmbpw%3D%3D&amp;DocumentIdParam=eYVZZ5ltpk2zjJujBLFjGWN3lK9Zd3FvKXZ/j7d9lzvL%2BhtioLHFnDjSEZG10Me0QTwwL45X7w2GyqMjj2au44sNphaZdPz7nqfXVJ/fnhq1aXEvq3KHa/AEHgtDrQw0" TargetMode="External" Id="rId1594" /><Relationship Type="http://schemas.openxmlformats.org/officeDocument/2006/relationships/hyperlink" Target="https://contrataciondelestado.es/wps/poc?uri=deeplink:detalle_licitacion&amp;idEvl=tQSDW6viA%2F1eKgd8LfVV9g%3D%3D" TargetMode="External" Id="rId1595" /><Relationship Type="http://schemas.openxmlformats.org/officeDocument/2006/relationships/hyperlink" Target="https://contrataciondelestado.es/FileSystem/servlet/GetDocumentByIdServlet?cifrado=QUC1GjXXSiLkydRHJBmbpw%3D%3D&amp;DocumentIdParam=Amt9l5sbmudNpn7W%2BmdiX0axmggiuc/%2BZ5csr1srKOvXEsaZanv8wwbrDdT8XUZx8Q2KFvHFXGXAMCU4lBys5lGgkdkPSuxNmhHXTyaKFrU//q7NB2iMZvNyf0xrJmjt" TargetMode="External" Id="rId1596" /><Relationship Type="http://schemas.openxmlformats.org/officeDocument/2006/relationships/hyperlink" Target="https://contrataciondelestado.es/wps/poc?uri=deeplink:detalle_licitacion&amp;idEvl=XTrhT9hhrzAeIBJRHQiPkQ%3D%3D" TargetMode="External" Id="rId1597" /><Relationship Type="http://schemas.openxmlformats.org/officeDocument/2006/relationships/hyperlink" Target="https://contrataciondelestado.es/wps/poc?uri=deeplink:detalle_licitacion&amp;idEvl=HVOKaI%2F0D0f%2Fa9DgO%2BoYKQ%3D%3D" TargetMode="External" Id="rId1598" /><Relationship Type="http://schemas.openxmlformats.org/officeDocument/2006/relationships/hyperlink" Target="https://contrataciondelestado.es/FileSystem/servlet/GetDocumentByIdServlet?cifrado=QUC1GjXXSiLkydRHJBmbpw%3D%3D&amp;DocumentIdParam=FAFUbvOPgPhfrK1bmyMq5RT00ME/DOVcOgDjqSG7ftdHCH3Tg11bA8Mkohc0p/hOmHh55PA%2Bb4oErMrpYirC%2BydgQtmkqTdr8Tq1TO/pf/yCx2e6p7hqtlp2aFupgHMr" TargetMode="External" Id="rId1599" /><Relationship Type="http://schemas.openxmlformats.org/officeDocument/2006/relationships/hyperlink" Target="https://contrataciondelestado.es/wps/poc?uri=deeplink:detalle_licitacion&amp;idEvl=nPivqe76%2BwQIYE3ZiZ%2BxmQ%3D%3D" TargetMode="External" Id="rId1600" /><Relationship Type="http://schemas.openxmlformats.org/officeDocument/2006/relationships/hyperlink" Target="https://contrataciondelestado.es/FileSystem/servlet/GetDocumentByIdServlet?cifrado=QUC1GjXXSiLkydRHJBmbpw%3D%3D&amp;DocumentIdParam=FrQy7n8uJAikXzMfvxDQzU2tbZ0xk5iIf284FFEsY9ae4i6mCD1fCpQ9nAm5Z7gGASq8ZjcdKktCceAR8PDJjewOLfZWfBjtSDa%2Bipv17yhJOVDbGCDM%2BMigrvuVS7Rv" TargetMode="External" Id="rId1601" /><Relationship Type="http://schemas.openxmlformats.org/officeDocument/2006/relationships/hyperlink" Target="https://contrataciondelestado.es/wps/poc?uri=deeplink:detalle_licitacion&amp;idEvl=ppiYwEPoOSPpxJFXpLZ%2B2A%3D%3D" TargetMode="External" Id="rId1602" /><Relationship Type="http://schemas.openxmlformats.org/officeDocument/2006/relationships/hyperlink" Target="https://contrataciondelestado.es/FileSystem/servlet/GetDocumentByIdServlet?cifrado=QUC1GjXXSiLkydRHJBmbpw%3D%3D&amp;DocumentIdParam=pqo/4w54nB67UlP3swHDlsthp2JjDewSGRq7yXy%2Bu4LiHZYOsOGklsgeS1J%2BM8sgjdFyGXaaNlpu3bxNLRmJ6tcDnzLyxkuPBznECNYvjDs//q7NB2iMZvNyf0xrJmjt" TargetMode="External" Id="rId1603" /><Relationship Type="http://schemas.openxmlformats.org/officeDocument/2006/relationships/hyperlink" Target="https://contrataciondelestado.es/wps/poc?uri=deeplink:detalle_licitacion&amp;idEvl=j8W6jb%2FAskBVYjgxA4nMUw%3D%3D" TargetMode="External" Id="rId1604" /><Relationship Type="http://schemas.openxmlformats.org/officeDocument/2006/relationships/hyperlink" Target="https://contrataciondelestado.es/FileSystem/servlet/GetDocumentByIdServlet?cifrado=QUC1GjXXSiLkydRHJBmbpw%3D%3D&amp;DocumentIdParam=RaPICmiMWqI90/g0I%2BlzWUw5%2BCKE2ozdYhUB9pUwPCyeF89uS30K/CHHwIIyMbab5DXuUOCw13askkfJoI0EfjB9i3Q6YxRW6DAIyTaH6glt/o8fNevwsujgRzaBbugn" TargetMode="External" Id="rId1605" /><Relationship Type="http://schemas.openxmlformats.org/officeDocument/2006/relationships/hyperlink" Target="https://contrataciondelestado.es/wps/poc?uri=deeplink:detalle_licitacion&amp;idEvl=W3m6MyAbEemAAM7L03kM8A%3D%3D" TargetMode="External" Id="rId1606" /><Relationship Type="http://schemas.openxmlformats.org/officeDocument/2006/relationships/hyperlink" Target="https://contrataciondelestado.es/FileSystem/servlet/GetDocumentByIdServlet?cifrado=QUC1GjXXSiLkydRHJBmbpw%3D%3D&amp;DocumentIdParam=YwnwdssqGZt9plo7X9v7IRJcQeqvuEXph910xcNHYYvarvJekNOe1zaDyKbwOJCctLrbjGreIzwHhffIDq%2BSrX0R3D%2B7eqT5Xsz0gLKiQcCCx2e6p7hqtlp2aFupgHMr" TargetMode="External" Id="rId1607" /><Relationship Type="http://schemas.openxmlformats.org/officeDocument/2006/relationships/hyperlink" Target="https://contrataciondelestado.es/wps/poc?uri=deeplink:detalle_licitacion&amp;idEvl=kWHJRGi%2BCal4zIRvjBVCSw%3D%3D" TargetMode="External" Id="rId1608" /><Relationship Type="http://schemas.openxmlformats.org/officeDocument/2006/relationships/hyperlink" Target="https://contrataciondelestado.es/FileSystem/servlet/GetDocumentByIdServlet?cifrado=QUC1GjXXSiLkydRHJBmbpw%3D%3D&amp;DocumentIdParam=ACRB/fyHyokjLTcVAu5prbHhzen%2BPIX4jgmRhKzEk5kZo1kBjSrMKzLcIZIMGbGb%2BMYhV5bK/oefHn33qbhszWyQRm/0zKCA5uPkubPokBzfdyQgZAdTm3EfcUAC7CJ6" TargetMode="External" Id="rId1609" /><Relationship Type="http://schemas.openxmlformats.org/officeDocument/2006/relationships/hyperlink" Target="https://contrataciondelestado.es/wps/poc?uri=deeplink:detalle_licitacion&amp;idEvl=rIlnPaxupzZ4zIRvjBVCSw%3D%3D" TargetMode="External" Id="rId1610" /><Relationship Type="http://schemas.openxmlformats.org/officeDocument/2006/relationships/hyperlink" Target="https://contrataciondelestado.es/FileSystem/servlet/GetDocumentByIdServlet?cifrado=QUC1GjXXSiLkydRHJBmbpw%3D%3D&amp;DocumentIdParam=5Mr5bcdflrsFYoYHPfcRyLXjtnL0RMRrXnhetHEt8KwmU0rd%2BR9bLihlM0Dy32GP2sTXitLTUjAyfJt9d2yWDHS5reofzOGDRWuIfIVOiEG1aXEvq3KHa/AEHgtDrQw0" TargetMode="External" Id="rId1611" /><Relationship Type="http://schemas.openxmlformats.org/officeDocument/2006/relationships/hyperlink" Target="https://contrataciondelestado.es/wps/poc?uri=deeplink:detalle_licitacion&amp;idEvl=iO6PgydYHSteKgd8LfVV9g%3D%3D" TargetMode="External" Id="rId1612" /><Relationship Type="http://schemas.openxmlformats.org/officeDocument/2006/relationships/hyperlink" Target="https://contrataciondelestado.es/FileSystem/servlet/GetDocumentByIdServlet?cifrado=QUC1GjXXSiLkydRHJBmbpw%3D%3D&amp;DocumentIdParam=y9If62FQ8FNXn06V/%2B2oS0coGxddM7Y4nbTxjwJSHoOyVFYDJAu/LkNQTdSUU8qqEQ9fNm733pL/8neT5fc1gSRocnzCi2D6tJtI96MK6b2B0nvVKRzfe4rpHcnlPhSZ" TargetMode="External" Id="rId1613" /><Relationship Type="http://schemas.openxmlformats.org/officeDocument/2006/relationships/hyperlink" Target="https://contrataciondelestado.es/wps/poc?uri=deeplink:detalle_licitacion&amp;idEvl=mIT9x3VDKo%2Fi0Kd8%2Brcp6w%3D%3D" TargetMode="External" Id="rId1614" /><Relationship Type="http://schemas.openxmlformats.org/officeDocument/2006/relationships/hyperlink" Target="https://contrataciondelestado.es/wps/poc?uri=deeplink:detalle_licitacion&amp;idEvl=FSdyYoC2y1QmMOlAXxDEjw%3D%3D" TargetMode="External" Id="rId1615" /><Relationship Type="http://schemas.openxmlformats.org/officeDocument/2006/relationships/hyperlink" Target="https://contrataciondelestado.es/wps/poc?uri=deeplink:detalle_licitacion&amp;idEvl=XCZi1QyL6d7zAq95uGTrDQ%3D%3D" TargetMode="External" Id="rId1616" /><Relationship Type="http://schemas.openxmlformats.org/officeDocument/2006/relationships/hyperlink" Target="https://contrataciondelestado.es/FileSystem/servlet/GetDocumentByIdServlet?cifrado=QUC1GjXXSiLkydRHJBmbpw%3D%3D&amp;DocumentIdParam=mEbvUnbT4h/3qWnaaPumV9SI5DJwY9rAK4KytHuCzebEgqWoK6Lb3Rx73xJnDmRy7rmudemAbFaiybWtH2CAN/wTGJmwiBiH/3le4L//GXzVTD3T98KC0nSgQFM0q%2B5s" TargetMode="External" Id="rId1617" /><Relationship Type="http://schemas.openxmlformats.org/officeDocument/2006/relationships/hyperlink" Target="https://contrataciondelestado.es/wps/poc?uri=deeplink:detalle_licitacion&amp;idEvl=iYZ8Ocx0WswkJPJS%2BPS9vg%3D%3D" TargetMode="External" Id="rId1618" /><Relationship Type="http://schemas.openxmlformats.org/officeDocument/2006/relationships/hyperlink" Target="https://contrataciondelestado.es/wps/poc?uri=deeplink:detalle_licitacion&amp;idEvl=%2Fqr88krqgxCcCF8sV%2BqtYA%3D%3D" TargetMode="External" Id="rId1619" /><Relationship Type="http://schemas.openxmlformats.org/officeDocument/2006/relationships/hyperlink" Target="https://contrataciondelestado.es/FileSystem/servlet/GetDocumentByIdServlet?DocumentIdParam=hXH2JXcfEuz/GLE73ETL%2Bx/n9LfjfM2OtcHdvfz4g9brODdfUaRjsZQKaJfFZIDU0uddGp4/yCNDHZ4VAtyu59yMA/78VR3BtzjAcY6T4WFJOVDbGCDM%2BMigrvuVS7Rv&amp;cifrado=QUC1GjXXSiLkydRHJBmbpw%3D%3D" TargetMode="External" Id="rId1620" /><Relationship Type="http://schemas.openxmlformats.org/officeDocument/2006/relationships/hyperlink" Target="https://contrataciondelestado.es/wps/poc?uri=deeplink:detalle_licitacion&amp;idEvl=McS%2Ft7jYKbdeKgd8LfVV9g%3D%3D" TargetMode="External" Id="rId1621" /><Relationship Type="http://schemas.openxmlformats.org/officeDocument/2006/relationships/hyperlink" Target="https://contrataciondelestado.es/wps/wcm/connect/PLACE_es/Site/area/docAccCmpnt?srv=cmpnt&amp;cmpntname=GetDocumentsById&amp;source=library&amp;DocumentIdParam=ac728799-02dc-4f29-a5a3-9f2ef33dd441" TargetMode="External" Id="rId1622" /><Relationship Type="http://schemas.openxmlformats.org/officeDocument/2006/relationships/hyperlink" Target="https://contrataciondelestado.es/wps/poc?uri=deeplink:detalle_licitacion&amp;idEvl=V4dUfNxN%2BcR%2FR5QFTlaM4A%3D%3D" TargetMode="External" Id="rId1623" /><Relationship Type="http://schemas.openxmlformats.org/officeDocument/2006/relationships/hyperlink" Target="https://contrataciondelestado.es/FileSystem/servlet/GetDocumentByIdServlet?cifrado=QUC1GjXXSiLkydRHJBmbpw%3D%3D&amp;DocumentIdParam=SgcKTAZPtM18WgsVIyZ2h7ivIe7g4sMG1ZkvuDQJpQn%2BejTwQKAYTtRG9HDVpVtwx47jz5sGaNbppm5MKrjNDl6NcJPgwrHtiLchTcoKumz6CYyL7SIrUOBFfNf52ZqA" TargetMode="External" Id="rId1624" /><Relationship Type="http://schemas.openxmlformats.org/officeDocument/2006/relationships/hyperlink" Target="https://contrataciondelestado.es/wps/poc?uri=deeplink:detalle_licitacion&amp;idEvl=t9VDA0m9zTNWhbmkna2nXQ%3D%3D" TargetMode="External" Id="rId1625" /><Relationship Type="http://schemas.openxmlformats.org/officeDocument/2006/relationships/hyperlink" Target="https://contrataciondelestado.es/FileSystem/servlet/GetDocumentByIdServlet?cifrado=QUC1GjXXSiLkydRHJBmbpw%3D%3D&amp;DocumentIdParam=aQrwLl7fYwnUaQtREc0Y0scfq7HdO%2BRCa5Y5riW6ZZFIDqhwFxPtjnF%2BuSXIyA1G9LZ9OJkTk6XPsBZa4d1nKtV2kD8qkU4Rx%2BBu%2BCXmVKN7QB3HKyQaFUExmUVQCerk" TargetMode="External" Id="rId1626" /><Relationship Type="http://schemas.openxmlformats.org/officeDocument/2006/relationships/hyperlink" Target="https://contrataciondelestado.es/wps/poc?uri=deeplink:detalle_licitacion&amp;idEvl=GTLQrU4dZhuTylGzYmBF9Q%3D%3D" TargetMode="External" Id="rId1627" /><Relationship Type="http://schemas.openxmlformats.org/officeDocument/2006/relationships/hyperlink" Target="https://contrataciondelestado.es/FileSystem/servlet/GetDocumentByIdServlet?cifrado=QUC1GjXXSiLkydRHJBmbpw%3D%3D&amp;DocumentIdParam=aEzlPwvcDgGlCYMpyqxNdHqPINybJdzkmUwzQQTFHq0lzV6O/8JAEsnSB4rVNwAaVAgAm6WHbRtrdM0bsfx3FXE9GrHpbQ42RykHrQTx3ElJOVDbGCDM%2BMigrvuVS7Rv" TargetMode="External" Id="rId1628" /><Relationship Type="http://schemas.openxmlformats.org/officeDocument/2006/relationships/hyperlink" Target="https://contrataciondelestado.es/wps/poc?uri=deeplink:detalle_licitacion&amp;idEvl=SsHHmHT6S2B%2FP7lJ7Fu0SA%3D%3D" TargetMode="External" Id="rId1629" /><Relationship Type="http://schemas.openxmlformats.org/officeDocument/2006/relationships/hyperlink" Target="https://contrataciondelestado.es/FileSystem/servlet/GetDocumentByIdServlet?cifrado=QUC1GjXXSiLkydRHJBmbpw%3D%3D&amp;DocumentIdParam=Ha3qTsZfFMim3CNnKzBYy4MQolXtwPWLC%2BTPI37P73KSTE9SKmNEK6STo8eHvtnnBqXFoH8/S0THzwXNww1vxtm13ZvVsd2MkZT/8ry7Jd7VTD3T98KC0nSgQFM0q%2B5s" TargetMode="External" Id="rId1630" /><Relationship Type="http://schemas.openxmlformats.org/officeDocument/2006/relationships/hyperlink" Target="https://contrataciondelestado.es/wps/poc?uri=deeplink:detalle_licitacion&amp;idEvl=CfjmXHgVWVYzjChw4z%2FXvw%3D%3D" TargetMode="External" Id="rId1631" /><Relationship Type="http://schemas.openxmlformats.org/officeDocument/2006/relationships/hyperlink" Target="https://contrataciondelestado.es/FileSystem/servlet/GetDocumentByIdServlet?cifrado=QUC1GjXXSiLkydRHJBmbpw%3D%3D&amp;DocumentIdParam=rxcgB/CNiJNoHLVVkj6fz5IfC8CozXbcpIAfvbabtTSfPKHHzHv4N5p02cnAaKk1IsKX4q8JCaZ0gsVf59ThpMtj/IgrC06sv9UZULd4W7r6CYyL7SIrUOBFfNf52ZqA" TargetMode="External" Id="rId1632" /><Relationship Type="http://schemas.openxmlformats.org/officeDocument/2006/relationships/hyperlink" Target="https://contrataciondelestado.es/wps/poc?uri=deeplink:detalle_licitacion&amp;idEvl=8jLDg7c60EkUqXM96WStVA%3D%3D" TargetMode="External" Id="rId1633"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1634" /><Relationship Type="http://schemas.openxmlformats.org/officeDocument/2006/relationships/hyperlink" Target="https://contrataciondelestado.es/wps/poc?uri=deeplink:detalle_licitacion&amp;idEvl=UaDYnBvi4TUzjChw4z%2FXvw%3D%3D" TargetMode="External" Id="rId1635" /><Relationship Type="http://schemas.openxmlformats.org/officeDocument/2006/relationships/hyperlink" Target="https://contrataciondelestado.es/FileSystem/servlet/GetDocumentByIdServlet?cifrado=QUC1GjXXSiLkydRHJBmbpw%3D%3D&amp;DocumentIdParam=oKGFURjgYhHBVmipjtjEGJW30wCAFlsh187rWIw4hw2GoQn5T0FOqLCcaMf/p49R9fsB7GD8E9NSRuCAHtj8KMsKscALqknTfGKAdzvpOIOCx2e6p7hqtlp2aFupgHMr" TargetMode="External" Id="rId1636" /><Relationship Type="http://schemas.openxmlformats.org/officeDocument/2006/relationships/hyperlink" Target="https://contrataciondelestado.es/wps/poc?uri=deeplink:detalle_licitacion&amp;idEvl=lemc3WaDD2VPpzdqOdhuWg%3D%3D" TargetMode="External" Id="rId1637" /><Relationship Type="http://schemas.openxmlformats.org/officeDocument/2006/relationships/hyperlink" Target="https://contrataciondelestado.es/FileSystem/servlet/GetDocumentByIdServlet?cifrado=QUC1GjXXSiLkydRHJBmbpw%3D%3D&amp;DocumentIdParam=MRI665h%2B19PWp%2BnmRjh51XEtpjf5%2BfOV7nd2Dl/l5wdKL9EQxEEt2lnNCI%2BXfTgh2ySWom7wFwVE0zFYcRz2iUougPzUksUsZNAD1863fTmCx2e6p7hqtlp2aFupgHMr" TargetMode="External" Id="rId1638" /><Relationship Type="http://schemas.openxmlformats.org/officeDocument/2006/relationships/hyperlink" Target="https://contrataciondelestado.es/wps/poc?uri=deeplink:detalle_licitacion&amp;idEvl=dRROasM9RPLCfVQHDepjGQ%3D%3D" TargetMode="External" Id="rId1639"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1640" /><Relationship Type="http://schemas.openxmlformats.org/officeDocument/2006/relationships/hyperlink" Target="https://contrataciondelestado.es/wps/poc?uri=deeplink:detalle_licitacion&amp;idEvl=nNncRwsw%2BhA%2Bk2oCbDosIw%3D%3D" TargetMode="External" Id="rId1641" /><Relationship Type="http://schemas.openxmlformats.org/officeDocument/2006/relationships/hyperlink" Target="https://contrataciondelestado.es/FileSystem/servlet/GetDocumentByIdServlet?cifrado=QUC1GjXXSiLkydRHJBmbpw%3D%3D&amp;DocumentIdParam=YleSUNoyPguoXw/wAdA3oNdBk3I2xD/fJ%2Bpyzi0mqNh7cxayZRhRNGqK8uqGx2vNWVO8fm1N3OZpzc5T%2BTPyaExlzC/JUMN6leNusYAimeOCx2e6p7hqtlp2aFupgHMr" TargetMode="External" Id="rId1642" /><Relationship Type="http://schemas.openxmlformats.org/officeDocument/2006/relationships/hyperlink" Target="https://contrataciondelestado.es/wps/poc?uri=deeplink:detalle_licitacion&amp;idEvl=YxEFGy0JmcAXhk1FZxEyvw%3D%3D" TargetMode="External" Id="rId1643" /><Relationship Type="http://schemas.openxmlformats.org/officeDocument/2006/relationships/hyperlink" Target="https://contrataciondelestado.es/FileSystem/servlet/GetDocumentByIdServlet?cifrado=QUC1GjXXSiLkydRHJBmbpw%3D%3D&amp;DocumentIdParam=jt0omExiQ0eC0YJRKCJDIBzdJh0EZo5QE/GXpC5zYcCsED9MwjxDPg8OoHCa8sGdOQnGEqBRuKjIEgX2Wz/B5eJqq/FIf423xVvui1UxBarDdQD9RyhUmzT4jZ2In4zL" TargetMode="External" Id="rId1644" /><Relationship Type="http://schemas.openxmlformats.org/officeDocument/2006/relationships/hyperlink" Target="https://contrataciondelestado.es/wps/poc?uri=deeplink:detalle_licitacion&amp;idEvl=wKbKZn2fejjgL1BHd3qjQA%3D%3D" TargetMode="External" Id="rId1645" /><Relationship Type="http://schemas.openxmlformats.org/officeDocument/2006/relationships/hyperlink" Target="https://contrataciondelestado.es/FileSystem/servlet/GetDocumentByIdServlet?cifrado=QUC1GjXXSiLkydRHJBmbpw%3D%3D&amp;DocumentIdParam=KYRsKDtCAkbzY3lE4nJ7smqhMB%2BFpFpM7YRIlrGtslmxV0uC5nSfnXEdO9plnA4/NzePp5wv6GG0LbRdww0OvW4yBcGWXOnDqSUfbhmlOACCx2e6p7hqtlp2aFupgHMr" TargetMode="External" Id="rId1646" /><Relationship Type="http://schemas.openxmlformats.org/officeDocument/2006/relationships/hyperlink" Target="https://contrataciondelestado.es/wps/poc?uri=deeplink:detalle_licitacion&amp;idEvl=hMx6j3p6i0SOUi78BmzhOQ%3D%3D" TargetMode="External" Id="rId1647"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1648" /><Relationship Type="http://schemas.openxmlformats.org/officeDocument/2006/relationships/hyperlink" Target="https://contrataciondelestado.es/wps/poc?uri=deeplink:detalle_licitacion&amp;idEvl=q24qmWquxb2FlFRHfEzEaw%3D%3D" TargetMode="External" Id="rId1649" /><Relationship Type="http://schemas.openxmlformats.org/officeDocument/2006/relationships/hyperlink" Target="https://contrataciondelestado.es/wps/poc?uri=deeplink:detalle_licitacion&amp;idEvl=uznhJEN69jOIzo3LHNPGcQ%3D%3D" TargetMode="External" Id="rId1650" /><Relationship Type="http://schemas.openxmlformats.org/officeDocument/2006/relationships/hyperlink" Target="https://contrataciondelestado.es/FileSystem/servlet/GetDocumentByIdServlet?cifrado=QUC1GjXXSiLkydRHJBmbpw%3D%3D&amp;DocumentIdParam=psKtnRMixVHB4LOxzoJbyoSrDNtYoOjCE3w3cgrfyEGGGXyl03xoeVSzMnN0o2eU9Yd%2B9jUuFY4RkevUIC9Mx9GtXbYrXznMuWd6j1p6JQ8ZyAJWGsSt0OzTSTyw9JAs" TargetMode="External" Id="rId1651" /><Relationship Type="http://schemas.openxmlformats.org/officeDocument/2006/relationships/hyperlink" Target="https://contrataciondelestado.es/wps/poc?uri=deeplink:detalle_licitacion&amp;idEvl=M4Lmyl0vhqprhBlEHQFSKA%3D%3D" TargetMode="External" Id="rId1652"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653" /><Relationship Type="http://schemas.openxmlformats.org/officeDocument/2006/relationships/hyperlink" Target="https://contrataciondelestado.es/wps/poc?uri=deeplink:detalle_licitacion&amp;idEvl=DoZFfelUT%2F1%2BF6L2uCfUWg%3D%3D" TargetMode="External" Id="rId1654" /><Relationship Type="http://schemas.openxmlformats.org/officeDocument/2006/relationships/hyperlink" Target="https://contrataciondelestado.es/FileSystem/servlet/GetDocumentByIdServlet?cifrado=QUC1GjXXSiLkydRHJBmbpw%3D%3D&amp;DocumentIdParam=idlA0fBBB8tKVLDAe0Az5oVMqA6Pmm%2BBSNCA7cH1kK6zbhvj/VOlEyhlvW5UDNBc04qO6DOnYkeh2AY8LPfybhQn9SVMYK3WhjcCQaoAAP5JOVDbGCDM%2BMigrvuVS7Rv" TargetMode="External" Id="rId1655" /><Relationship Type="http://schemas.openxmlformats.org/officeDocument/2006/relationships/hyperlink" Target="https://contrataciondelestado.es/wps/poc?uri=deeplink:detalle_licitacion&amp;idEvl=Radksz053ICFQ%2FlhRK79lA%3D%3D" TargetMode="External" Id="rId1656" /><Relationship Type="http://schemas.openxmlformats.org/officeDocument/2006/relationships/hyperlink" Target="https://contrataciondelestado.es/FileSystem/servlet/GetDocumentByIdServlet?cifrado=QUC1GjXXSiLkydRHJBmbpw%3D%3D&amp;DocumentIdParam=LJyQKSDLTkvDVtBXVk4CtSwVhQT0WawDYkq3v75zUFWxyzhRifLGee7L%2BOqJch/NpDG9kGHteFt7tSX7Cjg3KqN0RNiZMizElBz4%2B3VebKP6CYyL7SIrUOBFfNf52ZqA" TargetMode="External" Id="rId1657" /><Relationship Type="http://schemas.openxmlformats.org/officeDocument/2006/relationships/hyperlink" Target="https://contrataciondelestado.es/wps/poc?uri=deeplink:detalle_licitacion&amp;idEvl=dr5rTnSckMFQFSeKCRun4Q%3D%3D" TargetMode="External" Id="rId1658" /><Relationship Type="http://schemas.openxmlformats.org/officeDocument/2006/relationships/hyperlink" Target="https://contrataciondelestado.es/FileSystem/servlet/GetDocumentByIdServlet?cifrado=QUC1GjXXSiLkydRHJBmbpw%3D%3D&amp;DocumentIdParam=xVwpZ5uU6G4ID7maAL%2BXFiywVwO0KBJ%2BQxEoA6prI5uYFy/5OhX1DKwQY7HdOTRTdQgYpaGorT6JE1WxDAGATL2FgpWRRpbft4hjUp1vLNlJOVDbGCDM%2BMigrvuVS7Rv" TargetMode="External" Id="rId1659" /><Relationship Type="http://schemas.openxmlformats.org/officeDocument/2006/relationships/hyperlink" Target="https://contrataciondelestado.es/wps/poc?uri=deeplink:detalle_licitacion&amp;idEvl=FI0wUDP5ziJVYjgxA4nMUw%3D%3D" TargetMode="External" Id="rId1660" /><Relationship Type="http://schemas.openxmlformats.org/officeDocument/2006/relationships/hyperlink" Target="https://contrataciondelestado.es/FileSystem/servlet/GetDocumentByIdServlet?cifrado=QUC1GjXXSiLkydRHJBmbpw%3D%3D&amp;DocumentIdParam=SKeigRcA1jQnUYrmN/id11t55XHrTweaTj9T1Pa0YGPEG9eH5a454qy7xHrn2aE7nSTeYTc8CiiHbsYcq3KzL1nVhcmqh/tq6YbpPT7pHCD6CYyL7SIrUOBFfNf52ZqA" TargetMode="External" Id="rId1661" /><Relationship Type="http://schemas.openxmlformats.org/officeDocument/2006/relationships/hyperlink" Target="https://contrataciondelestado.es/wps/poc?uri=deeplink:detalle_licitacion&amp;idEvl=ebflckC2gSW5HQrHoP3G5A%3D%3D" TargetMode="External" Id="rId1662" /><Relationship Type="http://schemas.openxmlformats.org/officeDocument/2006/relationships/hyperlink" Target="https://contrataciondelestado.es/FileSystem/servlet/GetDocumentByIdServlet?cifrado=QUC1GjXXSiLkydRHJBmbpw%3D%3D&amp;DocumentIdParam=m/oHx3pZ%2BCoObFWo/zvSgXQu3XtaRTcyTTauuExKto2zsMFVYGUgbhfB%2B/CeuZPX9OY1lrJ2y7YkBY2FBVL0Kb7rVMXvvnWBcELwSgQWxAN7QB3HKyQaFUExmUVQCerk" TargetMode="External" Id="rId1663" /><Relationship Type="http://schemas.openxmlformats.org/officeDocument/2006/relationships/hyperlink" Target="https://contrataciondelestado.es/wps/poc?uri=deeplink:detalle_licitacion&amp;idEvl=hzg04%2BpplIEtm4eBPtV6eQ%3D%3D" TargetMode="External" Id="rId1664"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1665" /><Relationship Type="http://schemas.openxmlformats.org/officeDocument/2006/relationships/hyperlink" Target="https://contrataciondelestado.es/wps/poc?uri=deeplink:detalle_licitacion&amp;idEvl=uZPutpXdERZVkTabT%2FRM8A%3D%3D" TargetMode="External" Id="rId1666" /><Relationship Type="http://schemas.openxmlformats.org/officeDocument/2006/relationships/hyperlink" Target="https://contrataciondelestado.es/FileSystem/servlet/GetDocumentByIdServlet?cifrado=QUC1GjXXSiLkydRHJBmbpw%3D%3D&amp;DocumentIdParam=SQvZLjmuKDUbZdC16fA1GtvvmiY3AoqWz1wflXoVsMchkiCIDOldR7bQF5ivYWzfq/sxlNScyI2TRU6wreOXeiFc9pDeq7gyBQMJKTRmCxtJOVDbGCDM%2BMigrvuVS7Rv" TargetMode="External" Id="rId1667" /><Relationship Type="http://schemas.openxmlformats.org/officeDocument/2006/relationships/hyperlink" Target="https://contrataciondelestado.es/wps/poc?uri=deeplink:detalle_licitacion&amp;idEvl=8xQwY5CItBTXOjazN1Dw9Q%3D%3D" TargetMode="External" Id="rId1668"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669" /><Relationship Type="http://schemas.openxmlformats.org/officeDocument/2006/relationships/hyperlink" Target="https://contrataciondelestado.es/wps/poc?uri=deeplink:detalle_licitacion&amp;idEvl=XQ%2FizWJBeVfECtSnloz%2BZQ%3D%3D" TargetMode="External" Id="rId1670" /><Relationship Type="http://schemas.openxmlformats.org/officeDocument/2006/relationships/hyperlink" Target="https://contrataciondelestado.es/FileSystem/servlet/GetDocumentByIdServlet?cifrado=QUC1GjXXSiLkydRHJBmbpw%3D%3D&amp;DocumentIdParam=aIREc40yyv2KL4AL7yWUyq74ApyCdhIVSKe/379OhwRPe0KFebrvXQ1euyvk7iO1N%2BUfgt3DHJpftiDfA2oC3HiJUw7Ohf6RjJO7ukSScbJJOVDbGCDM%2BMigrvuVS7Rv" TargetMode="External" Id="rId1671" /><Relationship Type="http://schemas.openxmlformats.org/officeDocument/2006/relationships/hyperlink" Target="https://contrataciondelestado.es/wps/poc?uri=deeplink:detalle_licitacion&amp;idEvl=GR5pMjtbNxheKgd8LfVV9g%3D%3D" TargetMode="External" Id="rId1672"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1673" /><Relationship Type="http://schemas.openxmlformats.org/officeDocument/2006/relationships/hyperlink" Target="https://contrataciondelestado.es/wps/poc?uri=deeplink:detalle_licitacion&amp;idEvl=Fmbd%2FalHC6m8ebB%2FXTwy0A%3D%3D" TargetMode="External" Id="rId1674" /><Relationship Type="http://schemas.openxmlformats.org/officeDocument/2006/relationships/hyperlink" Target="https://contrataciondelestado.es/FileSystem/servlet/GetDocumentByIdServlet?cifrado=QUC1GjXXSiLkydRHJBmbpw%3D%3D&amp;DocumentIdParam=t698HFBw4o7mp8YO2mjevE5joHRPkJnWItEVvttw94k/x3NjvYYFPF7fPktn55Lx5FyEHfQ9e4%2B6Em6DJOCcBwCtxS7eiy7v15PcLJa2mUDDdQD9RyhUmzT4jZ2In4zL" TargetMode="External" Id="rId1675" /><Relationship Type="http://schemas.openxmlformats.org/officeDocument/2006/relationships/hyperlink" Target="https://contrataciondelestado.es/wps/poc?uri=deeplink:detalle_licitacion&amp;idEvl=BSfRoch9rmJVkTabT%2FRM8A%3D%3D" TargetMode="External" Id="rId1676"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677" /><Relationship Type="http://schemas.openxmlformats.org/officeDocument/2006/relationships/hyperlink" Target="https://contrataciondelestado.es/wps/poc?uri=deeplink:detalle_licitacion&amp;idEvl=oqiWeiccbSjXOjazN1Dw9Q%3D%3D" TargetMode="External" Id="rId1678"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1679" /><Relationship Type="http://schemas.openxmlformats.org/officeDocument/2006/relationships/hyperlink" Target="https://contrataciondelestado.es/wps/poc?uri=deeplink:detalle_licitacion&amp;idEvl=fa7Q%2Fd70vWdq1DdmE7eaXg%3D%3D" TargetMode="External" Id="rId1680" /><Relationship Type="http://schemas.openxmlformats.org/officeDocument/2006/relationships/hyperlink" Target="https://contrataciondelestado.es/FileSystem/servlet/GetDocumentByIdServlet?cifrado=QUC1GjXXSiLkydRHJBmbpw%3D%3D&amp;DocumentIdParam=1%2B%2Be3kWvSz10jgffvgY5i/VHkAg/v%2ByDt3XaobLPfvzDCOdDyI4MmlLRcDEtTx7aCzpP%2BzQPn6s2Sz9V8rGwWG1QmUEQobkHLWlsGcYBn2GCx2e6p7hqtlp2aFupgHMr" TargetMode="External" Id="rId1681" /><Relationship Type="http://schemas.openxmlformats.org/officeDocument/2006/relationships/hyperlink" Target="https://contrataciondelestado.es/wps/poc?uri=deeplink:detalle_licitacion&amp;idEvl=tGiGad8oBdCFQ%2FlhRK79lA%3D%3D" TargetMode="External" Id="rId1682"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1683" /><Relationship Type="http://schemas.openxmlformats.org/officeDocument/2006/relationships/hyperlink" Target="https://contrataciondelestado.es/wps/poc?uri=deeplink:detalle_licitacion&amp;idEvl=nQI4PNWKLKt4zIRvjBVCSw%3D%3D" TargetMode="External" Id="rId1684"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1685" /><Relationship Type="http://schemas.openxmlformats.org/officeDocument/2006/relationships/hyperlink" Target="https://contrataciondelestado.es/wps/poc?uri=deeplink:detalle_licitacion&amp;idEvl=ZFl7ZYCNiqEadbH3CysQuQ%3D%3D" TargetMode="External" Id="rId1686" /><Relationship Type="http://schemas.openxmlformats.org/officeDocument/2006/relationships/hyperlink" Target="https://contrataciondelestado.es/FileSystem/servlet/GetDocumentByIdServlet?cifrado=QUC1GjXXSiLkydRHJBmbpw%3D%3D&amp;DocumentIdParam=2YwsBpb6yZ%2BQSI07vbtp7VdyEwzShmS7QOiX7wOns653qYFJm6wALluj96TiOQKD6%2BKgza3Xl1rwdt%2BtUnOJf5kyeMVn/9p50jScv4OJQHLDdQD9RyhUmzT4jZ2In4zL" TargetMode="External" Id="rId1687" /><Relationship Type="http://schemas.openxmlformats.org/officeDocument/2006/relationships/hyperlink" Target="https://contrataciondelestado.es/wps/poc?uri=deeplink:detalle_licitacion&amp;idEvl=4fsCv2pxPg0wYTJJ03sHog%3D%3D" TargetMode="External" Id="rId1688" /><Relationship Type="http://schemas.openxmlformats.org/officeDocument/2006/relationships/hyperlink" Target="https://contrataciondelestado.es/FileSystem/servlet/GetDocumentByIdServlet?cifrado=QUC1GjXXSiLkydRHJBmbpw%3D%3D&amp;DocumentIdParam=AJLw7QuR22eqzjSDszstoU1OV2UBs9ZRMNtbWTQJU640MnDe/YlITpIjGztzgS6KBkNYFkBWcdYw5h2mq2OEiPJMl9RFTocLv6nII7XY6g1t/o8fNevwsujgRzaBbugn" TargetMode="External" Id="rId1689" /><Relationship Type="http://schemas.openxmlformats.org/officeDocument/2006/relationships/hyperlink" Target="https://contrataciondelestado.es/wps/poc?uri=deeplink:detalle_licitacion&amp;idEvl=shgTada4LoHyoM4us5k4vw%3D%3D" TargetMode="External" Id="rId1690" /><Relationship Type="http://schemas.openxmlformats.org/officeDocument/2006/relationships/hyperlink" Target="https://contrataciondelestado.es/FileSystem/servlet/GetDocumentByIdServlet?cifrado=QUC1GjXXSiLkydRHJBmbpw%3D%3D&amp;DocumentIdParam=2cHgNV2KneHgtr0PQ7wfhwA2C96tgSOrVgyV5aqqhX45gWrPw4f3hZ2NRxuNQHl60TxnKiM3iNLqJyttvvB21ViCFuaWAmIOHvX0bqhodEnDdQD9RyhUmzT4jZ2In4zL" TargetMode="External" Id="rId1691" /><Relationship Type="http://schemas.openxmlformats.org/officeDocument/2006/relationships/hyperlink" Target="https://contrataciondelestado.es/wps/poc?uri=deeplink:detalle_licitacion&amp;idEvl=bnCkisxW1qbLIx6q1oPaMg%3D%3D" TargetMode="External" Id="rId1692"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1693" /><Relationship Type="http://schemas.openxmlformats.org/officeDocument/2006/relationships/hyperlink" Target="https://contrataciondelestado.es/wps/poc?uri=deeplink:detalle_licitacion&amp;idEvl=jvJ3ph4P%2FNDyoM4us5k4vw%3D%3D" TargetMode="External" Id="rId1694"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1695" /><Relationship Type="http://schemas.openxmlformats.org/officeDocument/2006/relationships/hyperlink" Target="https://contrataciondelestado.es/wps/poc?uri=deeplink:detalle_licitacion&amp;idEvl=HD6JkYBbZnHjHF5qKI4aaw%3D%3D" TargetMode="External" Id="rId1696" /><Relationship Type="http://schemas.openxmlformats.org/officeDocument/2006/relationships/hyperlink" Target="https://contrataciondelestado.es/FileSystem/servlet/GetDocumentByIdServlet?cifrado=QUC1GjXXSiLkydRHJBmbpw%3D%3D&amp;DocumentIdParam=rBt7dWmCyGUdiVy/n0DY/gSJVb%2BDQav5Nkar4W/RzxGvidMODElkcfQBYbLa788ezO%2BOa%2Bjaz69KSqaJ55%2B6SA5e14Q30UmTcP%2BLhQRFLHI//q7NB2iMZvNyf0xrJmjt" TargetMode="External" Id="rId1697" /><Relationship Type="http://schemas.openxmlformats.org/officeDocument/2006/relationships/hyperlink" Target="https://contrataciondelestado.es/wps/poc?uri=deeplink:detalle_licitacion&amp;idEvl=awGNoST%2FzqR%2FR5QFTlaM4A%3D%3D" TargetMode="External" Id="rId1698" /><Relationship Type="http://schemas.openxmlformats.org/officeDocument/2006/relationships/hyperlink" Target="https://contrataciondelestado.es/wps/wcm/connect/PLACE_es/Site/area/docAccCmpnt?srv=cmpnt&amp;cmpntname=GetDocumentsById&amp;source=library&amp;DocumentIdParam=d6426d8a-16d7-43a2-be37-d63b39e2cc94" TargetMode="External" Id="rId1699" /><Relationship Type="http://schemas.openxmlformats.org/officeDocument/2006/relationships/hyperlink" Target="https://contrataciondelestado.es/wps/poc?uri=deeplink:detalle_licitacion&amp;idEvl=LwZyCkYgCkWzz8fXU2i3eQ%3D%3D" TargetMode="External" Id="rId1700" /><Relationship Type="http://schemas.openxmlformats.org/officeDocument/2006/relationships/hyperlink" Target="https://contrataciondelestado.es/FileSystem/servlet/GetDocumentByIdServlet?cifrado=QUC1GjXXSiLkydRHJBmbpw%3D%3D&amp;DocumentIdParam=ezppluGR6ASZP91ja1qSgvMIJN9zpcHXMErTfrIaAONV%2BvmM1FR4375UelQnsVQWD%2Bhgo3PQAxx%2B5QEqoFabESAmgJ3VVNlYb77wCJB0yiJ45ClyWkoJ44mKM70IFcOu" TargetMode="External" Id="rId1701" /><Relationship Type="http://schemas.openxmlformats.org/officeDocument/2006/relationships/hyperlink" Target="https://contrataciondelestado.es/wps/poc?uri=deeplink:detalle_licitacion&amp;idEvl=NvCEy043dPnECtSnloz%2BZQ%3D%3D" TargetMode="External" Id="rId1702"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703" /><Relationship Type="http://schemas.openxmlformats.org/officeDocument/2006/relationships/hyperlink" Target="https://contrataciondelestado.es/wps/poc?uri=deeplink:detalle_licitacion&amp;idEvl=JGD%2B%2F1TIo1H%2B3JAijKO%2Bkg%3D%3D" TargetMode="External" Id="rId1704" /><Relationship Type="http://schemas.openxmlformats.org/officeDocument/2006/relationships/hyperlink" Target="https://contrataciondelestado.es/FileSystem/servlet/GetDocumentByIdServlet?cifrado=QUC1GjXXSiLkydRHJBmbpw%3D%3D&amp;DocumentIdParam=F17/uRjt0tIKX7V/XkBuqqppZTr6CKGjQ1IzBpEIx0DZ8iOWkY2QoNqUv3Xs0fO6yUschMWT6lIkp5m2WF9QvStS2gnncO0OH0RGoHmkaX5JOVDbGCDM%2BMigrvuVS7Rv" TargetMode="External" Id="rId1705" /><Relationship Type="http://schemas.openxmlformats.org/officeDocument/2006/relationships/hyperlink" Target="https://contrataciondelestado.es/wps/poc?uri=deeplink:detalle_licitacion&amp;idEvl=PDZhRrvoWo4ZDGvgaZEVxQ%3D%3D" TargetMode="External" Id="rId1706" /><Relationship Type="http://schemas.openxmlformats.org/officeDocument/2006/relationships/hyperlink" Target="https://contrataciondelestado.es/FileSystem/servlet/GetDocumentByIdServlet?cifrado=QUC1GjXXSiLkydRHJBmbpw%3D%3D&amp;DocumentIdParam=16N60vzdtKwngrWf/0PJa6xsugaoxPxfmUNUrtwFp8JX6/uNBGakg54m0i/N8iZmB8aV6HwtG0Uorv62DU7RRDjFo5hWCoXRRhDTfRquGFAZyAJWGsSt0OzTSTyw9JAs" TargetMode="External" Id="rId1707" /><Relationship Type="http://schemas.openxmlformats.org/officeDocument/2006/relationships/hyperlink" Target="https://contrataciondelestado.es/wps/poc?uri=deeplink:detalle_licitacion&amp;idEvl=iKzaE5lX9LO8ebB%2FXTwy0A%3D%3D" TargetMode="External" Id="rId1708" /><Relationship Type="http://schemas.openxmlformats.org/officeDocument/2006/relationships/hyperlink" Target="https://contrataciondelestado.es/wps/poc?uri=deeplink:detalle_licitacion&amp;idEvl=nj77iuOultWFQ%2FlhRK79lA%3D%3D" TargetMode="External" Id="rId1709"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1710" /><Relationship Type="http://schemas.openxmlformats.org/officeDocument/2006/relationships/hyperlink" Target="https://contrataciondelestado.es/wps/poc?uri=deeplink:detalle_licitacion&amp;idEvl=QI%2FfKS9W%2FyGP%2Bo96UAV7cQ%3D%3D" TargetMode="External" Id="rId1711" /><Relationship Type="http://schemas.openxmlformats.org/officeDocument/2006/relationships/hyperlink" Target="https://contrataciondelestado.es/FileSystem/servlet/GetDocumentByIdServlet?cifrado=QUC1GjXXSiLkydRHJBmbpw%3D%3D&amp;DocumentIdParam=I13aph92AaekniOl1UUuSN33EbwH65y4e9S78mnrIPZ81pys6bYDT2Kj%2B7JQVIxb9/Or7rvU68cOW6z4UBA8ZYrDpd3b18sV8FfeNQW5wq6B0nvVKRzfe4rpHcnlPhSZ" TargetMode="External" Id="rId1712" /><Relationship Type="http://schemas.openxmlformats.org/officeDocument/2006/relationships/hyperlink" Target="https://contrataciondelestado.es/wps/poc?uri=deeplink:detalle_licitacion&amp;idEvl=%2BD%2BpRNZuPmf9pbnDwlaUlg%3D%3D" TargetMode="External" Id="rId1713" /><Relationship Type="http://schemas.openxmlformats.org/officeDocument/2006/relationships/hyperlink" Target="https://contrataciondelestado.es/FileSystem/servlet/GetDocumentByIdServlet?cifrado=QUC1GjXXSiLkydRHJBmbpw%3D%3D&amp;DocumentIdParam=UVkdT6pWZJKb0Ft9WI6e4KiQlq9n3lCvZLacunlItAQd8O4MQlhz1ucL%2BA/p/jq6yasdi3BtR2%2BSIOVXocGgsbCUhLEYrSTSO8jHHjLL0UXDdQD9RyhUmzT4jZ2In4zL" TargetMode="External" Id="rId1714" /><Relationship Type="http://schemas.openxmlformats.org/officeDocument/2006/relationships/hyperlink" Target="https://contrataciondelestado.es/wps/poc?uri=deeplink:detalle_licitacion&amp;idEvl=F%2FhuQXNtP%2BsBPRBxZ4nJ%2Fg%3D%3D" TargetMode="External" Id="rId1715" /><Relationship Type="http://schemas.openxmlformats.org/officeDocument/2006/relationships/hyperlink" Target="https://contrataciondelestado.es/wps/wcm/connect/PLACE_es/Site/area/docAccCmpnt?srv=cmpnt&amp;cmpntname=GetDocumentsById&amp;source=library&amp;DocumentIdParam=7388515a-c010-43c2-a319-1983ce439e24" TargetMode="External" Id="rId1716" /><Relationship Type="http://schemas.openxmlformats.org/officeDocument/2006/relationships/hyperlink" Target="https://contrataciondelestado.es/wps/poc?uri=deeplink:detalle_licitacion&amp;idEvl=9YybWIww5Ax%2FR5QFTlaM4A%3D%3D" TargetMode="External" Id="rId1717" /><Relationship Type="http://schemas.openxmlformats.org/officeDocument/2006/relationships/hyperlink" Target="https://contrataciondelestado.es/FileSystem/servlet/GetDocumentByIdServlet?cifrado=QUC1GjXXSiLkydRHJBmbpw%3D%3D&amp;DocumentIdParam=wZHwTSabFDVmHqTgQl3LYb8iP8FGX3kmCJ9tEn720KaJftDvl%2BetSywrWEmK8gOm8L3lCmfQKotMrM8HXaCz%2Bur4nM4o8eeHjmm6CRaY4w2HAj0WEJrB5sP7amrh2jBD" TargetMode="External" Id="rId1718" /><Relationship Type="http://schemas.openxmlformats.org/officeDocument/2006/relationships/hyperlink" Target="https://contrataciondelestado.es/wps/poc?uri=deeplink:detalle_licitacion&amp;idEvl=nXjcQ7FsGz28ebB%2FXTwy0A%3D%3D" TargetMode="External" Id="rId1719" /><Relationship Type="http://schemas.openxmlformats.org/officeDocument/2006/relationships/hyperlink" Target="https://contrataciondelestado.es/FileSystem/servlet/GetDocumentByIdServlet?cifrado=QUC1GjXXSiLkydRHJBmbpw%3D%3D&amp;DocumentIdParam=gj%2BPWoEMuvND6/u7tQOWTNW0YZVJcPghnTD1JclIqGB3IWtPIzM5HGhVSyc24hC/TTkr3JQzuZpdw6X382aP0WRA/3gz3XKEmfKuCd6oRqo//q7NB2iMZvNyf0xrJmjt" TargetMode="External" Id="rId1720" /><Relationship Type="http://schemas.openxmlformats.org/officeDocument/2006/relationships/hyperlink" Target="https://contrataciondelestado.es/wps/poc?uri=deeplink:detalle_licitacion&amp;idEvl=hvVMHm5lYFhVYjgxA4nMUw%3D%3D" TargetMode="External" Id="rId1721" /><Relationship Type="http://schemas.openxmlformats.org/officeDocument/2006/relationships/hyperlink" Target="https://contrataciondelestado.es/FileSystem/servlet/GetDocumentByIdServlet?cifrado=QUC1GjXXSiLkydRHJBmbpw%3D%3D&amp;DocumentIdParam=48Rpjk93blW0j5It57LNgR8n9xZNwOLeu0nep2bQQwaWc5wsGvd5ghmfgVlN/HfJjA/U%2BulVZucIDRMRbtx9YRkHdWpz3ImXVJPkcHHAmAzVTD3T98KC0nSgQFM0q%2B5s" TargetMode="External" Id="rId1722" /><Relationship Type="http://schemas.openxmlformats.org/officeDocument/2006/relationships/hyperlink" Target="https://contrataciondelestado.es/wps/poc?uri=deeplink:detalle_licitacion&amp;idEvl=DbnpiCcV8rsadbH3CysQuQ%3D%3D" TargetMode="External" Id="rId1723" /><Relationship Type="http://schemas.openxmlformats.org/officeDocument/2006/relationships/hyperlink" Target="https://contrataciondelestado.es/FileSystem/servlet/GetDocumentByIdServlet?cifrado=QUC1GjXXSiLkydRHJBmbpw%3D%3D&amp;DocumentIdParam=10QyIv8/s9P5Tzn2blH8ebmbg0LKF1iRY6wTmNomgRitu82zdRWmNJY5r1zaNeayXlY1VnaJpSP8IPNwU1el2TcE5kmE1YXelkmUZKr0prsZyAJWGsSt0OzTSTyw9JAs" TargetMode="External" Id="rId1724" /><Relationship Type="http://schemas.openxmlformats.org/officeDocument/2006/relationships/hyperlink" Target="https://contrataciondelestado.es/wps/poc?uri=deeplink:detalle_licitacion&amp;idEvl=OykOSfByjXIIYE3ZiZ%2BxmQ%3D%3D" TargetMode="External" Id="rId1725" /><Relationship Type="http://schemas.openxmlformats.org/officeDocument/2006/relationships/hyperlink" Target="https://contrataciondelestado.es/FileSystem/servlet/GetDocumentByIdServlet?cifrado=QUC1GjXXSiLkydRHJBmbpw%3D%3D&amp;DocumentIdParam=4ecflE0m8HLINiRIp%2BV4cBYfAAtEpNlTNzfPBdfpqfeeff/jMMcQpp3JjtSeomAbXFXVySVjW/Qa9c7t6uJLCvZjCjow%2BhottjrkHr6ANrr6CYyL7SIrUOBFfNf52ZqA" TargetMode="External" Id="rId1726" /><Relationship Type="http://schemas.openxmlformats.org/officeDocument/2006/relationships/hyperlink" Target="https://contrataciondelestado.es/wps/poc?uri=deeplink:detalle_licitacion&amp;idEvl=sIyHy21dh1lrSd8H4b2soA%3D%3D" TargetMode="External" Id="rId1727" /><Relationship Type="http://schemas.openxmlformats.org/officeDocument/2006/relationships/hyperlink" Target="https://contrataciondelestado.es/FileSystem/servlet/GetDocumentByIdServlet?cifrado=QUC1GjXXSiLkydRHJBmbpw%3D%3D&amp;DocumentIdParam=7FxzaqbYxqLuFh9CnXtUvSQqKGEon6urM8JLqDptEWcs8OcNsYJGOcZTYW9qBg2daymgdQ9qYNLinIfWCKK3Lxfe/YctANieViC5vt5CIlF7QB3HKyQaFUExmUVQCerk" TargetMode="External" Id="rId1728" /><Relationship Type="http://schemas.openxmlformats.org/officeDocument/2006/relationships/hyperlink" Target="https://contrataciondelestado.es/wps/poc?uri=deeplink:detalle_licitacion&amp;idEvl=T7%2FtfdCupJGdkQsA7ROvsg%3D%3D" TargetMode="External" Id="rId1729"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1730" /><Relationship Type="http://schemas.openxmlformats.org/officeDocument/2006/relationships/hyperlink" Target="https://contrataciondelestado.es/wps/poc?uri=deeplink:detalle_licitacion&amp;idEvl=uN6Azk3YxtI7%2B9FIQYNjeQ%3D%3D" TargetMode="External" Id="rId1731"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1732" /><Relationship Type="http://schemas.openxmlformats.org/officeDocument/2006/relationships/hyperlink" Target="https://contrataciondelestado.es/wps/poc?uri=deeplink:detalle_licitacion&amp;idEvl=fzM%2Fx3C%2BYPEkJPJS%2BPS9vg%3D%3D" TargetMode="External" Id="rId1733"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1734" /><Relationship Type="http://schemas.openxmlformats.org/officeDocument/2006/relationships/hyperlink" Target="https://contrataciondelestado.es/wps/poc?uri=deeplink:detalle_licitacion&amp;idEvl=9n6EKa0vmqAuf4aBO%2BvQlQ%3D%3D" TargetMode="External" Id="rId1735" /><Relationship Type="http://schemas.openxmlformats.org/officeDocument/2006/relationships/hyperlink" Target="https://contrataciondelestado.es/wps/wcm/connect/PLACE_es/Site/area/docAccCmpnt?srv=cmpnt&amp;cmpntname=GetDocumentsById&amp;source=library&amp;DocumentIdParam=52d9b8dc-7698-416a-9603-f6722843bf26" TargetMode="External" Id="rId1736" /><Relationship Type="http://schemas.openxmlformats.org/officeDocument/2006/relationships/hyperlink" Target="https://contrataciondelestado.es/wps/poc?uri=deeplink:detalle_licitacion&amp;idEvl=0LL%2Bivuysqzua%2Fi14w%2FPLA%3D%3D" TargetMode="External" Id="rId1737" /><Relationship Type="http://schemas.openxmlformats.org/officeDocument/2006/relationships/hyperlink" Target="https://contrataciondelestado.es/FileSystem/servlet/GetDocumentByIdServlet?cifrado=QUC1GjXXSiLkydRHJBmbpw%3D%3D&amp;DocumentIdParam=VZfixEqvGZiO7eeYt3rZ1BxGI1aSOy82lv3EWO/le30mj5xaJ10sD/zMlxpNZEmzFjK0WDCiTJsA6pAqrGVfoP/RL8MtEYKIrXKcOMLrW13fdyQgZAdTm3EfcUAC7CJ6" TargetMode="External" Id="rId1738" /><Relationship Type="http://schemas.openxmlformats.org/officeDocument/2006/relationships/hyperlink" Target="https://contrataciondelestado.es/wps/poc?uri=deeplink:detalle_licitacion&amp;idEvl=1F5vUDRyKK14zIRvjBVCSw%3D%3D" TargetMode="External" Id="rId1739"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1740" /><Relationship Type="http://schemas.openxmlformats.org/officeDocument/2006/relationships/hyperlink" Target="https://contrataciondelestado.es/wps/poc?uri=deeplink:detalle_licitacion&amp;idEvl=sUnfhYVh1oBrSd8H4b2soA%3D%3D" TargetMode="External" Id="rId1741" /><Relationship Type="http://schemas.openxmlformats.org/officeDocument/2006/relationships/hyperlink" Target="https://contrataciondelestado.es/wps/poc?uri=deeplink:detalle_licitacion&amp;idEvl=oXQu%2FZR5i8lxseVhcqrkhw%3D%3D" TargetMode="External" Id="rId1742"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1743" /><Relationship Type="http://schemas.openxmlformats.org/officeDocument/2006/relationships/hyperlink" Target="https://contrataciondelestado.es/wps/poc?uri=deeplink:detalle_licitacion&amp;idEvl=s50lAZYO%2Fz8zjChw4z%2FXvw%3D%3D" TargetMode="External" Id="rId1744"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1745" /><Relationship Type="http://schemas.openxmlformats.org/officeDocument/2006/relationships/hyperlink" Target="https://contrataciondelestado.es/wps/poc?uri=deeplink:detalle_licitacion&amp;idEvl=3eWN4FhZER59PLkba5eRog%3D%3D" TargetMode="External" Id="rId1746" /><Relationship Type="http://schemas.openxmlformats.org/officeDocument/2006/relationships/hyperlink" Target="https://contrataciondelestado.es/FileSystem/servlet/GetDocumentByIdServlet?cifrado=QUC1GjXXSiLkydRHJBmbpw%3D%3D&amp;DocumentIdParam=mdkO2NqCFP5XiZ%2BUpwA3noyHHiIEV8r/glvn8XKuzUJrGAlAjQnszyTaFAxUCLntOOFrs4Uc65nC9jkN7Y9uFyfUQv6wB6d8kqsm4j95reaB0nvVKRzfe4rpHcnlPhSZ" TargetMode="External" Id="rId1747" /><Relationship Type="http://schemas.openxmlformats.org/officeDocument/2006/relationships/hyperlink" Target="https://contrataciondelestado.es/wps/poc?uri=deeplink:detalle_licitacion&amp;idEvl=S9RuuKr2Rcnua%2Fi14w%2FPLA%3D%3D" TargetMode="External" Id="rId1748" /><Relationship Type="http://schemas.openxmlformats.org/officeDocument/2006/relationships/hyperlink" Target="https://contrataciondelestado.es/FileSystem/servlet/GetDocumentByIdServlet?cifrado=QUC1GjXXSiLkydRHJBmbpw%3D%3D&amp;DocumentIdParam=FmvOI8FrY5Ng3GWLUVAtvQc5sdx5JMxHzIFbHqiCsAdgAjIo7Mteh/il7N/oT8UwMATLzoLA6vmoTOybEbIQMpGvPkGwHtMvpEfyJjAdHpNJOVDbGCDM%2BMigrvuVS7Rv" TargetMode="External" Id="rId1749" /><Relationship Type="http://schemas.openxmlformats.org/officeDocument/2006/relationships/hyperlink" Target="https://contrataciondelestado.es/wps/poc?uri=deeplink:detalle_licitacion&amp;idEvl=Pa%2BoJemlLxYtm4eBPtV6eQ%3D%3D" TargetMode="External" Id="rId1750" /><Relationship Type="http://schemas.openxmlformats.org/officeDocument/2006/relationships/hyperlink" Target="https://contrataciondelestado.es/FileSystem/servlet/GetDocumentByIdServlet?cifrado=QUC1GjXXSiLkydRHJBmbpw%3D%3D&amp;DocumentIdParam=ALmxP3eynxUPVKxZ6u%2BbyIwQjWLp6DUgePBrMqjoCFY7Jgf0x4ehV8uotJ%2BW5bXG801n4TzMENFbVfhtKSxywL2zoXKqgkNvqmvobdARq46Cx2e6p7hqtlp2aFupgHMr" TargetMode="External" Id="rId1751" /><Relationship Type="http://schemas.openxmlformats.org/officeDocument/2006/relationships/hyperlink" Target="https://contrataciondelestado.es/wps/poc?uri=deeplink:detalle_licitacion&amp;idEvl=TOhjkVWEPhmKeVWTb9Scog%3D%3D" TargetMode="External" Id="rId1752" /><Relationship Type="http://schemas.openxmlformats.org/officeDocument/2006/relationships/hyperlink" Target="https://contrataciondelestado.es/FileSystem/servlet/GetDocumentByIdServlet?cifrado=QUC1GjXXSiLkydRHJBmbpw%3D%3D&amp;DocumentIdParam=PnqW%2B8PtVfksfbK2zh8%2BmZvjg5KJiKzA6OlPJ1DX/5TNdH7YBZZGigy0C3zNI5%2BK5/pn29%2Bsgrl12wQKCAc3HcTJpAXoRGaVP2KiS8c%2BcELVTD3T98KC0nSgQFM0q%2B5s" TargetMode="External" Id="rId1753" /><Relationship Type="http://schemas.openxmlformats.org/officeDocument/2006/relationships/hyperlink" Target="https://contrataciondelestado.es/wps/poc?uri=deeplink:detalle_licitacion&amp;idEvl=L%2BzSHpo6f5L9pbnDwlaUlg%3D%3D" TargetMode="External" Id="rId1754" /><Relationship Type="http://schemas.openxmlformats.org/officeDocument/2006/relationships/hyperlink" Target="https://contrataciondelestado.es/FileSystem/servlet/GetDocumentByIdServlet?cifrado=QUC1GjXXSiLkydRHJBmbpw%3D%3D&amp;DocumentIdParam=1sg%2BZX2mvvdvgDu4Rs8UsW0jG8GREq0EBSaQm1P5mWoPNYUiR/I%2BEimsx4GEEeSGHDHBx8r0XmgIc4MifQ3Oj0TPaMpOBtJtU7AywTNn41yHAj0WEJrB5sP7amrh2jBD" TargetMode="External" Id="rId1755" /><Relationship Type="http://schemas.openxmlformats.org/officeDocument/2006/relationships/hyperlink" Target="https://contrataciondelestado.es/wps/poc?uri=deeplink:detalle_licitacion&amp;idEvl=Ys3LngVXSMidkQsA7ROvsg%3D%3D" TargetMode="External" Id="rId1756" /><Relationship Type="http://schemas.openxmlformats.org/officeDocument/2006/relationships/hyperlink" Target="https://contrataciondelestado.es/FileSystem/servlet/GetDocumentByIdServlet?cifrado=QUC1GjXXSiLkydRHJBmbpw%3D%3D&amp;DocumentIdParam=TWPeOxRT5zyNfhbM%2BQkeFDd3jW4s0UuhLRoDMChqrRtLtln5JoMNffS8PQK3PYNXlWtHva35QyLYsaCV8XVrl2cxqWmFoJYAf%2BnH/zLBkzFt/o8fNevwsujgRzaBbugn" TargetMode="External" Id="rId1757" /><Relationship Type="http://schemas.openxmlformats.org/officeDocument/2006/relationships/hyperlink" Target="https://contrataciondelestado.es/wps/poc?uri=deeplink:detalle_licitacion&amp;idEvl=tp7zz%2FEvFTmTylGzYmBF9Q%3D%3D" TargetMode="External" Id="rId1758" /><Relationship Type="http://schemas.openxmlformats.org/officeDocument/2006/relationships/hyperlink" Target="https://contrataciondelestado.es/FileSystem/servlet/GetDocumentByIdServlet?cifrado=QUC1GjXXSiLkydRHJBmbpw%3D%3D&amp;DocumentIdParam=lf3vZsiuv5l/opzFRdzyEsU5EV%2BtoxugfynZWxwXgZnziqucYfOCFLOcpAGlAs%2Bx6gRqoRxa%2BDF9%2BhLmWgxhv7ry0b4ZLqDDkYI8RKQoYTJt/o8fNevwsujgRzaBbugn" TargetMode="External" Id="rId1759" /><Relationship Type="http://schemas.openxmlformats.org/officeDocument/2006/relationships/hyperlink" Target="https://contrataciondelestado.es/wps/poc?uri=deeplink:detalle_licitacion&amp;idEvl=1%2F2J38w8wwiS81gZFETWmA%3D%3D" TargetMode="External" Id="rId1760"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1761" /><Relationship Type="http://schemas.openxmlformats.org/officeDocument/2006/relationships/hyperlink" Target="https://contrataciondelestado.es/wps/poc?uri=deeplink:detalle_licitacion&amp;idEvl=Ws2rXJOu0%2FdQFSeKCRun4Q%3D%3D" TargetMode="External" Id="rId1762" /><Relationship Type="http://schemas.openxmlformats.org/officeDocument/2006/relationships/hyperlink" Target="https://contrataciondelestado.es/FileSystem/servlet/GetDocumentByIdServlet?cifrado=QUC1GjXXSiLkydRHJBmbpw%3D%3D&amp;DocumentIdParam=C5IsLX00IVGBnioUHrSyBfGVJAUTD8Fc/w9h0jm99ja5PgaK0QhhPcgXbF%2BV9%2B2qA7MVcfI6jSerNeOBwJjJGucgs/XO7WmwLBql6aXKMtv3GVhXrFFqN7yFncy7YfRK" TargetMode="External" Id="rId1763" /><Relationship Type="http://schemas.openxmlformats.org/officeDocument/2006/relationships/hyperlink" Target="https://contrataciondelestado.es/wps/poc?uri=deeplink:detalle_licitacion&amp;idEvl=6qJf3M1TMmKIzo3LHNPGcQ%3D%3D" TargetMode="External" Id="rId1764"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765" /><Relationship Type="http://schemas.openxmlformats.org/officeDocument/2006/relationships/hyperlink" Target="https://contrataciondelestado.es/wps/poc?uri=deeplink:detalle_licitacion&amp;idEvl=vjgAOxmZW8kQyBAnWzHfCg%3D%3D" TargetMode="External" Id="rId1766" /><Relationship Type="http://schemas.openxmlformats.org/officeDocument/2006/relationships/hyperlink" Target="https://contrataciondelestado.es/FileSystem/servlet/GetDocumentByIdServlet?cifrado=QUC1GjXXSiLkydRHJBmbpw%3D%3D&amp;DocumentIdParam=%2BQGZ1sYMu4wl%2BtBbqrYdoVNmAJcQ1RvaJflOweVflSeIYOCDo2TACWVlCqhRAV%2BkmYpvlDQsEMT1xvulvq6R2tRoGxpfWSmBWBZQgsO76UGB0nvVKRzfe4rpHcnlPhSZ" TargetMode="External" Id="rId1767" /><Relationship Type="http://schemas.openxmlformats.org/officeDocument/2006/relationships/hyperlink" Target="https://contrataciondelestado.es/wps/poc?uri=deeplink:detalle_licitacion&amp;idEvl=onmOj02etM%2B2gkLQ8TeYKA%3D%3D" TargetMode="External" Id="rId1768" /><Relationship Type="http://schemas.openxmlformats.org/officeDocument/2006/relationships/hyperlink" Target="https://contrataciondelestado.es/FileSystem/servlet/GetDocumentByIdServlet?cifrado=QUC1GjXXSiLkydRHJBmbpw%3D%3D&amp;DocumentIdParam=dJhK8i7KqSo%2BfX3u546EcO/WJGm8GoHb5/FZOgWI1Mll0ZFxLjdjgeII39cpSYtjAmsDp0DD5snoVtKg9UxR7gJY4jM3hL5rniCtbIdOT1dt/o8fNevwsujgRzaBbugn" TargetMode="External" Id="rId1769" /><Relationship Type="http://schemas.openxmlformats.org/officeDocument/2006/relationships/hyperlink" Target="https://contrataciondelestado.es/wps/poc?uri=deeplink:detalle_licitacion&amp;idEvl=LbVqhw5ap%2BWkU02jNGj1Fw%3D%3D" TargetMode="External" Id="rId1770" /><Relationship Type="http://schemas.openxmlformats.org/officeDocument/2006/relationships/hyperlink" Target="https://contrataciondelestado.es/FileSystem/servlet/GetDocumentByIdServlet?cifrado=QUC1GjXXSiLkydRHJBmbpw%3D%3D&amp;DocumentIdParam=eDXl0/bmuDQcXx2nSz5rdcXw9WeiR7nk1b6PpauvmnXJ2d46gOr9V%2BY5WAkm0Kc7%2BgrUkK05kgQfA4rPAxmepbcSAaToOTcQOQbhXllnlwBt/o8fNevwsujgRzaBbugn" TargetMode="External" Id="rId1771" /><Relationship Type="http://schemas.openxmlformats.org/officeDocument/2006/relationships/hyperlink" Target="https://contrataciondelestado.es/wps/poc?uri=deeplink:detalle_licitacion&amp;idEvl=5crmW%2BliAYCLAncw3qdZkA%3D%3D" TargetMode="External" Id="rId1772" /><Relationship Type="http://schemas.openxmlformats.org/officeDocument/2006/relationships/hyperlink" Target="https://contrataciondelestado.es/FileSystem/servlet/GetDocumentByIdServlet?cifrado=QUC1GjXXSiLkydRHJBmbpw%3D%3D&amp;DocumentIdParam=Beornq6nmMMgEQgPxPcb1pqkXhYniNpyALcwV8hctZ9DNsNN0CFr9bwe3OaKv/shDXRh1AA7g9c8rHo08ljFZtk9hXaS9EjqdPs0JPvTrTmCx2e6p7hqtlp2aFupgHMr" TargetMode="External" Id="rId1773" /><Relationship Type="http://schemas.openxmlformats.org/officeDocument/2006/relationships/hyperlink" Target="https://contrataciondelestado.es/wps/poc?uri=deeplink:detalle_licitacion&amp;idEvl=lZ05FsVQxO7gL1BHd3qjQA%3D%3D" TargetMode="External" Id="rId1774" /><Relationship Type="http://schemas.openxmlformats.org/officeDocument/2006/relationships/hyperlink" Target="https://contrataciondelestado.es/FileSystem/servlet/GetDocumentByIdServlet?cifrado=QUC1GjXXSiLkydRHJBmbpw%3D%3D&amp;DocumentIdParam=oCMnlH/PHlEeIfHzkBoPtlXJpLgIsyTy4imKn4jfMDDcHTSHeskOkcjlmYkyzNKGWljWMOVX1%2BsKJTWoMiFR0Qi6ubN12sPM00VF5fVSvkyHAj0WEJrB5sP7amrh2jBD" TargetMode="External" Id="rId1775" /><Relationship Type="http://schemas.openxmlformats.org/officeDocument/2006/relationships/hyperlink" Target="https://contrataciondelestado.es/wps/poc?uri=deeplink:detalle_licitacion&amp;idEvl=Ozccl4ioyz0l5NjlNci%2BtA%3D%3D" TargetMode="External" Id="rId1776"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777" /><Relationship Type="http://schemas.openxmlformats.org/officeDocument/2006/relationships/hyperlink" Target="https://contrataciondelestado.es/wps/poc?uri=deeplink:detalle_licitacion&amp;idEvl=O59J%2FewRF36P66GS%2BONYvQ%3D%3D" TargetMode="External" Id="rId1778" /><Relationship Type="http://schemas.openxmlformats.org/officeDocument/2006/relationships/hyperlink" Target="https://contrataciondelestado.es/FileSystem/servlet/GetDocumentByIdServlet?cifrado=QUC1GjXXSiLkydRHJBmbpw%3D%3D&amp;DocumentIdParam=oJVfMM4KDc%2B6nbU82Udy2outnzNd0gF0fol63g8va4pLCnaCaJvqWfkR0Q/NNE5NZoFCuXlopzni7CzBOZM25Dtgjw3e1V93oOHDrroyEQi1aXEvq3KHa/AEHgtDrQw0" TargetMode="External" Id="rId1779" /><Relationship Type="http://schemas.openxmlformats.org/officeDocument/2006/relationships/hyperlink" Target="https://contrataciondelestado.es/wps/poc?uri=deeplink:detalle_licitacion&amp;idEvl=tTFC9Hd0y3J4zIRvjBVCSw%3D%3D" TargetMode="External" Id="rId1780" /><Relationship Type="http://schemas.openxmlformats.org/officeDocument/2006/relationships/hyperlink" Target="https://contrataciondelestado.es/FileSystem/servlet/GetDocumentByIdServlet?cifrado=QUC1GjXXSiLkydRHJBmbpw%3D%3D&amp;DocumentIdParam=ftXJmS4tvU4VNKDsyhYDjOIKPCOp56j6Trptjvjk07%2BCi5GMjXKOT8HzmnGSPI5mCq4demAETRk9MGpzb03w8eCF3LSHQ7Err5L4fhhL4ZGB0nvVKRzfe4rpHcnlPhSZ" TargetMode="External" Id="rId1781" /><Relationship Type="http://schemas.openxmlformats.org/officeDocument/2006/relationships/hyperlink" Target="https://contrataciondelestado.es/wps/poc?uri=deeplink:detalle_licitacion&amp;idEvl=8EdyDXdhia7i0Kd8%2Brcp6w%3D%3D" TargetMode="External" Id="rId1782" /><Relationship Type="http://schemas.openxmlformats.org/officeDocument/2006/relationships/hyperlink" Target="https://contrataciondelestado.es/FileSystem/servlet/GetDocumentByIdServlet?cifrado=QUC1GjXXSiLkydRHJBmbpw%3D%3D&amp;DocumentIdParam=hayopJ59p51JALhT0r5Lx6IGQXM3zJtzexoJaE65RlIPCWKd0XJ/Hh59WOwcseh6NwJTG6rOEPFlWdh38qLpYkE4zopeFU8OwUJskdAXi9F45ClyWkoJ44mKM70IFcOu" TargetMode="External" Id="rId1783" /><Relationship Type="http://schemas.openxmlformats.org/officeDocument/2006/relationships/hyperlink" Target="https://contrataciondelestado.es/wps/poc?uri=deeplink:detalle_licitacion&amp;idEvl=KLQ3%2BaGkcFG7JOCXkOhcDg%3D%3D" TargetMode="External" Id="rId1784" /><Relationship Type="http://schemas.openxmlformats.org/officeDocument/2006/relationships/hyperlink" Target="https://contrataciondelestado.es/FileSystem/servlet/GetDocumentByIdServlet?cifrado=QUC1GjXXSiLkydRHJBmbpw%3D%3D&amp;DocumentIdParam=kutTZrV5DH3K7AbAmCd3BC0bJxYDMVeQsN43VWHEaQpvUcvuuPoINc2GTbFLJGnhuiqfwSesjBChlyGTMg%2Brk81qOLZtKdzdgzGPYj6p7Dt45ClyWkoJ44mKM70IFcOu" TargetMode="External" Id="rId1785" /><Relationship Type="http://schemas.openxmlformats.org/officeDocument/2006/relationships/hyperlink" Target="https://contrataciondelestado.es/wps/poc?uri=deeplink:detalle_licitacion&amp;idEvl=UB8k44GBn7F%2BF6L2uCfUWg%3D%3D" TargetMode="External" Id="rId1786" /><Relationship Type="http://schemas.openxmlformats.org/officeDocument/2006/relationships/hyperlink" Target="https://contrataciondelestado.es/FileSystem/servlet/GetDocumentByIdServlet?cifrado=QUC1GjXXSiLkydRHJBmbpw%3D%3D&amp;DocumentIdParam=SGpiOfVFpr1TvST4nF6h8Y5XEHUPJ7B8XzkBBvVai/41b4/9GrdJ5lxv7igIXbid2oHB3a/RjJ1LljvSBodHZcgYxiwf1bqnQvf/oEXXR0DfdyQgZAdTm3EfcUAC7CJ6" TargetMode="External" Id="rId1787" /><Relationship Type="http://schemas.openxmlformats.org/officeDocument/2006/relationships/hyperlink" Target="https://contrataciondelestado.es/wps/poc?uri=deeplink:detalle_licitacion&amp;idEvl=KOOCxjeHUqPjHF5qKI4aaw%3D%3D" TargetMode="External" Id="rId1788"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1789" /><Relationship Type="http://schemas.openxmlformats.org/officeDocument/2006/relationships/hyperlink" Target="https://contrataciondelestado.es/wps/poc?uri=deeplink:detalle_licitacion&amp;idEvl=peZYO%2BYeHlWOUi78BmzhOQ%3D%3D" TargetMode="External" Id="rId1790" /><Relationship Type="http://schemas.openxmlformats.org/officeDocument/2006/relationships/hyperlink" Target="https://contrataciondelestado.es/FileSystem/servlet/GetDocumentByIdServlet?cifrado=QUC1GjXXSiLkydRHJBmbpw%3D%3D&amp;DocumentIdParam=XQBo1YKdqQHIzYENgvEyexOUfWFt0iDHjsKEf/nvGvuysrYzrbcCCwpn9JgyoQ8GbQL33IpUb6kE%2BUxOYcHXUQ/tEMnYvnph9dvKsQHLjqs//q7NB2iMZvNyf0xrJmjt" TargetMode="External" Id="rId1791" /><Relationship Type="http://schemas.openxmlformats.org/officeDocument/2006/relationships/hyperlink" Target="https://contrataciondelestado.es/wps/poc?uri=deeplink:detalle_licitacion&amp;idEvl=mxpGlzMeRBDzAq95uGTrDQ%3D%3D" TargetMode="External" Id="rId1792" /><Relationship Type="http://schemas.openxmlformats.org/officeDocument/2006/relationships/hyperlink" Target="https://contrataciondelestado.es/FileSystem/servlet/GetDocumentByIdServlet?cifrado=QUC1GjXXSiLkydRHJBmbpw%3D%3D&amp;DocumentIdParam=V5ql47GUnU8Iti7bn9c9Q9UIexjd9hu7tOSNhfqTLJ9hcQBzJ%2BCJpQAH3eXmWGPrhLwZcCoRilVQ1Wz%2BmSmuPD/60x6u702rdMNqBEWJCxeHAj0WEJrB5sP7amrh2jBD" TargetMode="External" Id="rId1793" /><Relationship Type="http://schemas.openxmlformats.org/officeDocument/2006/relationships/hyperlink" Target="https://contrataciondelestado.es/wps/poc?uri=deeplink:detalle_licitacion&amp;idEvl=xvKy5I2YBfyExvMJXBMHHQ%3D%3D" TargetMode="External" Id="rId1794" /><Relationship Type="http://schemas.openxmlformats.org/officeDocument/2006/relationships/hyperlink" Target="https://contrataciondelestado.es/FileSystem/servlet/GetDocumentByIdServlet?cifrado=QUC1GjXXSiLkydRHJBmbpw%3D%3D&amp;DocumentIdParam=FBXWEWPmkIaKeC3qLsFEtmo%2Bs8KDZ1jdNi1PMAS9ISekxqPQMWxvExc0XD4lg5zePg8z78bjoWhCav1dav/7SSLsjNt1i3fys4V4hAIExB545ClyWkoJ44mKM70IFcOu" TargetMode="External" Id="rId1795" /><Relationship Type="http://schemas.openxmlformats.org/officeDocument/2006/relationships/hyperlink" Target="https://contrataciondelestado.es/wps/poc?uri=deeplink:detalle_licitacion&amp;idEvl=0NmPyeFB%2Be4ZDGvgaZEVxQ%3D%3D" TargetMode="External" Id="rId1796" /><Relationship Type="http://schemas.openxmlformats.org/officeDocument/2006/relationships/hyperlink" Target="https://contrataciondelestado.es/FileSystem/servlet/GetDocumentByIdServlet?cifrado=QUC1GjXXSiLkydRHJBmbpw%3D%3D&amp;DocumentIdParam=PAC5brfGoAoWGI5I%2BYWX9DDL0koBesN0yHzrAYV3Rnasxv8NFW3hWhNXdo1EOdChx%2Bnzf0jEk4AIUgnGzkyQJotldqsdOpeq9URZ08v3wQl45ClyWkoJ44mKM70IFcOu" TargetMode="External" Id="rId1797" /><Relationship Type="http://schemas.openxmlformats.org/officeDocument/2006/relationships/hyperlink" Target="https://contrataciondelestado.es/wps/poc?uri=deeplink:detalle_licitacion&amp;idEvl=mnWS8WmvxQGopEMYCmrbmw%3D%3D" TargetMode="External" Id="rId1798" /><Relationship Type="http://schemas.openxmlformats.org/officeDocument/2006/relationships/hyperlink" Target="https://contrataciondelestado.es/FileSystem/servlet/GetDocumentByIdServlet?cifrado=QUC1GjXXSiLkydRHJBmbpw%3D%3D&amp;DocumentIdParam=HMhWY%2BAlBz71i0yVC6r26gKzXgooa6dLQZQkpB0mT3n%2BL%2BuWbwpqUB5BcOini2q9U%2B7p4JW84e6OXerdkry2f3Kjrxc5KxwqNjJDXSOF9y/VTD3T98KC0nSgQFM0q%2B5s" TargetMode="External" Id="rId1799" /><Relationship Type="http://schemas.openxmlformats.org/officeDocument/2006/relationships/hyperlink" Target="https://contrataciondelestado.es/wps/poc?uri=deeplink:detalle_licitacion&amp;idEvl=Ym0WdDoYsiYeC9GJQOEBkQ%3D%3D" TargetMode="External" Id="rId1800" /><Relationship Type="http://schemas.openxmlformats.org/officeDocument/2006/relationships/hyperlink" Target="https://contrataciondelestado.es/FileSystem/servlet/GetDocumentByIdServlet?cifrado=QUC1GjXXSiLkydRHJBmbpw%3D%3D&amp;DocumentIdParam=QMhGn4OFdJnpbFuT1uVF%2BXeWD0TTZDVAlaKJDvbGoCvGix/315J2LC%2B7UsOqQl9Yijcyn4vZHDPsMdvVWIrnJnxppVyQrqjhsgPe8WHPFk4C1/zDIE0Kw/PWNnLS0Z0z" TargetMode="External" Id="rId1801" /><Relationship Type="http://schemas.openxmlformats.org/officeDocument/2006/relationships/hyperlink" Target="https://contrataciondelestado.es/wps/poc?uri=deeplink:detalle_licitacion&amp;idEvl=tFRAT5gvUPKKeVWTb9Scog%3D%3D" TargetMode="External" Id="rId1802" /><Relationship Type="http://schemas.openxmlformats.org/officeDocument/2006/relationships/hyperlink" Target="https://contrataciondelestado.es/FileSystem/servlet/GetDocumentByIdServlet?cifrado=QUC1GjXXSiLkydRHJBmbpw%3D%3D&amp;DocumentIdParam=cBUWnPPK/rKUMtXA38zVk65/Nq1tnNJ/7Nz8%2BfvBOlfX4mmm2EVCm%2BVMurpA0r8/9MAukv/6KVTkdoWUcoKTIhLqdO5HCRvmlLanr4JCL7QZyAJWGsSt0OzTSTyw9JAs" TargetMode="External" Id="rId1803" /><Relationship Type="http://schemas.openxmlformats.org/officeDocument/2006/relationships/hyperlink" Target="https://contrataciondelestado.es/wps/poc?uri=deeplink:detalle_licitacion&amp;idEvl=c%2FGwaUq7X6U7u6%2B%2FR7DUoA%3D%3D" TargetMode="External" Id="rId1804" /><Relationship Type="http://schemas.openxmlformats.org/officeDocument/2006/relationships/hyperlink" Target="https://contrataciondelestado.es/FileSystem/servlet/GetDocumentByIdServlet?cifrado=QUC1GjXXSiLkydRHJBmbpw%3D%3D&amp;DocumentIdParam=h4YelnejIzv1PHBW2vV81cfdFOyyGw%2B325GKB/8lcKsvjMuFYYaZpD3uAulDl94xXwFXk1Qzp/notTyRy4lZx/XdK7a6Okik2/btQNYiRfcZyAJWGsSt0OzTSTyw9JAs" TargetMode="External" Id="rId1805" /><Relationship Type="http://schemas.openxmlformats.org/officeDocument/2006/relationships/hyperlink" Target="https://contrataciondelestado.es/wps/poc?uri=deeplink:detalle_licitacion&amp;idEvl=XaS0lUeIxTc%2Bk2oCbDosIw%3D%3D" TargetMode="External" Id="rId1806" /><Relationship Type="http://schemas.openxmlformats.org/officeDocument/2006/relationships/hyperlink" Target="https://contrataciondelestado.es/FileSystem/servlet/GetDocumentByIdServlet?cifrado=QUC1GjXXSiLkydRHJBmbpw%3D%3D&amp;DocumentIdParam=40oTrrMeZLN3T7f7bwayJj68jUU9PmVPPgC0bFn%2B2mnsIMZ2jT95zPsHDim28MLmat98wRinYznGAMpvwsvJuhJ2XqmuchW5vesSJKSzGXm1aXEvq3KHa/AEHgtDrQw0" TargetMode="External" Id="rId1807" /><Relationship Type="http://schemas.openxmlformats.org/officeDocument/2006/relationships/hyperlink" Target="https://contrataciondelestado.es/wps/poc?uri=deeplink:detalle_licitacion&amp;idEvl=Jwc8X7avjbcl5NjlNci%2BtA%3D%3D" TargetMode="External" Id="rId1808"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1809" /><Relationship Type="http://schemas.openxmlformats.org/officeDocument/2006/relationships/hyperlink" Target="https://contrataciondelestado.es/wps/poc?uri=deeplink:detalle_licitacion&amp;idEvl=whN4YVPMitE4NavIWzMcHA%3D%3D" TargetMode="External" Id="rId1810"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1811" /><Relationship Type="http://schemas.openxmlformats.org/officeDocument/2006/relationships/hyperlink" Target="https://contrataciondelestado.es/wps/poc?uri=deeplink:detalle_licitacion&amp;idEvl=D%2FmOIHbshr03vLk2DU2Ddg%3D%3D" TargetMode="External" Id="rId1812" /><Relationship Type="http://schemas.openxmlformats.org/officeDocument/2006/relationships/hyperlink" Target="https://contrataciondelestado.es/FileSystem/servlet/GetDocumentByIdServlet?cifrado=QUC1GjXXSiLkydRHJBmbpw%3D%3D&amp;DocumentIdParam=YAkwjs%2B3HMSQsXsRH1QtQmK3dF0oCNlG7ZgVgVe08ZmjNSDwCC8WociIyWVjS6bF2m2WU5JP6Vtr4bKEseyxQ4rmZHj7kjq5MFTj3EVG1AVJOVDbGCDM%2BMigrvuVS7Rv" TargetMode="External" Id="rId1813" /><Relationship Type="http://schemas.openxmlformats.org/officeDocument/2006/relationships/hyperlink" Target="https://contrataciondelestado.es/wps/poc?uri=deeplink:detalle_licitacion&amp;idEvl=1zFl%2FpbVM9XECtSnloz%2BZQ%3D%3D" TargetMode="External" Id="rId1814" /><Relationship Type="http://schemas.openxmlformats.org/officeDocument/2006/relationships/hyperlink" Target="https://contrataciondelestado.es/FileSystem/servlet/GetDocumentByIdServlet?cifrado=QUC1GjXXSiLkydRHJBmbpw%3D%3D&amp;DocumentIdParam=x%2BE4PqPgzqMilmiS/0z9BIcK73TWz1BbCldaDg8cqXYljywN/TE6vF9FUwfJtrt95JESLvS6aeGrbEgpzr6069ggP03iY6RsulMauGNJMkdt/o8fNevwsujgRzaBbugn" TargetMode="External" Id="rId1815" /><Relationship Type="http://schemas.openxmlformats.org/officeDocument/2006/relationships/hyperlink" Target="https://contrataciondelestado.es/wps/poc?uri=deeplink:detalle_licitacion&amp;idEvl=RG0iaeYtoErua%2Fi14w%2FPLA%3D%3D" TargetMode="External" Id="rId1816"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1817" /><Relationship Type="http://schemas.openxmlformats.org/officeDocument/2006/relationships/hyperlink" Target="https://contrataciondelestado.es/wps/poc?uri=deeplink:detalle_licitacion&amp;idEvl=8NMssK1BtvdWhbmkna2nXQ%3D%3D" TargetMode="External" Id="rId1818" /><Relationship Type="http://schemas.openxmlformats.org/officeDocument/2006/relationships/hyperlink" Target="https://contrataciondelestado.es/FileSystem/servlet/GetDocumentByIdServlet?cifrado=QUC1GjXXSiLkydRHJBmbpw%3D%3D&amp;DocumentIdParam=0jxcYpyRf/JKgRcNB7xOigA0sC2hLQTKVnEcGFjK4Zc/PO1Mu/UTS%2BQefir6IpjFEeH0jZZRiCL45NlqRkSgbOKRqCHRmxKtnRDLV/zP3O6HAj0WEJrB5sP7amrh2jBD" TargetMode="External" Id="rId1819" /><Relationship Type="http://schemas.openxmlformats.org/officeDocument/2006/relationships/hyperlink" Target="https://contrataciondelestado.es/wps/poc?uri=deeplink:detalle_licitacion&amp;idEvl=VHnwy%2Ftmh3%2F%2Fa9DgO%2BoYKQ%3D%3D" TargetMode="External" Id="rId1820" /><Relationship Type="http://schemas.openxmlformats.org/officeDocument/2006/relationships/hyperlink" Target="https://contrataciondelestado.es/FileSystem/servlet/GetDocumentByIdServlet?cifrado=QUC1GjXXSiLkydRHJBmbpw%3D%3D&amp;DocumentIdParam=LRVgnB2LrGOLU5WGkl2bJ/go%2BZ4Oboj0RpyYMxYhl6G3h8FR2ZNuSHuKljvjZcOmJeOFWWE8dYfmY09WEhv0rEn3FLwyf45OGnr0lQKSZJGB0nvVKRzfe4rpHcnlPhSZ" TargetMode="External" Id="rId1821" /><Relationship Type="http://schemas.openxmlformats.org/officeDocument/2006/relationships/hyperlink" Target="https://contrataciondelestado.es/wps/poc?uri=deeplink:detalle_licitacion&amp;idEvl=ruugrPUc6KwZDGvgaZEVxQ%3D%3D" TargetMode="External" Id="rId1822" /><Relationship Type="http://schemas.openxmlformats.org/officeDocument/2006/relationships/hyperlink" Target="https://contrataciondelestado.es/FileSystem/servlet/GetDocumentByIdServlet?cifrado=QUC1GjXXSiLkydRHJBmbpw%3D%3D&amp;DocumentIdParam=AWsmtDKHDuGYRFlWy9kYxILfwy7xObuWIOxkZ%2BCGlbdiquk8SlCxMaREKj/pLNe0YDVGzStQ54Zwh1nRoWMrV%2BsN8LlFSE2std2W2Bq7IQb3GVhXrFFqN7yFncy7YfRK" TargetMode="External" Id="rId1823" /><Relationship Type="http://schemas.openxmlformats.org/officeDocument/2006/relationships/hyperlink" Target="https://contrataciondelestado.es/wps/poc?uri=deeplink:detalle_licitacion&amp;idEvl=ChPZQWalhbHzAq95uGTrDQ%3D%3D" TargetMode="External" Id="rId1824" /><Relationship Type="http://schemas.openxmlformats.org/officeDocument/2006/relationships/hyperlink" Target="https://contrataciondelestado.es/FileSystem/servlet/GetDocumentByIdServlet?cifrado=QUC1GjXXSiLkydRHJBmbpw%3D%3D&amp;DocumentIdParam=9yifPY0hzuBDX%2BWR3sHeLZU5bixThGAK2zBkmWF0H730Mls1LtjPT6wEFoPEkK13wZs8r%2BVt23XFS5rVxhgbaGIDE42t2WzXsJUF1iG4MwIC1/zDIE0Kw/PWNnLS0Z0z" TargetMode="External" Id="rId1825" /><Relationship Type="http://schemas.openxmlformats.org/officeDocument/2006/relationships/hyperlink" Target="https://contrataciondelestado.es/wps/poc?uri=deeplink:detalle_licitacion&amp;idEvl=AxxGTzGzfKctm4eBPtV6eQ%3D%3D" TargetMode="External" Id="rId1826" /><Relationship Type="http://schemas.openxmlformats.org/officeDocument/2006/relationships/hyperlink" Target="https://contrataciondelestado.es/FileSystem/servlet/GetDocumentByIdServlet?cifrado=QUC1GjXXSiLkydRHJBmbpw%3D%3D&amp;DocumentIdParam=H/Yyq/%2BP8nU5OuaWfb/qnrYPgRZ6PXtjXYFR2CbjOjSduatpuhbKvvm1oz1nI0Vi1xX8T/B2lwIVgkGtmp1mWf4jWCcojCdZ73I/JFymKnFt/o8fNevwsujgRzaBbugn" TargetMode="External" Id="rId1827" /><Relationship Type="http://schemas.openxmlformats.org/officeDocument/2006/relationships/hyperlink" Target="https://contrataciondelestado.es/wps/poc?uri=deeplink:detalle_licitacion&amp;idEvl=tytGTikeUnucTfjQf3USOg%3D%3D" TargetMode="External" Id="rId1828" /><Relationship Type="http://schemas.openxmlformats.org/officeDocument/2006/relationships/hyperlink" Target="https://contrataciondelestado.es/FileSystem/servlet/GetDocumentByIdServlet?cifrado=QUC1GjXXSiLkydRHJBmbpw%3D%3D&amp;DocumentIdParam=v1YUNz0IHWlmcI/uqBPWIO2SLX4UuzW1yEDlTx3q/kk5W5zRs3ongY6ezStEB3BXfLgGVKS/1wMRecYZeK0mF0sULW6/lu%2B8xv0ICR/Iya8C1/zDIE0Kw/PWNnLS0Z0z" TargetMode="External" Id="rId1829" /><Relationship Type="http://schemas.openxmlformats.org/officeDocument/2006/relationships/hyperlink" Target="https://contrataciondelestado.es/wps/poc?uri=deeplink:detalle_licitacion&amp;idEvl=zQ%2FjVuiaAKQzjChw4z%2FXvw%3D%3D" TargetMode="External" Id="rId1830" /><Relationship Type="http://schemas.openxmlformats.org/officeDocument/2006/relationships/hyperlink" Target="https://contrataciondelestado.es/FileSystem/servlet/GetDocumentByIdServlet?cifrado=QUC1GjXXSiLkydRHJBmbpw%3D%3D&amp;DocumentIdParam=n7UnA0h9AUtYOr6Uox2NyMxL53T/YCDT6TULKn5TV7sCSsaLcu9%2Bfq55X38VEMuOoGIe%2B2qVYONAqTO%2BUJzn4Hrho5cLu/htmq27tL5dt9G1aXEvq3KHa/AEHgtDrQw0" TargetMode="External" Id="rId1831" /><Relationship Type="http://schemas.openxmlformats.org/officeDocument/2006/relationships/hyperlink" Target="https://contrataciondelestado.es/wps/poc?uri=deeplink:detalle_licitacion&amp;idEvl=EJ1mhWd0JlFWhbmkna2nXQ%3D%3D" TargetMode="External" Id="rId1832" /><Relationship Type="http://schemas.openxmlformats.org/officeDocument/2006/relationships/hyperlink" Target="https://contrataciondelestado.es/FileSystem/servlet/GetDocumentByIdServlet?cifrado=QUC1GjXXSiLkydRHJBmbpw%3D%3D&amp;DocumentIdParam=OwzKR1DvIUqy%2B1lYKYiVfI8Lw%2BJ/eWWWlYpokjlpHAI7QTCieZwv97ZN9lAeiVXw1pmOU0q73FEbBQLCnBGpsY9z3xoB0xoglIE4j/3A4ta1aXEvq3KHa/AEHgtDrQw0" TargetMode="External" Id="rId1833" /><Relationship Type="http://schemas.openxmlformats.org/officeDocument/2006/relationships/hyperlink" Target="https://contrataciondelestado.es/wps/poc?uri=deeplink:detalle_licitacion&amp;idEvl=wOKZBSgLpuHI8aL3PRS10Q%3D%3D" TargetMode="External" Id="rId1834" /><Relationship Type="http://schemas.openxmlformats.org/officeDocument/2006/relationships/hyperlink" Target="https://contrataciondelestado.es/FileSystem/servlet/GetDocumentByIdServlet?cifrado=QUC1GjXXSiLkydRHJBmbpw%3D%3D&amp;DocumentIdParam=LByynYRfZdxe1y91taITOWUb7mH/4QKoHT8rPjG4IX0XZW54L/1EN5myPL16RVS23b8kfRuHf4Z2h9C0PsrdgwzyZv%2BQAZqjeHjxxAtP0%2B2HAj0WEJrB5sP7amrh2jBD" TargetMode="External" Id="rId1835" /><Relationship Type="http://schemas.openxmlformats.org/officeDocument/2006/relationships/hyperlink" Target="https://contrataciondelestado.es/wps/poc?uri=deeplink:detalle_licitacion&amp;idEvl=ltUgaZUqgVOzz8fXU2i3eQ%3D%3D" TargetMode="External" Id="rId1836" /><Relationship Type="http://schemas.openxmlformats.org/officeDocument/2006/relationships/hyperlink" Target="https://contrataciondelestado.es/FileSystem/servlet/GetDocumentByIdServlet?cifrado=QUC1GjXXSiLkydRHJBmbpw%3D%3D&amp;DocumentIdParam=glrOa7b3uXXd1ooOVPLEbFuhQN1rsDaDb9Y9OWtjRUekd3P6xKgXV1mA88B0PncaLnbrtlQVb11CNoCuTUjScNCzWjyzBuBvBvOHUwJ4hDht/o8fNevwsujgRzaBbugn" TargetMode="External" Id="rId1837" /><Relationship Type="http://schemas.openxmlformats.org/officeDocument/2006/relationships/hyperlink" Target="https://contrataciondelestado.es/wps/poc?uri=deeplink:detalle_licitacion&amp;idEvl=FnQ6N8C78eTpxJFXpLZ%2B2A%3D%3D" TargetMode="External" Id="rId1838" /><Relationship Type="http://schemas.openxmlformats.org/officeDocument/2006/relationships/hyperlink" Target="https://contrataciondelestado.es/FileSystem/servlet/GetDocumentByIdServlet?cifrado=QUC1GjXXSiLkydRHJBmbpw%3D%3D&amp;DocumentIdParam=xDVEvKU868ZaG9RD7ZSiKDHW9htKmmG61mS5YDl3EIQ8EqzvQhLfplbz54%2B0uXWrR3JY5Fqpzao35cJ8p1VeArdTGke5dti1zCZkcQ%2BY4Hn3GVhXrFFqN7yFncy7YfRK" TargetMode="External" Id="rId1839" /><Relationship Type="http://schemas.openxmlformats.org/officeDocument/2006/relationships/hyperlink" Target="https://contrataciondelestado.es/wps/poc?uri=deeplink:detalle_licitacion&amp;idEvl=DrD4FuG2j3xeKgd8LfVV9g%3D%3D" TargetMode="External" Id="rId1840"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1841" /><Relationship Type="http://schemas.openxmlformats.org/officeDocument/2006/relationships/hyperlink" Target="https://contrataciondelestado.es/wps/poc?uri=deeplink:detalle_licitacion&amp;idEvl=p9Z%2BDOR1RCstm4eBPtV6eQ%3D%3D" TargetMode="External" Id="rId1842" /><Relationship Type="http://schemas.openxmlformats.org/officeDocument/2006/relationships/hyperlink" Target="https://contrataciondelestado.es/wps/poc?uri=deeplink:detalle_licitacion&amp;idEvl=GeSxREajJeV6nTs9LZ9RhQ%3D%3D" TargetMode="External" Id="rId1843" /><Relationship Type="http://schemas.openxmlformats.org/officeDocument/2006/relationships/hyperlink" Target="https://contrataciondelestado.es/FileSystem/servlet/GetDocumentByIdServlet?cifrado=QUC1GjXXSiLkydRHJBmbpw%3D%3D&amp;DocumentIdParam=6OMWV4yihBNDdbpeOGGiWPt39bOqJE5p3F83hcEx5/9QkOXVRdyhMCmqeZMv2QrJ8TXWR0C0xUB9OhAgcb6VM/lNh1ROgAO%2B1gugakqXPBv3GVhXrFFqN7yFncy7YfRK" TargetMode="External" Id="rId1844" /><Relationship Type="http://schemas.openxmlformats.org/officeDocument/2006/relationships/hyperlink" Target="https://contrataciondelestado.es/wps/poc?uri=deeplink:detalle_licitacion&amp;idEvl=xlntojPfREGcCF8sV%2BqtYA%3D%3D" TargetMode="External" Id="rId1845" /><Relationship Type="http://schemas.openxmlformats.org/officeDocument/2006/relationships/hyperlink" Target="https://contrataciondelestado.es/FileSystem/servlet/GetDocumentByIdServlet?cifrado=QUC1GjXXSiLkydRHJBmbpw%3D%3D&amp;DocumentIdParam=Ef0qJEKY4iBThAaO91btkrFj86i6fGCc/qdN/%2BuVUnHaBc1VpUdpfKSfgk15DFHxWBHDXkrpnH30CHboNopzb81yqiB/l7XuHvvNJgtN3qD6CYyL7SIrUOBFfNf52ZqA" TargetMode="External" Id="rId1846" /><Relationship Type="http://schemas.openxmlformats.org/officeDocument/2006/relationships/hyperlink" Target="https://contrataciondelestado.es/wps/poc?uri=deeplink:detalle_licitacion&amp;idEvl=T%2FXLVHfk4%2BcXhk1FZxEyvw%3D%3D" TargetMode="External" Id="rId1847" /><Relationship Type="http://schemas.openxmlformats.org/officeDocument/2006/relationships/hyperlink" Target="https://contrataciondelestado.es/FileSystem/servlet/GetDocumentByIdServlet?cifrado=QUC1GjXXSiLkydRHJBmbpw%3D%3D&amp;DocumentIdParam=WMeHv%2BoBAnbYGls4fUn5W0Tr4XBu4oLFbWMwNuYhX5qCRp3OtqY6uvLj1%2BkWiX%2BsxFQUWSpH1r2za4Q1gDdztbITLlfPjNr2R2wmj9PX8nMC1/zDIE0Kw/PWNnLS0Z0z" TargetMode="External" Id="rId1848" /><Relationship Type="http://schemas.openxmlformats.org/officeDocument/2006/relationships/hyperlink" Target="https://contrataciondelestado.es/wps/poc?uri=deeplink:detalle_licitacion&amp;idEvl=6nzXAbvOCoTN3k3tjedSGw%3D%3D" TargetMode="External" Id="rId1849" /><Relationship Type="http://schemas.openxmlformats.org/officeDocument/2006/relationships/hyperlink" Target="https://contrataciondelestado.es/FileSystem/servlet/GetDocumentByIdServlet?DocumentIdParam=OHMptcyzhQLqx8t%2BR5ea4LR0xf9l%2BRpRWNkIm42r%2BIaa5tubNvUmv2ILD2QR/JzJxxYKfBvPgrjS0zBRbED4QIrJtaYIhY8WFmvR3rOa0ea1aXEvq3KHa/AEHgtDrQw0&amp;cifrado=QUC1GjXXSiLkydRHJBmbpw%3D%3D" TargetMode="External" Id="rId1850" /><Relationship Type="http://schemas.openxmlformats.org/officeDocument/2006/relationships/hyperlink" Target="https://contrataciondelestado.es/wps/poc?uri=deeplink:detalle_licitacion&amp;idEvl=BnQKRefKn6mHCIsjvJ3rhQ%3D%3D" TargetMode="External" Id="rId1851" /><Relationship Type="http://schemas.openxmlformats.org/officeDocument/2006/relationships/hyperlink" Target="https://contrataciondelestado.es/FileSystem/servlet/GetDocumentByIdServlet?cifrado=QUC1GjXXSiLkydRHJBmbpw%3D%3D&amp;DocumentIdParam=eef6GS/BTSnHe/QayCzlmYSuanhqjYXhv0vgz9D/dFHyvvOdMR6s9RMJw11uXfpnwCTNhDX%2BjnH/dxOTS/RxM1mKksbjiehHrIgfNAxKKkC1aXEvq3KHa/AEHgtDrQw0" TargetMode="External" Id="rId1852" /><Relationship Type="http://schemas.openxmlformats.org/officeDocument/2006/relationships/hyperlink" Target="https://contrataciondelestado.es/wps/poc?uri=deeplink:detalle_licitacion&amp;idEvl=ujmYhf3SwywQyBAnWzHfCg%3D%3D" TargetMode="External" Id="rId1853"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1854" /><Relationship Type="http://schemas.openxmlformats.org/officeDocument/2006/relationships/hyperlink" Target="https://contrataciondelestado.es/wps/poc?uri=deeplink:detalle_licitacion&amp;idEvl=mo6NPOnpN%2FbVGIpKDxgsAQ%3D%3D" TargetMode="External" Id="rId1855" /><Relationship Type="http://schemas.openxmlformats.org/officeDocument/2006/relationships/hyperlink" Target="https://contrataciondelestado.es/FileSystem/servlet/GetDocumentByIdServlet?cifrado=QUC1GjXXSiLkydRHJBmbpw%3D%3D&amp;DocumentIdParam=n91uf/6/cDcn0VtcKJUUyJH1wCyvytOVIKmNhG/sKAEHQzL6PX7QYfZfiXc3/E9YTtRe8th8HeLImQhL/7H/W4BMmU2m8gUk8vNRdu2GHa5JOVDbGCDM%2BMigrvuVS7Rv" TargetMode="External" Id="rId1856" /><Relationship Type="http://schemas.openxmlformats.org/officeDocument/2006/relationships/hyperlink" Target="https://contrataciondelestado.es/wps/poc?uri=deeplink:detalle_licitacion&amp;idEvl=LLFNHL1OkU42wEhQbcAqug%3D%3D" TargetMode="External" Id="rId1857" /><Relationship Type="http://schemas.openxmlformats.org/officeDocument/2006/relationships/hyperlink" Target="https://contrataciondelestado.es/FileSystem/servlet/GetDocumentByIdServlet?cifrado=QUC1GjXXSiLkydRHJBmbpw%3D%3D&amp;DocumentIdParam=ZAKM0UalOT/eIY8sUFXSGBTwTol6aqt1eShZB9cQRmDZ1actgB1Bnij3z9Fs%2BbyCMW0Ms5l3e3X2eN7SlziFTeSZ83T4IfeaTZmRMY%2BHIyW1aXEvq3KHa/AEHgtDrQw0" TargetMode="External" Id="rId1858" /><Relationship Type="http://schemas.openxmlformats.org/officeDocument/2006/relationships/hyperlink" Target="https://contrataciondelestado.es/wps/poc?uri=deeplink:detalle_licitacion&amp;idEvl=mAwRC%2B1EMz%2FL1rX3q%2FMAPA%3D%3D" TargetMode="External" Id="rId1859" /><Relationship Type="http://schemas.openxmlformats.org/officeDocument/2006/relationships/hyperlink" Target="https://contrataciondelestado.es/FileSystem/servlet/GetDocumentByIdServlet?cifrado=QUC1GjXXSiLkydRHJBmbpw%3D%3D&amp;DocumentIdParam=JgsY1J6kp66dTzdItyBqQtD6LIqGGbI03bxOvha3h%2Bfrwp4bzglA2zK3sN0W9V7wuRrG8cUxZe/bDDjvvJ97CwIX9mkZ0l7EpPGp/O7t%2B3c//q7NB2iMZvNyf0xrJmjt" TargetMode="External" Id="rId1860" /><Relationship Type="http://schemas.openxmlformats.org/officeDocument/2006/relationships/hyperlink" Target="https://contrataciondelestado.es/wps/poc?uri=deeplink:detalle_licitacion&amp;idEvl=ytBF6fjR1n3jHF5qKI4aaw%3D%3D" TargetMode="External" Id="rId1861" /><Relationship Type="http://schemas.openxmlformats.org/officeDocument/2006/relationships/hyperlink" Target="https://contrataciondelestado.es/FileSystem/servlet/GetDocumentByIdServlet?cifrado=QUC1GjXXSiLkydRHJBmbpw%3D%3D&amp;DocumentIdParam=fDW6FVWkStEeG71qmnA8GdiFqqjUXcfsPoYeDTKdAzp57DCsLJKICLSnNhxLZ80HJl/didoLOHpvnHuDeuMW6I3lxyvfA5un65wqkfAuG1X6CYyL7SIrUOBFfNf52ZqA" TargetMode="External" Id="rId1862" /><Relationship Type="http://schemas.openxmlformats.org/officeDocument/2006/relationships/hyperlink" Target="https://contrataciondelestado.es/wps/poc?uri=deeplink:detalle_licitacion&amp;idEvl=BIPXH8jOrT%2Fs%2BnLj3vAg5A%3D%3D" TargetMode="External" Id="rId1863" /><Relationship Type="http://schemas.openxmlformats.org/officeDocument/2006/relationships/hyperlink" Target="https://contrataciondelestado.es/FileSystem/servlet/GetDocumentByIdServlet?DocumentIdParam=leHFPQ/W2Zr7fF6OVYN1SnsK45GiKKployF1yS0nyUIXiAi9z4JbcGxq9r8dK5sM7fEspfaYnHNVEGHdWBanlGqjcxIe2mH36LJhSBVTkpt7QB3HKyQaFUExmUVQCerk&amp;cifrado=QUC1GjXXSiLkydRHJBmbpw%3D%3D" TargetMode="External" Id="rId1864" /><Relationship Type="http://schemas.openxmlformats.org/officeDocument/2006/relationships/hyperlink" Target="https://contrataciondelestado.es/wps/poc?uri=deeplink:detalle_licitacion&amp;idEvl=jVTlvByk%2FVeGCFcHcNGIlQ%3D%3D" TargetMode="External" Id="rId1865" /><Relationship Type="http://schemas.openxmlformats.org/officeDocument/2006/relationships/hyperlink" Target="https://contrataciondelestado.es/FileSystem/servlet/GetDocumentByIdServlet?cifrado=QUC1GjXXSiLkydRHJBmbpw%3D%3D&amp;DocumentIdParam=CU5nC1i9tSBNsjaJLPHdPBueSSWTvS8yckNUn/OPiAMV3vAdS6%2BwOIG9U4m3VUee4MplbQorKpLP7qjt7Abjxg3OyCIDgHkyZmMT3nCEttMZyAJWGsSt0OzTSTyw9JAs" TargetMode="External" Id="rId1866" /><Relationship Type="http://schemas.openxmlformats.org/officeDocument/2006/relationships/hyperlink" Target="https://contrataciondelestado.es/wps/poc?uri=deeplink:detalle_licitacion&amp;idEvl=5r4rQB0U2jQ%2Bk2oCbDosIw%3D%3D" TargetMode="External" Id="rId1867" /><Relationship Type="http://schemas.openxmlformats.org/officeDocument/2006/relationships/hyperlink" Target="https://contrataciondelestado.es/FileSystem/servlet/GetDocumentByIdServlet?cifrado=QUC1GjXXSiLkydRHJBmbpw%3D%3D&amp;DocumentIdParam=QMhGn4OFdJnpbFuT1uVF%2BWx/CnGEaeKkuwcn5/JhickCrdyr88tWDQsljAWN%2BbzdAEI47eV5Zdd%2BncunkMzD/hiF8TjSzgjBSyybPbF/0Ldt/o8fNevwsujgRzaBbugn" TargetMode="External" Id="rId1868" /><Relationship Type="http://schemas.openxmlformats.org/officeDocument/2006/relationships/hyperlink" Target="https://contrataciondelestado.es/wps/poc?uri=deeplink:detalle_licitacion&amp;idEvl=jkq3Qg34IDLIGlsa0Wad%2Bw%3D%3D" TargetMode="External" Id="rId1869" /><Relationship Type="http://schemas.openxmlformats.org/officeDocument/2006/relationships/hyperlink" Target="https://contrataciondelestado.es/FileSystem/servlet/GetDocumentByIdServlet?cifrado=QUC1GjXXSiLkydRHJBmbpw%3D%3D&amp;DocumentIdParam=6wYasKX01aA8d3SY1DmmiWCXIkSeukPvSM8Y2t7POabhqAeKal703B29Hf3a7xJQC2OhlHAFJLwTsmeumq%2BaVU99WYX1tnrZDGZaragFbkGHAj0WEJrB5sP7amrh2jBD" TargetMode="External" Id="rId1870" /><Relationship Type="http://schemas.openxmlformats.org/officeDocument/2006/relationships/hyperlink" Target="https://contrataciondelestado.es/wps/poc?uri=deeplink:detalle_licitacion&amp;idEvl=alMpYmykvym2gkLQ8TeYKA%3D%3D" TargetMode="External" Id="rId1871" /><Relationship Type="http://schemas.openxmlformats.org/officeDocument/2006/relationships/hyperlink" Target="https://contrataciondelestado.es/FileSystem/servlet/GetDocumentByIdServlet?cifrado=QUC1GjXXSiLkydRHJBmbpw%3D%3D&amp;DocumentIdParam=jv3Y2VqEIUGWEpnKi9NX97gmWm%2Buiua0qkq3tZOy72o0i2Ahy4rXEepP2J0sCSWiP4b184xFRXtgYwmxJcIyPywuAzKlvtY6UI/g1cHxo6QZyAJWGsSt0OzTSTyw9JAs" TargetMode="External" Id="rId1872" /><Relationship Type="http://schemas.openxmlformats.org/officeDocument/2006/relationships/hyperlink" Target="https://contrataciondelestado.es/wps/poc?uri=deeplink:detalle_licitacion&amp;idEvl=%2BcSJlUTuBEVt5r0ngvMetA%3D%3D" TargetMode="External" Id="rId1873" /><Relationship Type="http://schemas.openxmlformats.org/officeDocument/2006/relationships/hyperlink" Target="https://contrataciondelestado.es/FileSystem/servlet/GetDocumentByIdServlet?cifrado=QUC1GjXXSiLkydRHJBmbpw%3D%3D&amp;DocumentIdParam=9hc2kSvmY4TfBMjW3fqnc7CqD1RE6UoVvobToFfkmdBMhemxz3EpMJRfy08C4PcLMUd2JdWCwc%2Bs/wL1LR9GUB/vf5aatlV6z2Hp5SiEdHzVTD3T98KC0nSgQFM0q%2B5s" TargetMode="External" Id="rId1874" /><Relationship Type="http://schemas.openxmlformats.org/officeDocument/2006/relationships/hyperlink" Target="https://contrataciondelestado.es/wps/poc?uri=deeplink:detalle_licitacion&amp;idEvl=uIiZYxmfrPLECtSnloz%2BZQ%3D%3D" TargetMode="External" Id="rId1875" /><Relationship Type="http://schemas.openxmlformats.org/officeDocument/2006/relationships/hyperlink" Target="https://contrataciondelestado.es/FileSystem/servlet/GetDocumentByIdServlet?cifrado=QUC1GjXXSiLkydRHJBmbpw%3D%3D&amp;DocumentIdParam=v5D9Uh4mlXGM/Bxydj9/b7b%2BJhN1P55LTQEhtyz5bBNk3k07lqujgIe0uzEzjSvfi156Ur45DyZhdamVQe6K488j9BZ7mrckHtMWpdQ1BdI//q7NB2iMZvNyf0xrJmjt" TargetMode="External" Id="rId1876" /><Relationship Type="http://schemas.openxmlformats.org/officeDocument/2006/relationships/hyperlink" Target="https://contrataciondelestado.es/wps/poc?uri=deeplink:detalle_licitacion&amp;idEvl=Q%2FAv3TW4W%2BK9Hd5zqvq9cg%3D%3D" TargetMode="External" Id="rId1877" /><Relationship Type="http://schemas.openxmlformats.org/officeDocument/2006/relationships/hyperlink" Target="https://contrataciondelestado.es/FileSystem/servlet/GetDocumentByIdServlet?cifrado=QUC1GjXXSiLkydRHJBmbpw%3D%3D&amp;DocumentIdParam=BF5Vvxqk/nxaLoSlghiNNWCtxdrsQb6mnj2d2XT4ZK6KWgz6opH6Z34Q6qxlmBD3ziBkjbTRMI56g0n0F8q%2B6eR5%2By1iBnvkFJLgzM4vDNcC1/zDIE0Kw/PWNnLS0Z0z" TargetMode="External" Id="rId1878" /><Relationship Type="http://schemas.openxmlformats.org/officeDocument/2006/relationships/hyperlink" Target="https://contrataciondelestado.es/wps/poc?uri=deeplink:detalle_licitacion&amp;idEvl=XECjKeFZAQs%2FbjW6njtWLw%3D%3D" TargetMode="External" Id="rId1879" /><Relationship Type="http://schemas.openxmlformats.org/officeDocument/2006/relationships/hyperlink" Target="https://contrataciondelestado.es/FileSystem/servlet/GetDocumentByIdServlet?cifrado=QUC1GjXXSiLkydRHJBmbpw%3D%3D&amp;DocumentIdParam=RHL0bEy4G/vh3B3qc8cX6My1EsKNEwr/206igPxZlBx%2BGEDFQlebFjLP0EpnLAd4/cMapacawLtDYZNB7lBRx7R0qQDKLUBadIEQwc78lx%2BCx2e6p7hqtlp2aFupgHMr" TargetMode="External" Id="rId1880" /><Relationship Type="http://schemas.openxmlformats.org/officeDocument/2006/relationships/hyperlink" Target="https://contrataciondelestado.es/wps/poc?uri=deeplink:detalle_licitacion&amp;idEvl=BARU4uB1d%2BGTylGzYmBF9Q%3D%3D" TargetMode="External" Id="rId1881"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882" /><Relationship Type="http://schemas.openxmlformats.org/officeDocument/2006/relationships/hyperlink" Target="https://contrataciondelestado.es/wps/poc?uri=deeplink:detalle_licitacion&amp;idEvl=kUNYQaXQCL%2FI8aL3PRS10Q%3D%3D" TargetMode="External" Id="rId1883" /><Relationship Type="http://schemas.openxmlformats.org/officeDocument/2006/relationships/hyperlink" Target="https://contrataciondelestado.es/FileSystem/servlet/GetDocumentByIdServlet?cifrado=QUC1GjXXSiLkydRHJBmbpw%3D%3D&amp;DocumentIdParam=flk9qKX9sVB1H05jNLRm/Z8/hGjKCrjwQpOGvqz4wr2nDqLWGhR%2BhGtD9YJkqzmbJ9SVaQPy2klgGVylP9K3LSiwQyLOilGFc1DFtu%2BAPl0ZyAJWGsSt0OzTSTyw9JAs" TargetMode="External" Id="rId1884" /><Relationship Type="http://schemas.openxmlformats.org/officeDocument/2006/relationships/hyperlink" Target="https://contrataciondelestado.es/wps/poc?uri=deeplink:detalle_licitacion&amp;idEvl=CrHp%2FH91pTrjHF5qKI4aaw%3D%3D" TargetMode="External" Id="rId1885" /><Relationship Type="http://schemas.openxmlformats.org/officeDocument/2006/relationships/hyperlink" Target="https://contrataciondelestado.es/FileSystem/servlet/GetDocumentByIdServlet?cifrado=QUC1GjXXSiLkydRHJBmbpw%3D%3D&amp;DocumentIdParam=2WnBQrWZcRoDQ4UC3v70AhETSyb09EoIzdKQZ96IbDSJfkvEkUd4%2BBtg9UxHIlmVa14NgdxXgNpnRE0Qw2Eb5iTOtEtAFOLhdg2n4FwB8RGB0nvVKRzfe4rpHcnlPhSZ" TargetMode="External" Id="rId1886" /><Relationship Type="http://schemas.openxmlformats.org/officeDocument/2006/relationships/hyperlink" Target="https://contrataciondelestado.es/wps/poc?uri=deeplink:detalle_licitacion&amp;idEvl=NGcgv6n3IlUtm4eBPtV6eQ%3D%3D" TargetMode="External" Id="rId1887" /><Relationship Type="http://schemas.openxmlformats.org/officeDocument/2006/relationships/hyperlink" Target="https://contrataciondelestado.es/FileSystem/servlet/GetDocumentByIdServlet?cifrado=QUC1GjXXSiLkydRHJBmbpw%3D%3D&amp;DocumentIdParam=WnL4r1Gi2/SLXRwp%2BSXBQPUs852HqbEK4hhVhn8cuzKYuSy2kyvfRvhpjEUAVTaG/rLxOxbpuxZnvII2g11la1wk4jyjqlJStyJBhglCzn57QB3HKyQaFUExmUVQCerk" TargetMode="External" Id="rId1888" /><Relationship Type="http://schemas.openxmlformats.org/officeDocument/2006/relationships/hyperlink" Target="https://contrataciondelestado.es/wps/poc?uri=deeplink:detalle_licitacion&amp;idEvl=gcfflPRMkV0Xhk1FZxEyvw%3D%3D" TargetMode="External" Id="rId1889" /><Relationship Type="http://schemas.openxmlformats.org/officeDocument/2006/relationships/hyperlink" Target="https://contrataciondelestado.es/wps/poc?uri=deeplink:detalle_licitacion&amp;idEvl=2MRG4%2B%2BY9Tc%2FbjW6njtWLw%3D%3D" TargetMode="External" Id="rId1890"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1891" /><Relationship Type="http://schemas.openxmlformats.org/officeDocument/2006/relationships/hyperlink" Target="https://contrataciondelestado.es/wps/poc?uri=deeplink:detalle_licitacion&amp;idEvl=Xt60Q3V0qoTN3k3tjedSGw%3D%3D" TargetMode="External" Id="rId1892" /><Relationship Type="http://schemas.openxmlformats.org/officeDocument/2006/relationships/hyperlink" Target="https://contrataciondelestado.es/FileSystem/servlet/GetDocumentByIdServlet?cifrado=QUC1GjXXSiLkydRHJBmbpw%3D%3D&amp;DocumentIdParam=XOjSQjv/mNDnWVUZ%2BNky4xEblmiOhnciLXyKfaZwS5iJtXHE%2B7GeYte5CSob8uYUv9VnSVnWPSrLDNLovKp9Ml33/HaYHsZKPj9zmN4DcCk//q7NB2iMZvNyf0xrJmjt" TargetMode="External" Id="rId1893" /><Relationship Type="http://schemas.openxmlformats.org/officeDocument/2006/relationships/hyperlink" Target="https://contrataciondelestado.es/wps/poc?uri=deeplink:detalle_licitacion&amp;idEvl=6Cgl6ujEgpuOUi78BmzhOQ%3D%3D" TargetMode="External" Id="rId1894" /><Relationship Type="http://schemas.openxmlformats.org/officeDocument/2006/relationships/hyperlink" Target="https://contrataciondelestado.es/FileSystem/servlet/GetDocumentByIdServlet?DocumentIdParam=lZqL1S%2BjyKXv9%2Be9TDWsNixcG3Q3U4kR4BiBpJEBvFqMo3QmKN2ZIuEqPwNMC9mQ4VVIHRdH1%2Bn17o1oTqqjulFMd2bjIX2SvaUB24USE7Q//q7NB2iMZvNyf0xrJmjt&amp;cifrado=QUC1GjXXSiLkydRHJBmbpw%3D%3D" TargetMode="External" Id="rId1895" /><Relationship Type="http://schemas.openxmlformats.org/officeDocument/2006/relationships/hyperlink" Target="https://contrataciondelestado.es/wps/poc?uri=deeplink:detalle_licitacion&amp;idEvl=TTV1t0ICrRtSYrkJkLlFdw%3D%3D" TargetMode="External" Id="rId1896" /><Relationship Type="http://schemas.openxmlformats.org/officeDocument/2006/relationships/hyperlink" Target="https://contrataciondelestado.es/FileSystem/servlet/GetDocumentByIdServlet?cifrado=QUC1GjXXSiLkydRHJBmbpw%3D%3D&amp;DocumentIdParam=92CMJiY9WT01NtHcH4KA46Ws76fEAa/OqIcQra5qLjAek6PHS9gz4%2B7swMBq%2BV2Yl90fGNhzMujqGu4eUMlYXrFsNxuxL8a%2BN/AXFH%2BRtPoZyAJWGsSt0OzTSTyw9JAs" TargetMode="External" Id="rId1897" /><Relationship Type="http://schemas.openxmlformats.org/officeDocument/2006/relationships/hyperlink" Target="https://contrataciondelestado.es/wps/poc?uri=deeplink:detalle_licitacion&amp;idEvl=VCr7WHoJafpVYjgxA4nMUw%3D%3D" TargetMode="External" Id="rId1898"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1899" /><Relationship Type="http://schemas.openxmlformats.org/officeDocument/2006/relationships/hyperlink" Target="https://contrataciondelestado.es/wps/poc?uri=deeplink:detalle_licitacion&amp;idEvl=tRCMhmmA8iuopEMYCmrbmw%3D%3D" TargetMode="External" Id="rId1900" /><Relationship Type="http://schemas.openxmlformats.org/officeDocument/2006/relationships/hyperlink" Target="https://contrataciondelestado.es/FileSystem/servlet/GetDocumentByIdServlet?cifrado=QUC1GjXXSiLkydRHJBmbpw%3D%3D&amp;DocumentIdParam=QevX5%2B2oIipNC6d1mt7zZIVt6txyu7NSUFTqncxp%2Bzv3UnEnccHxBGDEjOjRcc5mI7DlDqDK7kd7EBdlfiHMkntaNzS49a6l2Czf0adfeBs//q7NB2iMZvNyf0xrJmjt" TargetMode="External" Id="rId1901" /><Relationship Type="http://schemas.openxmlformats.org/officeDocument/2006/relationships/hyperlink" Target="https://contrataciondelestado.es/wps/poc?uri=deeplink:detalle_licitacion&amp;idEvl=nEYqjdIbjQoadbH3CysQuQ%3D%3D" TargetMode="External" Id="rId1902" /><Relationship Type="http://schemas.openxmlformats.org/officeDocument/2006/relationships/hyperlink" Target="https://contrataciondelestado.es/FileSystem/servlet/GetDocumentByIdServlet?cifrado=QUC1GjXXSiLkydRHJBmbpw%3D%3D&amp;DocumentIdParam=fUlHJXolTeReXFQpwLWH7%2BaEN2b3QtYwKALD3aprPj6%2BcTpyixvLtWIOwVnYWZXYjwgd0msNuwpwtDKJokxNwpm9p90kXwi0lbg32WZhtX5t/o8fNevwsujgRzaBbugn" TargetMode="External" Id="rId1903" /><Relationship Type="http://schemas.openxmlformats.org/officeDocument/2006/relationships/hyperlink" Target="https://contrataciondelestado.es/wps/poc?uri=deeplink:detalle_licitacion&amp;idEvl=kU%2FlmBY%2BrAz%2B3JAijKO%2Bkg%3D%3D" TargetMode="External" Id="rId1904" /><Relationship Type="http://schemas.openxmlformats.org/officeDocument/2006/relationships/hyperlink" Target="https://contrataciondelestado.es/FileSystem/servlet/GetDocumentByIdServlet?cifrado=QUC1GjXXSiLkydRHJBmbpw%3D%3D&amp;DocumentIdParam=KD2cIsXglQ6Li9vOI1rckFK5p8DJcU1rGBLHylCr5IV7cau16TAxbGS2qvyfJ4gF41GlN8FZk1Uo5mEv/YiEp%2BIq00Chk7/EYH7Sp5i6nZpt/o8fNevwsujgRzaBbugn" TargetMode="External" Id="rId1905" /><Relationship Type="http://schemas.openxmlformats.org/officeDocument/2006/relationships/hyperlink" Target="https://contrataciondelestado.es/wps/poc?uri=deeplink:detalle_licitacion&amp;idEvl=qHrtbLbvBacaF6cS8TCh%2FA%3D%3D" TargetMode="External" Id="rId1906" /><Relationship Type="http://schemas.openxmlformats.org/officeDocument/2006/relationships/hyperlink" Target="https://contrataciondelestado.es/FileSystem/servlet/GetDocumentByIdServlet?cifrado=QUC1GjXXSiLkydRHJBmbpw%3D%3D&amp;DocumentIdParam=Ggc/Y6BY/KELTDQ4N%2Bs7vOtoRMVCc1/N1KhVe6y3g7DpImH/lfLVTeirNwURTg8kXzV9OB3xdokjXAW0hahqi8zTTQ8X0P0xlYCliF8sFw0C1/zDIE0Kw/PWNnLS0Z0z" TargetMode="External" Id="rId1907" /><Relationship Type="http://schemas.openxmlformats.org/officeDocument/2006/relationships/hyperlink" Target="https://contrataciondelestado.es/wps/poc?uri=deeplink:detalle_licitacion&amp;idEvl=F0w53N8aD3LyoM4us5k4vw%3D%3D" TargetMode="External" Id="rId1908" /><Relationship Type="http://schemas.openxmlformats.org/officeDocument/2006/relationships/hyperlink" Target="https://contrataciondelestado.es/FileSystem/servlet/GetDocumentByIdServlet?cifrado=QUC1GjXXSiLkydRHJBmbpw%3D%3D&amp;DocumentIdParam=85UW0lZ%2BmCoZQ7IPOoefBsaXNw4R5JtxaxKy0xzNkP/kaQerrZKcsGIX70iVaeJxZYIdN2ScgoOgNQsK8w76fpzzaAzLEl72tHuuW/sL0QaB0nvVKRzfe4rpHcnlPhSZ" TargetMode="External" Id="rId1909" /><Relationship Type="http://schemas.openxmlformats.org/officeDocument/2006/relationships/hyperlink" Target="https://contrataciondelestado.es/wps/poc?uri=deeplink:detalle_licitacion&amp;idEvl=5cLxqCeQ70mTylGzYmBF9Q%3D%3D" TargetMode="External" Id="rId1910" /><Relationship Type="http://schemas.openxmlformats.org/officeDocument/2006/relationships/hyperlink" Target="https://contrataciondelestado.es/FileSystem/servlet/GetDocumentByIdServlet?cifrado=QUC1GjXXSiLkydRHJBmbpw%3D%3D&amp;DocumentIdParam=dqCOIqtduWxlZOWmHwwvDseTaadRHOKFR6Q/CV/hssNW7vlMDVOZxcKM9ovvBdkUX90ZqQnfsocuODPLxo/KHj5rTVbI69G3Prnvnr7vMoE//q7NB2iMZvNyf0xrJmjt" TargetMode="External" Id="rId1911" /><Relationship Type="http://schemas.openxmlformats.org/officeDocument/2006/relationships/hyperlink" Target="https://contrataciondelestado.es/wps/poc?uri=deeplink:detalle_licitacion&amp;idEvl=PgTOaMNISHd%2FP7lJ7Fu0SA%3D%3D" TargetMode="External" Id="rId1912"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1913" /><Relationship Type="http://schemas.openxmlformats.org/officeDocument/2006/relationships/hyperlink" Target="https://contrataciondelestado.es/wps/poc?uri=deeplink:detalle_licitacion&amp;idEvl=cOE5bW5w0c%2FVGIpKDxgsAQ%3D%3D" TargetMode="External" Id="rId1914"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1915" /><Relationship Type="http://schemas.openxmlformats.org/officeDocument/2006/relationships/hyperlink" Target="https://contrataciondelestado.es/wps/poc?uri=deeplink:detalle_licitacion&amp;idEvl=I82vv%2BpZlm3kY6rls5tG9A%3D%3D" TargetMode="External" Id="rId1916" /><Relationship Type="http://schemas.openxmlformats.org/officeDocument/2006/relationships/hyperlink" Target="https://contrataciondelestado.es/FileSystem/servlet/GetDocumentByIdServlet?cifrado=QUC1GjXXSiLkydRHJBmbpw%3D%3D&amp;DocumentIdParam=3EDeHFSwfodHfgI/tqlCuABPm0oBpKN6NuYyW74pk1cHWKze0b4i/V0l2mEi8qh69GJTCqKUlKsdiq9kcF0%2B%2B1hsTRJrma0nTFLe9XWYRteCx2e6p7hqtlp2aFupgHMr" TargetMode="External" Id="rId1917" /><Relationship Type="http://schemas.openxmlformats.org/officeDocument/2006/relationships/hyperlink" Target="https://contrataciondelestado.es/wps/poc?uri=deeplink:detalle_licitacion&amp;idEvl=CRBDtAIMtjWFlFRHfEzEaw%3D%3D" TargetMode="External" Id="rId1918" /><Relationship Type="http://schemas.openxmlformats.org/officeDocument/2006/relationships/hyperlink" Target="https://contrataciondelestado.es/FileSystem/servlet/GetDocumentByIdServlet?cifrado=QUC1GjXXSiLkydRHJBmbpw%3D%3D&amp;DocumentIdParam=un2hzJLdc9zeD6xiXxRd%2BgqOi5T0Yj/61K7Lurmx2DP6yE7IbUjh8XVrAFbLEj13suNxIrDpNiER/38fI6fub13TyK8KPHhkxcqY0J7drJHfdyQgZAdTm3EfcUAC7CJ6" TargetMode="External" Id="rId1919" /><Relationship Type="http://schemas.openxmlformats.org/officeDocument/2006/relationships/hyperlink" Target="https://contrataciondelestado.es/wps/poc?uri=deeplink:detalle_licitacion&amp;idEvl=SZpMhR34XrlJ8Trn0ZPzLw%3D%3D" TargetMode="External" Id="rId1920" /><Relationship Type="http://schemas.openxmlformats.org/officeDocument/2006/relationships/hyperlink" Target="https://contrataciondelestado.es/FileSystem/servlet/GetDocumentByIdServlet?cifrado=QUC1GjXXSiLkydRHJBmbpw%3D%3D&amp;DocumentIdParam=7CnDtldDMI7FI6Qnys5wNwAELMc6EOsiWREZVtbgG/8KGvFIFlgTXA2bJA%2BDxpDyE0h5YM15CCSIZFhT1pSoQ9/b4dVRy6ffNFx1khGsjKZ45ClyWkoJ44mKM70IFcOu" TargetMode="External" Id="rId1921" /><Relationship Type="http://schemas.openxmlformats.org/officeDocument/2006/relationships/hyperlink" Target="https://contrataciondelestado.es/wps/poc?uri=deeplink:detalle_licitacion&amp;idEvl=5QJ46lMoUzOsNfRW6APEDw%3D%3D" TargetMode="External" Id="rId1922"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1923" /><Relationship Type="http://schemas.openxmlformats.org/officeDocument/2006/relationships/hyperlink" Target="https://contrataciondelestado.es/wps/poc?uri=deeplink:detalle_licitacion&amp;idEvl=C0wOzLJWTU4tm4eBPtV6eQ%3D%3D" TargetMode="External" Id="rId1924"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1925" /><Relationship Type="http://schemas.openxmlformats.org/officeDocument/2006/relationships/hyperlink" Target="https://contrataciondelestado.es/wps/poc?uri=deeplink:detalle_licitacion&amp;idEvl=y3j2WK%2BygPo%2FbjW6njtWLw%3D%3D" TargetMode="External" Id="rId1926" /><Relationship Type="http://schemas.openxmlformats.org/officeDocument/2006/relationships/hyperlink" Target="https://contrataciondelestado.es/FileSystem/servlet/GetDocumentByIdServlet?cifrado=QUC1GjXXSiLkydRHJBmbpw%3D%3D&amp;DocumentIdParam=5WHE%2Be2VHRxMwfaeyukYSOoMHAqk37qcUtjkY31HTty3TDgt%2BMi1wNyDBdlwur4DtH54gQPd9P0vTp7gh40Gvs3u9s/VNKZEoIAoTlS2f6PDdQD9RyhUmzT4jZ2In4zL" TargetMode="External" Id="rId1927" /><Relationship Type="http://schemas.openxmlformats.org/officeDocument/2006/relationships/hyperlink" Target="https://contrataciondelestado.es/wps/poc?uri=deeplink:detalle_licitacion&amp;idEvl=ufA9ou2T1DxrSd8H4b2soA%3D%3D" TargetMode="External" Id="rId1928" /><Relationship Type="http://schemas.openxmlformats.org/officeDocument/2006/relationships/hyperlink" Target="https://contrataciondelestado.es/FileSystem/servlet/GetDocumentByIdServlet?cifrado=QUC1GjXXSiLkydRHJBmbpw%3D%3D&amp;DocumentIdParam=Jcq%2BYuqJ62QpXtg9W0af8EEpV%2BcFEER422d8LIpeHLPa4qP0Ys6ZA56gEGYYj9/NHiQNTKmbUi4ajejhJ%2B8aP2QC17HYVl9qnHj9B/ZC4mzfdyQgZAdTm3EfcUAC7CJ6" TargetMode="External" Id="rId1929" /><Relationship Type="http://schemas.openxmlformats.org/officeDocument/2006/relationships/hyperlink" Target="https://contrataciondelestado.es/wps/poc?uri=deeplink:detalle_licitacion&amp;idEvl=xrBASFy%2F3R8%2FbjW6njtWLw%3D%3D" TargetMode="External" Id="rId1930"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1931" /><Relationship Type="http://schemas.openxmlformats.org/officeDocument/2006/relationships/hyperlink" Target="https://contrataciondelestado.es/wps/poc?uri=deeplink:detalle_licitacion&amp;idEvl=G7IeAVSrAuf%2B3JAijKO%2Bkg%3D%3D" TargetMode="External" Id="rId1932" /><Relationship Type="http://schemas.openxmlformats.org/officeDocument/2006/relationships/hyperlink" Target="https://contrataciondelestado.es/FileSystem/servlet/GetDocumentByIdServlet?cifrado=QUC1GjXXSiLkydRHJBmbpw%3D%3D&amp;DocumentIdParam=3wjHLsD7PnACNmRDn6nFiYixzcxu94vnKGLcXNtDS6iAVIhZyStCgH1hjfP6hkUncO%2BNd%2Bx43Iv0o/e6hLKSUA4OVg9RsY4BLLiJpxZ5RVMZyAJWGsSt0OzTSTyw9JAs" TargetMode="External" Id="rId1933" /><Relationship Type="http://schemas.openxmlformats.org/officeDocument/2006/relationships/hyperlink" Target="https://contrataciondelestado.es/wps/poc?uri=deeplink:detalle_licitacion&amp;idEvl=7MGzXrUmNZUaF6cS8TCh%2FA%3D%3D" TargetMode="External" Id="rId1934" /><Relationship Type="http://schemas.openxmlformats.org/officeDocument/2006/relationships/hyperlink" Target="https://contrataciondelestado.es/wps/poc?uri=deeplink:detalle_licitacion&amp;idEvl=PXbrcLfofUc7u6%2B%2FR7DUoA%3D%3D" TargetMode="External" Id="rId1935" /><Relationship Type="http://schemas.openxmlformats.org/officeDocument/2006/relationships/hyperlink" Target="https://contrataciondelestado.es/FileSystem/servlet/GetDocumentByIdServlet?cifrado=QUC1GjXXSiLkydRHJBmbpw%3D%3D&amp;DocumentIdParam=HH9YxdJhPWQOlHE%2BuK5zs0B8UwsHGPtB2u9Ww45y/XKpYLLQrvM0iRiZoO5fy0q1nuXf8drjOHx3fTrzWeDA3Na8JFV5C4VaPmmRax%2BDTcNJOVDbGCDM%2BMigrvuVS7Rv" TargetMode="External" Id="rId1936" /><Relationship Type="http://schemas.openxmlformats.org/officeDocument/2006/relationships/hyperlink" Target="https://contrataciondelestado.es/wps/poc?uri=deeplink:detalle_licitacion&amp;idEvl=j%2FdxoA%2Fwj8PECtSnloz%2BZQ%3D%3D" TargetMode="External" Id="rId1937" /><Relationship Type="http://schemas.openxmlformats.org/officeDocument/2006/relationships/hyperlink" Target="https://contrataciondelestado.es/FileSystem/servlet/GetDocumentByIdServlet?cifrado=QUC1GjXXSiLkydRHJBmbpw%3D%3D&amp;DocumentIdParam=wGGmlgNcmRhNJ8ZXiPypPeUh7Jh9Gs/DhQcmjcMPe4LZsYkybEjQrJJBMzJPYHhF94zCl6OouE0gq7rwaPxrwLEyoPRL6Uxp%2BPFJ8N6Hc9/3GVhXrFFqN7yFncy7YfRK" TargetMode="External" Id="rId1938" /><Relationship Type="http://schemas.openxmlformats.org/officeDocument/2006/relationships/hyperlink" Target="https://contrataciondelestado.es/wps/poc?uri=deeplink:detalle_licitacion&amp;idEvl=9kQx9ZT%2FkMyHCIsjvJ3rhQ%3D%3D" TargetMode="External" Id="rId1939"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1940" /><Relationship Type="http://schemas.openxmlformats.org/officeDocument/2006/relationships/hyperlink" Target="https://contrataciondelestado.es/wps/poc?uri=deeplink:detalle_licitacion&amp;idEvl=I2%2F1TgOpql%2F9pbnDwlaUlg%3D%3D" TargetMode="External" Id="rId1941"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1942" /><Relationship Type="http://schemas.openxmlformats.org/officeDocument/2006/relationships/hyperlink" Target="https://contrataciondelestado.es/wps/poc?uri=deeplink:detalle_licitacion&amp;idEvl=UEs%2BN66QaJLIGlsa0Wad%2Bw%3D%3D" TargetMode="External" Id="rId1943"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1944" /><Relationship Type="http://schemas.openxmlformats.org/officeDocument/2006/relationships/hyperlink" Target="https://contrataciondelestado.es/wps/poc?uri=deeplink:detalle_licitacion&amp;idEvl=3xwLEbRpicEtm4eBPtV6eQ%3D%3D" TargetMode="External" Id="rId1945" /><Relationship Type="http://schemas.openxmlformats.org/officeDocument/2006/relationships/hyperlink" Target="https://contrataciondelestado.es/FileSystem/servlet/GetDocumentByIdServlet?cifrado=QUC1GjXXSiLkydRHJBmbpw%3D%3D&amp;DocumentIdParam=VtjmXZFSCCz1dzPF5J4%2BUCP9o4qbF4mo2mXyen7Aj3LTDgH0cfo02qhlhAQjffUqicQieOvTkXixB1rjrE1dn5RFxOSiRXIhD3S0KsGRshn6CYyL7SIrUOBFfNf52ZqA" TargetMode="External" Id="rId1946" /><Relationship Type="http://schemas.openxmlformats.org/officeDocument/2006/relationships/hyperlink" Target="https://contrataciondelestado.es/wps/poc?uri=deeplink:detalle_licitacion&amp;idEvl=qNCAh%2BPqmdckJPJS%2BPS9vg%3D%3D" TargetMode="External" Id="rId1947" /><Relationship Type="http://schemas.openxmlformats.org/officeDocument/2006/relationships/hyperlink" Target="https://contrataciondelestado.es/FileSystem/servlet/GetDocumentByIdServlet?cifrado=QUC1GjXXSiLkydRHJBmbpw%3D%3D&amp;DocumentIdParam=fF9bbPDNrvwzJth95ALFHLtLt8HVP1zZ%2BlhtFHxC6nC%2BTyDiGqPe1EdT5LYQosT6c%2BHesxlh9NaRUlj6aEUaIunzKUvPMIofMnp1XqIhiMp45ClyWkoJ44mKM70IFcOu" TargetMode="External" Id="rId1948" /><Relationship Type="http://schemas.openxmlformats.org/officeDocument/2006/relationships/hyperlink" Target="https://contrataciondelestado.es/wps/poc?uri=deeplink:detalle_licitacion&amp;idEvl=ZXyMQVtJGGxVq4S9zvaQpQ%3D%3D" TargetMode="External" Id="rId1949"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1950" /><Relationship Type="http://schemas.openxmlformats.org/officeDocument/2006/relationships/hyperlink" Target="https://contrataciondelestado.es/wps/poc?uri=deeplink:detalle_licitacion&amp;idEvl=3SV05q70N%2F4UqXM96WStVA%3D%3D" TargetMode="External" Id="rId1951" /><Relationship Type="http://schemas.openxmlformats.org/officeDocument/2006/relationships/hyperlink" Target="https://contrataciondelestado.es/FileSystem/servlet/GetDocumentByIdServlet?cifrado=QUC1GjXXSiLkydRHJBmbpw%3D%3D&amp;DocumentIdParam=UYTwXA51J9be4%2BXaQ1ivDCkk43T5Y0UNhYVgcP5MbtkAOyVI/cYvbty6/m14rAfu7OTD9yjD/ikHciek8sPGQX%2Bb48BTMIe10DqyhH0uAZaB0nvVKRzfe4rpHcnlPhSZ" TargetMode="External" Id="rId1952" /><Relationship Type="http://schemas.openxmlformats.org/officeDocument/2006/relationships/hyperlink" Target="https://contrataciondelestado.es/wps/poc?uri=deeplink:detalle_licitacion&amp;idEvl=YzgVdBW%2BF9uOUi78BmzhOQ%3D%3D" TargetMode="External" Id="rId1953" /><Relationship Type="http://schemas.openxmlformats.org/officeDocument/2006/relationships/hyperlink" Target="https://contrataciondelestado.es/wps/poc?uri=deeplink:detalle_licitacion&amp;idEvl=f4yeL%2BZvw4otm4eBPtV6eQ%3D%3D" TargetMode="External" Id="rId1954"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1955" /><Relationship Type="http://schemas.openxmlformats.org/officeDocument/2006/relationships/hyperlink" Target="https://contrataciondelestado.es/wps/poc?uri=deeplink:detalle_licitacion&amp;idEvl=tUCVfgXNGc%2FzAq95uGTrDQ%3D%3D" TargetMode="External" Id="rId1956" /><Relationship Type="http://schemas.openxmlformats.org/officeDocument/2006/relationships/hyperlink" Target="https://contrataciondelestado.es/FileSystem/servlet/GetDocumentByIdServlet?cifrado=QUC1GjXXSiLkydRHJBmbpw%3D%3D&amp;DocumentIdParam=jeFGpBYopxNJqMa%2B/on4AE5tfLNMRXljz82HKcYBxXwlR0xcugmYtif/yOXmxrr75BSkyXOeP%2BmWwssk9KwuDlfbzgS6m%2Bhfux0e3UxFi/eCx2e6p7hqtlp2aFupgHMr" TargetMode="External" Id="rId1957" /><Relationship Type="http://schemas.openxmlformats.org/officeDocument/2006/relationships/hyperlink" Target="https://contrataciondelestado.es/wps/poc?uri=deeplink:detalle_licitacion&amp;idEvl=lw9D6C4cSF0%2FbjW6njtWLw%3D%3D" TargetMode="External" Id="rId1958"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1959" /><Relationship Type="http://schemas.openxmlformats.org/officeDocument/2006/relationships/hyperlink" Target="https://contrataciondelestado.es/wps/poc?uri=deeplink:detalle_licitacion&amp;idEvl=Z4v3xWfSkB5rSd8H4b2soA%3D%3D" TargetMode="External" Id="rId1960" /><Relationship Type="http://schemas.openxmlformats.org/officeDocument/2006/relationships/hyperlink" Target="https://contrataciondelestado.es/FileSystem/servlet/GetDocumentByIdServlet?cifrado=QUC1GjXXSiLkydRHJBmbpw%3D%3D&amp;DocumentIdParam=8ACl%2BdPqAFvselg1yNlVd8jFJuHfOLeSvMIMbQrtTMSUhBl23VechavhCOMjXoZRiSZZcewPi7UMsRL/Te1HNCFdqON8%2BQ3Wn1Mu4KKKAMkC1/zDIE0Kw/PWNnLS0Z0z" TargetMode="External" Id="rId1961" /><Relationship Type="http://schemas.openxmlformats.org/officeDocument/2006/relationships/hyperlink" Target="https://contrataciondelestado.es/wps/poc?uri=deeplink:detalle_licitacion&amp;idEvl=LH9HvGH9k9Atm4eBPtV6eQ%3D%3D" TargetMode="External" Id="rId1962" /><Relationship Type="http://schemas.openxmlformats.org/officeDocument/2006/relationships/hyperlink" Target="https://contrataciondelestado.es/FileSystem/servlet/GetDocumentByIdServlet?DocumentIdParam=8keqDM8knYZMaE4HvBodkFdnLk8aIUAJv7CeT70E9cSqj/D/tr6DzgnuJwKjPqbukeZayPGlTWK2TGwOGTcaScawZoAs7VWCAneFTG/GkpKB0nvVKRzfe4rpHcnlPhSZ&amp;cifrado=QUC1GjXXSiLkydRHJBmbpw%3D%3D" TargetMode="External" Id="rId1963" /><Relationship Type="http://schemas.openxmlformats.org/officeDocument/2006/relationships/hyperlink" Target="https://contrataciondelestado.es/wps/poc?uri=deeplink:detalle_licitacion&amp;idEvl=jTcilt9F8GF%2FP7lJ7Fu0SA%3D%3D" TargetMode="External" Id="rId1964"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1965" /><Relationship Type="http://schemas.openxmlformats.org/officeDocument/2006/relationships/hyperlink" Target="https://contrataciondelestado.es/wps/poc?uri=deeplink:detalle_licitacion&amp;idEvl=lrfSLPTTssaP66GS%2BONYvQ%3D%3D" TargetMode="External" Id="rId1966" /><Relationship Type="http://schemas.openxmlformats.org/officeDocument/2006/relationships/hyperlink" Target="https://contrataciondelestado.es/FileSystem/servlet/GetDocumentByIdServlet?cifrado=QUC1GjXXSiLkydRHJBmbpw%3D%3D&amp;DocumentIdParam=y57QL7vApiojCwHrbUsnJSCygLL2MfCsxqizkaXCv6dppIxUQTgwQoVT6spZpN6PDp6XHJGKrkb6%2BAq5GXbhHrHDQTbC5PDOaYld5Syv/es//q7NB2iMZvNyf0xrJmjt" TargetMode="External" Id="rId1967" /><Relationship Type="http://schemas.openxmlformats.org/officeDocument/2006/relationships/hyperlink" Target="https://contrataciondelestado.es/wps/poc?uri=deeplink:detalle_licitacion&amp;idEvl=%2FlqH6XO7PZA7%2B9FIQYNjeQ%3D%3D" TargetMode="External" Id="rId1968" /><Relationship Type="http://schemas.openxmlformats.org/officeDocument/2006/relationships/hyperlink" Target="https://contrataciondelestado.es/FileSystem/servlet/GetDocumentByIdServlet?cifrado=QUC1GjXXSiLkydRHJBmbpw%3D%3D&amp;DocumentIdParam=4kOXRlqsKdK2RwsDfXDBU04l5koB9CkOspZaHHlujlix/LtgDOR3689g71zmQWTNTjqgA3r8PPT8hHWqcP/8yYJWbRP6PLaSPVwNSFek2MG1aXEvq3KHa/AEHgtDrQw0" TargetMode="External" Id="rId1969" /><Relationship Type="http://schemas.openxmlformats.org/officeDocument/2006/relationships/hyperlink" Target="https://contrataciondelestado.es/wps/poc?uri=deeplink:detalle_licitacion&amp;idEvl=3%2FSIIqSBbEVVq4S9zvaQpQ%3D%3D" TargetMode="External" Id="rId1970" /><Relationship Type="http://schemas.openxmlformats.org/officeDocument/2006/relationships/hyperlink" Target="https://contrataciondelestado.es/FileSystem/servlet/GetDocumentByIdServlet?cifrado=QUC1GjXXSiLkydRHJBmbpw%3D%3D&amp;DocumentIdParam=gLNAPBzJzoPPNXWO4c4E7t26Bkuvo3qPwfDDpffqrIaDSDfROxYHwYTafhCrlpxmF5zdpWe/KhezvQeWZNRBIFqUdmSb9mf6j0tWiDuoRviB0nvVKRzfe4rpHcnlPhSZ" TargetMode="External" Id="rId1971" /><Relationship Type="http://schemas.openxmlformats.org/officeDocument/2006/relationships/hyperlink" Target="https://contrataciondelestado.es/wps/poc?uri=deeplink:detalle_licitacion&amp;idEvl=9f2PXsOg4TZ9PLkba5eRog%3D%3D" TargetMode="External" Id="rId1972"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1973" /><Relationship Type="http://schemas.openxmlformats.org/officeDocument/2006/relationships/hyperlink" Target="https://contrataciondelestado.es/wps/poc?uri=deeplink:detalle_licitacion&amp;idEvl=fyYikM64NTBVq4S9zvaQpQ%3D%3D" TargetMode="External" Id="rId1974" /><Relationship Type="http://schemas.openxmlformats.org/officeDocument/2006/relationships/hyperlink" Target="https://contrataciondelestado.es/FileSystem/servlet/GetDocumentByIdServlet?cifrado=QUC1GjXXSiLkydRHJBmbpw%3D%3D&amp;DocumentIdParam=6xJIIiKk8M20egnT%2BG%2B1JnLGttjnEPdg9n2Kcy5eNPBkwQfhMEiCW0OdRcFMnipTyaf7ci%2BuDbj/keOEjl75SdSzyPKbOtEGtCsCUQyr3c8ZyAJWGsSt0OzTSTyw9JAs" TargetMode="External" Id="rId1975" /><Relationship Type="http://schemas.openxmlformats.org/officeDocument/2006/relationships/hyperlink" Target="https://contrataciondelestado.es/wps/poc?uri=deeplink:detalle_licitacion&amp;idEvl=Wq%2FzOUjz55I%2Bk2oCbDosIw%3D%3D" TargetMode="External" Id="rId1976" /><Relationship Type="http://schemas.openxmlformats.org/officeDocument/2006/relationships/hyperlink" Target="https://contrataciondelestado.es/FileSystem/servlet/GetDocumentByIdServlet?cifrado=QUC1GjXXSiLkydRHJBmbpw%3D%3D&amp;DocumentIdParam=FJr6NAoxE4mAdjEuatbgAH07lBoZTNMsXuYgdEnYMYvaFNYwu1DGWhaaewmJN228ZAnCUsvP7eYdoxnu2mEax21q2A7r8tQ3KGhTWsqwCOkC1/zDIE0Kw/PWNnLS0Z0z" TargetMode="External" Id="rId1977" /><Relationship Type="http://schemas.openxmlformats.org/officeDocument/2006/relationships/hyperlink" Target="https://contrataciondelestado.es/wps/poc?uri=deeplink:detalle_licitacion&amp;idEvl=mXQiOzcyxEx70UvEyYJSGw%3D%3D" TargetMode="External" Id="rId1978" /><Relationship Type="http://schemas.openxmlformats.org/officeDocument/2006/relationships/hyperlink" Target="https://contrataciondelestado.es/FileSystem/servlet/GetDocumentByIdServlet?cifrado=QUC1GjXXSiLkydRHJBmbpw%3D%3D&amp;DocumentIdParam=w4gFSMDcXsKOcuVlHOngXgn2VngxPgN5j06VL7Np4x8a/xg%2B1jDazw%2BAybDwPNMNhadyEdFLKhOFSxfL7dv4ZYk6ZFpEv3/UNSlTkk0Fr9n3GVhXrFFqN7yFncy7YfRK" TargetMode="External" Id="rId1979" /><Relationship Type="http://schemas.openxmlformats.org/officeDocument/2006/relationships/hyperlink" Target="https://contrataciondelestado.es/wps/poc?uri=deeplink:detalle_licitacion&amp;idEvl=%2BKWo7%2B323N1SYrkJkLlFdw%3D%3D" TargetMode="External" Id="rId1980" /><Relationship Type="http://schemas.openxmlformats.org/officeDocument/2006/relationships/hyperlink" Target="https://contrataciondelestado.es/FileSystem/servlet/GetDocumentByIdServlet?cifrado=QUC1GjXXSiLkydRHJBmbpw%3D%3D&amp;DocumentIdParam=u3XfAQ4YHNQ1eRX1B4mhPBmbPm%2BlIhm9yYOboRL%2Bs5KXNzPV5kd9m/06AtzFaHmy1in2AfYUIjoBEgTvLeIcrVLxwq1GNXlkMb1dyS9oKvSB0nvVKRzfe4rpHcnlPhSZ" TargetMode="External" Id="rId1981" /><Relationship Type="http://schemas.openxmlformats.org/officeDocument/2006/relationships/hyperlink" Target="https://contrataciondelestado.es/wps/poc?uri=deeplink:detalle_licitacion&amp;idEvl=hPBZ%2Fb8x%2F3pLAIVZdUs8KA%3D%3D" TargetMode="External" Id="rId1982"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1983" /><Relationship Type="http://schemas.openxmlformats.org/officeDocument/2006/relationships/hyperlink" Target="https://contrataciondelestado.es/wps/poc?uri=deeplink:detalle_licitacion&amp;idEvl=gT28mJ9cKE3ua%2Fi14w%2FPLA%3D%3D" TargetMode="External" Id="rId1984"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1985" /><Relationship Type="http://schemas.openxmlformats.org/officeDocument/2006/relationships/hyperlink" Target="https://contrataciondelestado.es/wps/poc?uri=deeplink:detalle_licitacion&amp;idEvl=V6GeynYtkVZ9PLkba5eRog%3D%3D" TargetMode="External" Id="rId1986" /><Relationship Type="http://schemas.openxmlformats.org/officeDocument/2006/relationships/hyperlink" Target="https://contrataciondelestado.es/FileSystem/servlet/GetDocumentByIdServlet?cifrado=QUC1GjXXSiLkydRHJBmbpw%3D%3D&amp;DocumentIdParam=NGZm%2Bx0Cer6pckN9uZnOCSEFslR%2BgpbRHJma9aetfLWv9ZbYqnb7L%2Bg9RxFT8gJ2cKKDesQAol/lBoeGGDqAKhbmZybhbo3U3t7LkgZI%2BsZJOVDbGCDM%2BMigrvuVS7Rv" TargetMode="External" Id="rId1987" /><Relationship Type="http://schemas.openxmlformats.org/officeDocument/2006/relationships/hyperlink" Target="https://contrataciondelestado.es/wps/poc?uri=deeplink:detalle_licitacion&amp;idEvl=cez6IfIyvhoeIBJRHQiPkQ%3D%3D" TargetMode="External" Id="rId1988" /><Relationship Type="http://schemas.openxmlformats.org/officeDocument/2006/relationships/hyperlink" Target="https://contrataciondelestado.es/FileSystem/servlet/GetDocumentByIdServlet?cifrado=QUC1GjXXSiLkydRHJBmbpw%3D%3D&amp;DocumentIdParam=FUZ4pfolvR%2Ba7GnFgqdHhigiR5YqAxHxRaR5noAy5FBXcDxWKnFifgtraGuXxT%2BSU2uVvI0GUnWmKds19uphyQgDEDuwhp8iPw2W/sbVh2945ClyWkoJ44mKM70IFcOu" TargetMode="External" Id="rId1989" /><Relationship Type="http://schemas.openxmlformats.org/officeDocument/2006/relationships/hyperlink" Target="https://contrataciondelestado.es/wps/poc?uri=deeplink:detalle_licitacion&amp;idEvl=up07EnhjssIl5NjlNci%2BtA%3D%3D" TargetMode="External" Id="rId1990" /><Relationship Type="http://schemas.openxmlformats.org/officeDocument/2006/relationships/hyperlink" Target="https://contrataciondelestado.es/FileSystem/servlet/GetDocumentByIdServlet?cifrado=QUC1GjXXSiLkydRHJBmbpw%3D%3D&amp;DocumentIdParam=i6ACKann6S2UOXNIOyZS18Yr%2BWP5kmT0NAXpX8QQG83GmtZjCfLagItfakeMzN/6ifJJkorZ2clYAG/972PrttHCz284a%2BIRayJheeHDHfyHAj0WEJrB5sP7amrh2jBD" TargetMode="External" Id="rId1991" /><Relationship Type="http://schemas.openxmlformats.org/officeDocument/2006/relationships/hyperlink" Target="https://contrataciondelestado.es/wps/poc?uri=deeplink:detalle_licitacion&amp;idEvl=HN%2FEHGxku9ZxseVhcqrkhw%3D%3D" TargetMode="External" Id="rId1992"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1993" /><Relationship Type="http://schemas.openxmlformats.org/officeDocument/2006/relationships/hyperlink" Target="https://contrataciondelestado.es/wps/poc?uri=deeplink:detalle_licitacion&amp;idEvl=%2FF%2BHH31fUOu7JOCXkOhcDg%3D%3D" TargetMode="External" Id="rId1994" /><Relationship Type="http://schemas.openxmlformats.org/officeDocument/2006/relationships/hyperlink" Target="https://contrataciondelestado.es/FileSystem/servlet/GetDocumentByIdServlet?cifrado=QUC1GjXXSiLkydRHJBmbpw%3D%3D&amp;DocumentIdParam=d7ZvYv811hiNKAeCdZIvQFM34uD%2B6huE/TYTaNiE2tOVAx9RwuFQPYFR7m6ME8Jo0AuRhSGdbgKT8k/fXbhy5nuJ61%2BQ3D2tWTjvQPQ6SFEC1/zDIE0Kw/PWNnLS0Z0z" TargetMode="External" Id="rId1995" /><Relationship Type="http://schemas.openxmlformats.org/officeDocument/2006/relationships/hyperlink" Target="https://contrataciondelestado.es/wps/poc?uri=deeplink:detalle_licitacion&amp;idEvl=%2BBoveHMLMCHIGlsa0Wad%2Bw%3D%3D" TargetMode="External" Id="rId1996" /><Relationship Type="http://schemas.openxmlformats.org/officeDocument/2006/relationships/hyperlink" Target="https://contrataciondelestado.es/FileSystem/servlet/GetDocumentByIdServlet?cifrado=QUC1GjXXSiLkydRHJBmbpw%3D%3D&amp;DocumentIdParam=5MfGRFMmlP8NyLFLcrWCYxB6GFC%2BS/FGkcEQRLk8fhnrllnirtB5GuscxbTXQkwmtEBAWJYO1jt1hfvwmi7FPfpXO2jBYxA8iGqHpJ/ePdPVTD3T98KC0nSgQFM0q%2B5s" TargetMode="External" Id="rId1997" /><Relationship Type="http://schemas.openxmlformats.org/officeDocument/2006/relationships/hyperlink" Target="https://contrataciondelestado.es/wps/poc?uri=deeplink:detalle_licitacion&amp;idEvl=iwUWlyjDux03vLk2DU2Ddg%3D%3D" TargetMode="External" Id="rId1998"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1999" /><Relationship Type="http://schemas.openxmlformats.org/officeDocument/2006/relationships/hyperlink" Target="https://contrataciondelestado.es/wps/poc?uri=deeplink:detalle_licitacion&amp;idEvl=nbYMAFx3lO0%2Bk2oCbDosIw%3D%3D" TargetMode="External" Id="rId2000" /><Relationship Type="http://schemas.openxmlformats.org/officeDocument/2006/relationships/hyperlink" Target="https://contrataciondelestado.es/FileSystem/servlet/GetDocumentByIdServlet?cifrado=QUC1GjXXSiLkydRHJBmbpw%3D%3D&amp;DocumentIdParam=qzEyZ%2B7zc27MyU/FWNBboytJykw2JHaDZvMapcc3G99TjNDuoqdLk0x/6cijdKSRqKt62skvhdkvz4/5wtKeonnDVpTLHhwnDWI9T1UjLMeCx2e6p7hqtlp2aFupgHMr" TargetMode="External" Id="rId2001" /><Relationship Type="http://schemas.openxmlformats.org/officeDocument/2006/relationships/hyperlink" Target="https://contrataciondelestado.es/wps/poc?uri=deeplink:detalle_licitacion&amp;idEvl=WW4buQrB%2F%2BX9pbnDwlaUlg%3D%3D" TargetMode="External" Id="rId2002" /><Relationship Type="http://schemas.openxmlformats.org/officeDocument/2006/relationships/hyperlink" Target="https://contrataciondelestado.es/FileSystem/servlet/GetDocumentByIdServlet?cifrado=QUC1GjXXSiLkydRHJBmbpw%3D%3D&amp;DocumentIdParam=79T%2B5sdVdhEMujkd6m7bvxiC4mRrF/BHB6EXHnxbcPJFjJRcXXfgqgDIsXy5KDQIEBH78IfOSl4by5v9JXRtWVx17qEIc37ncBZoeay4hCF7QB3HKyQaFUExmUVQCerk" TargetMode="External" Id="rId2003" /><Relationship Type="http://schemas.openxmlformats.org/officeDocument/2006/relationships/hyperlink" Target="https://contrataciondelestado.es/wps/poc?uri=deeplink:detalle_licitacion&amp;idEvl=K%2FSzl8KbHnSIzo3LHNPGcQ%3D%3D" TargetMode="External" Id="rId2004"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2005" /><Relationship Type="http://schemas.openxmlformats.org/officeDocument/2006/relationships/hyperlink" Target="https://contrataciondelestado.es/wps/poc?uri=deeplink:detalle_licitacion&amp;idEvl=fkjSOY6BKp28ebB%2FXTwy0A%3D%3D" TargetMode="External" Id="rId2006" /><Relationship Type="http://schemas.openxmlformats.org/officeDocument/2006/relationships/hyperlink" Target="https://contrataciondelestado.es/FileSystem/servlet/GetDocumentByIdServlet?cifrado=QUC1GjXXSiLkydRHJBmbpw%3D%3D&amp;DocumentIdParam=YwnwdssqGZt9plo7X9v7IWiPOUoHiTWAvwxF%2BudEbcmCZUBE4dZB6JcoRQDqikf5Cu3En%2BirXjfw0NjLPZgjW65rA9inhJYxNEgPStslSrXfdyQgZAdTm3EfcUAC7CJ6" TargetMode="External" Id="rId2007" /><Relationship Type="http://schemas.openxmlformats.org/officeDocument/2006/relationships/hyperlink" Target="https://contrataciondelestado.es/wps/poc?uri=deeplink:detalle_licitacion&amp;idEvl=ZB1MCuNwEfdeKgd8LfVV9g%3D%3D" TargetMode="External" Id="rId2008" /><Relationship Type="http://schemas.openxmlformats.org/officeDocument/2006/relationships/hyperlink" Target="https://contrataciondelestado.es/FileSystem/servlet/GetDocumentByIdServlet?cifrado=QUC1GjXXSiLkydRHJBmbpw%3D%3D&amp;DocumentIdParam=0FoPgF6gdqzBvWAJ9y4e/xtYxKsD49EBwAyhqF5iSPz4WBZ18f2jPE7btRJuiLivoJuEpkk6YSxIeNfVVdO4GrQOCtUEAvY%2BNiYAy5OZAOz3GVhXrFFqN7yFncy7YfRK" TargetMode="External" Id="rId2009" /><Relationship Type="http://schemas.openxmlformats.org/officeDocument/2006/relationships/hyperlink" Target="https://contrataciondelestado.es/wps/poc?uri=deeplink:detalle_licitacion&amp;idEvl=87hY2NvxS728ebB%2FXTwy0A%3D%3D" TargetMode="External" Id="rId2010" /><Relationship Type="http://schemas.openxmlformats.org/officeDocument/2006/relationships/hyperlink" Target="https://contrataciondelestado.es/FileSystem/servlet/GetDocumentByIdServlet?cifrado=QUC1GjXXSiLkydRHJBmbpw%3D%3D&amp;DocumentIdParam=90VjABXAA2grl8DBrx5FMP6s12K7lWOK3iugk1IAFdMHpf7V0GPFOc6liNvc6wpNnLXKtf8BhzPzMFLuUWcoLgH4KrFrw6boVCOIRpgNfL/VTD3T98KC0nSgQFM0q%2B5s" TargetMode="External" Id="rId2011" /><Relationship Type="http://schemas.openxmlformats.org/officeDocument/2006/relationships/hyperlink" Target="https://contrataciondelestado.es/wps/poc?uri=deeplink:detalle_licitacion&amp;idEvl=zH%2BVoDlpt6SS81gZFETWmA%3D%3D" TargetMode="External" Id="rId2012" /><Relationship Type="http://schemas.openxmlformats.org/officeDocument/2006/relationships/hyperlink" Target="https://contrataciondelestado.es/wps/wcm/connect/PLACE_es/Site/area/docAccCmpnt?srv=cmpnt&amp;cmpntname=GetDocumentsById&amp;source=library&amp;DocumentIdParam=8e533f4a-107e-457d-8516-90b463552f90" TargetMode="External" Id="rId2013" /><Relationship Type="http://schemas.openxmlformats.org/officeDocument/2006/relationships/hyperlink" Target="https://contrataciondelestado.es/wps/poc?uri=deeplink:detalle_licitacion&amp;idEvl=n0vB9Qz%2FsuI%2B1TMyIiZmzw%3D%3D" TargetMode="External" Id="rId2014" /><Relationship Type="http://schemas.openxmlformats.org/officeDocument/2006/relationships/hyperlink" Target="https://contrataciondelestado.es/FileSystem/servlet/GetDocumentByIdServlet?cifrado=QUC1GjXXSiLkydRHJBmbpw%3D%3D&amp;DocumentIdParam=hAh9NJg93qsGEtyUQ7k0va%2BnI3OwKBL5/whuyTxAp%2BxKTpuxFOXbYGCLKcsU525ff7EsAXr1LBwgQtU2Ak/eh4KfeMDfK1IdH42SFkqJ2jL3GVhXrFFqN7yFncy7YfRK" TargetMode="External" Id="rId2015" /><Relationship Type="http://schemas.openxmlformats.org/officeDocument/2006/relationships/hyperlink" Target="https://contrataciondelestado.es/wps/poc?uri=deeplink:detalle_licitacion&amp;idEvl=1NrZRHUmzqNVkTabT%2FRM8A%3D%3D" TargetMode="External" Id="rId2016"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2017" /><Relationship Type="http://schemas.openxmlformats.org/officeDocument/2006/relationships/hyperlink" Target="https://contrataciondelestado.es/wps/poc?uri=deeplink:detalle_licitacion&amp;idEvl=ta6rE6TIaYV%2BF6L2uCfUWg%3D%3D" TargetMode="External" Id="rId2018" /><Relationship Type="http://schemas.openxmlformats.org/officeDocument/2006/relationships/hyperlink" Target="https://contrataciondelestado.es/FileSystem/servlet/GetDocumentByIdServlet?cifrado=QUC1GjXXSiLkydRHJBmbpw%3D%3D&amp;DocumentIdParam=bXD9DSsc61vxgr3K896sWkapFMEcyBig6CvHgljrtiStty/xp8exhyI41MvldAYhKjhEPdfaFGleMTX%2BiRssdvJ3F2U5hUz0ky5zobedYMC1aXEvq3KHa/AEHgtDrQw0" TargetMode="External" Id="rId2019" /><Relationship Type="http://schemas.openxmlformats.org/officeDocument/2006/relationships/hyperlink" Target="https://contrataciondelestado.es/wps/poc?uri=deeplink:detalle_licitacion&amp;idEvl=EvZuafT9pGZVkTabT%2FRM8A%3D%3D" TargetMode="External" Id="rId2020" /><Relationship Type="http://schemas.openxmlformats.org/officeDocument/2006/relationships/hyperlink" Target="https://contrataciondelestado.es/FileSystem/servlet/GetDocumentByIdServlet?cifrado=QUC1GjXXSiLkydRHJBmbpw%3D%3D&amp;DocumentIdParam=eujh4jha7a3KLwvdA3mYo9W4KvNjcufJ2zD27IaH6c3hbPkAsWclGLM3yN0LX4nOGwIo0RF1BALzl2mT9doOE/4F8gVGoDvKm1ohEopyTJcC1/zDIE0Kw/PWNnLS0Z0z" TargetMode="External" Id="rId2021" /><Relationship Type="http://schemas.openxmlformats.org/officeDocument/2006/relationships/hyperlink" Target="https://contrataciondelestado.es/wps/poc?uri=deeplink:detalle_licitacion&amp;idEvl=fkLM7qnvfU6AAM7L03kM8A%3D%3D" TargetMode="External" Id="rId2022" /><Relationship Type="http://schemas.openxmlformats.org/officeDocument/2006/relationships/hyperlink" Target="https://contrataciondelestado.es/FileSystem/servlet/GetDocumentByIdServlet?cifrado=QUC1GjXXSiLkydRHJBmbpw%3D%3D&amp;DocumentIdParam=PlN91KpxD2YI7dAQcFCRAZJOGj32OmGZTb3KC/vsnpjr5vJnlW48rdYFoI62BzjOTaldeh71rYgNd%2BX5MQWFvG23bJmUg5fAJ5tcAAE4WGkZyAJWGsSt0OzTSTyw9JAs" TargetMode="External" Id="rId2023" /><Relationship Type="http://schemas.openxmlformats.org/officeDocument/2006/relationships/hyperlink" Target="https://contrataciondelestado.es/wps/poc?uri=deeplink:detalle_licitacion&amp;idEvl=n1fplq%2B6UlUIYE3ZiZ%2BxmQ%3D%3D" TargetMode="External" Id="rId2024" /><Relationship Type="http://schemas.openxmlformats.org/officeDocument/2006/relationships/hyperlink" Target="https://contrataciondelestado.es/FileSystem/servlet/GetDocumentByIdServlet?cifrado=QUC1GjXXSiLkydRHJBmbpw%3D%3D&amp;DocumentIdParam=PquRGCUxxZOyoyaAZwCitE/505nTXIBTaCkuKo8AfRpuMgr0ERsvT%2BhnIaFCA4wgMp4n8vyhihX6DGlux0/fajPNA49h88OIlk3Sal02jgsC1/zDIE0Kw/PWNnLS0Z0z" TargetMode="External" Id="rId2025" /><Relationship Type="http://schemas.openxmlformats.org/officeDocument/2006/relationships/hyperlink" Target="https://contrataciondelestado.es/wps/poc?uri=deeplink:detalle_licitacion&amp;idEvl=El13bPCQRQ%2FECtSnloz%2BZQ%3D%3D" TargetMode="External" Id="rId2026" /><Relationship Type="http://schemas.openxmlformats.org/officeDocument/2006/relationships/hyperlink" Target="https://contrataciondelestado.es/FileSystem/servlet/GetDocumentByIdServlet?DocumentIdParam=C3XZwby9unH9fKIIdxy4W3SCCTDwtQisUH/IPm9%2BH8ORC8LkF7FaZwW9v8SuKEIUSnO%2Bz8u/XuuTQldYghuyKo4GdomDDS6vl2AOnboxkRb3GVhXrFFqN7yFncy7YfRK&amp;cifrado=QUC1GjXXSiLkydRHJBmbpw%3D%3D" TargetMode="External" Id="rId2027" /><Relationship Type="http://schemas.openxmlformats.org/officeDocument/2006/relationships/hyperlink" Target="https://contrataciondelestado.es/wps/poc?uri=deeplink:detalle_licitacion&amp;idEvl=MQcpn3X%2BlTiqb7rCcv76BA%3D%3D" TargetMode="External" Id="rId2028" /><Relationship Type="http://schemas.openxmlformats.org/officeDocument/2006/relationships/hyperlink" Target="https://contrataciondelestado.es/wps/poc?uri=deeplink:detalle_licitacion&amp;idEvl=AQInKkL41uFeKgd8LfVV9g%3D%3D" TargetMode="External" Id="rId2029" /><Relationship Type="http://schemas.openxmlformats.org/officeDocument/2006/relationships/hyperlink" Target="https://contrataciondelestado.es/FileSystem/servlet/GetDocumentByIdServlet?cifrado=QUC1GjXXSiLkydRHJBmbpw%3D%3D&amp;DocumentIdParam=Mh4jseo1GGA6NDOdxbHHBVR1XQdGVfzOBBUwWn6U1hSg0fTGe%2Bs1dycGQKIXBWHA8FaPWRAhRkRBxPMStodLywilSgjPh1eUHTB/zVxhJUmCx2e6p7hqtlp2aFupgHMr" TargetMode="External" Id="rId2030" /><Relationship Type="http://schemas.openxmlformats.org/officeDocument/2006/relationships/hyperlink" Target="https://contrataciondelestado.es/wps/poc?uri=deeplink:detalle_licitacion&amp;idEvl=pmYMpF9fjEKHCIsjvJ3rhQ%3D%3D" TargetMode="External" Id="rId2031"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2032" /><Relationship Type="http://schemas.openxmlformats.org/officeDocument/2006/relationships/hyperlink" Target="https://contrataciondelestado.es/wps/poc?uri=deeplink:detalle_licitacion&amp;idEvl=r362epTUiiaqb7rCcv76BA%3D%3D" TargetMode="External" Id="rId2033" /><Relationship Type="http://schemas.openxmlformats.org/officeDocument/2006/relationships/hyperlink" Target="https://contrataciondelestado.es/FileSystem/servlet/GetDocumentByIdServlet?cifrado=QUC1GjXXSiLkydRHJBmbpw%3D%3D&amp;DocumentIdParam=fdUQyJxB7f6ZEXMyip9/JJgDRPD1u5Evc0LeqEDbKXPpbiNsyyGpwwePWiUDXJMoRaSOid1iX8WI5jVl2Jk6IrIAkD9eSoWqul8RAjKs3cFt/o8fNevwsujgRzaBbugn" TargetMode="External" Id="rId2034" /><Relationship Type="http://schemas.openxmlformats.org/officeDocument/2006/relationships/hyperlink" Target="https://contrataciondelestado.es/wps/poc?uri=deeplink:detalle_licitacion&amp;idEvl=t4KL8OPqmeXgL1BHd3qjQA%3D%3D" TargetMode="External" Id="rId2035"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2036" /><Relationship Type="http://schemas.openxmlformats.org/officeDocument/2006/relationships/hyperlink" Target="https://contrataciondelestado.es/wps/poc?uri=deeplink:detalle_licitacion&amp;idEvl=OtmFHpBMs5fVGIpKDxgsAQ%3D%3D" TargetMode="External" Id="rId2037"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2038" /><Relationship Type="http://schemas.openxmlformats.org/officeDocument/2006/relationships/hyperlink" Target="https://contrataciondelestado.es/wps/poc?uri=deeplink:detalle_licitacion&amp;idEvl=X2Uql7KP76AS7pcxhTeWOg%3D%3D" TargetMode="External" Id="rId2039"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2040" /><Relationship Type="http://schemas.openxmlformats.org/officeDocument/2006/relationships/hyperlink" Target="https://contrataciondelestado.es/wps/poc?uri=deeplink:detalle_licitacion&amp;idEvl=F4QT2ZcCQwWExvMJXBMHHQ%3D%3D" TargetMode="External" Id="rId2041"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2042" /><Relationship Type="http://schemas.openxmlformats.org/officeDocument/2006/relationships/hyperlink" Target="https://contrataciondelestado.es/wps/poc?uri=deeplink:detalle_licitacion&amp;idEvl=hFFOPpUG58B9PLkba5eRog%3D%3D" TargetMode="External" Id="rId2043" /><Relationship Type="http://schemas.openxmlformats.org/officeDocument/2006/relationships/hyperlink" Target="https://contrataciondelestado.es/FileSystem/servlet/GetDocumentByIdServlet?cifrado=QUC1GjXXSiLkydRHJBmbpw%3D%3D&amp;DocumentIdParam=jyffJ4b%2BtTuu4P4BldkyHi9Y2Uo/1130h9DIBnstYDttBDBCAgqVFLhj0SqM2gJEs9WXmVKxUjcScN59tGTWislRS%2BYWXCWhaWVSwnfyThK1aXEvq3KHa/AEHgtDrQw0" TargetMode="External" Id="rId2044" /><Relationship Type="http://schemas.openxmlformats.org/officeDocument/2006/relationships/hyperlink" Target="https://contrataciondelestado.es/wps/poc?uri=deeplink:detalle_licitacion&amp;idEvl=cDjjBKmd7oLE6P%2FuLemXRw%3D%3D" TargetMode="External" Id="rId2045" /><Relationship Type="http://schemas.openxmlformats.org/officeDocument/2006/relationships/hyperlink" Target="https://contrataciondelestado.es/FileSystem/servlet/GetDocumentByIdServlet?cifrado=QUC1GjXXSiLkydRHJBmbpw%3D%3D&amp;DocumentIdParam=pq6CPQlDlYPV9T2mdKdGdfZ/8DjAE%2BGn%2B0SzrS//g7Hn5QdeQswDiOJEeUoNtqAMDV2ToBpA7kHPM78UngZWcy4TLhk4QK4eOJrtooa0a7KCx2e6p7hqtlp2aFupgHMr" TargetMode="External" Id="rId2046" /><Relationship Type="http://schemas.openxmlformats.org/officeDocument/2006/relationships/hyperlink" Target="https://contrataciondelestado.es/wps/poc?uri=deeplink:detalle_licitacion&amp;idEvl=HsfBAJxk2rCFlFRHfEzEaw%3D%3D" TargetMode="External" Id="rId2047"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2048" /><Relationship Type="http://schemas.openxmlformats.org/officeDocument/2006/relationships/hyperlink" Target="https://contrataciondelestado.es/wps/poc?uri=deeplink:detalle_licitacion&amp;idEvl=cC6%2BaraSE9g4NavIWzMcHA%3D%3D" TargetMode="External" Id="rId2049" /><Relationship Type="http://schemas.openxmlformats.org/officeDocument/2006/relationships/hyperlink" Target="https://contrataciondelestado.es/FileSystem/servlet/GetDocumentByIdServlet?cifrado=QUC1GjXXSiLkydRHJBmbpw%3D%3D&amp;DocumentIdParam=CgBl4aTm83f7XlBFDyWucnRmQgcFvRLmBXvwZjmxWA4o5lEznm3vx/Lla8L8llFyjE1ybzmxWihNLeNU55SfXIGSS6%2BkAnZr5CkSCxIF%2Be945ClyWkoJ44mKM70IFcOu" TargetMode="External" Id="rId2050" /><Relationship Type="http://schemas.openxmlformats.org/officeDocument/2006/relationships/hyperlink" Target="https://contrataciondelestado.es/wps/poc?uri=deeplink:detalle_licitacion&amp;idEvl=2JgTPDA1NcP5Rey58Yagpg%3D%3D" TargetMode="External" Id="rId2051" /><Relationship Type="http://schemas.openxmlformats.org/officeDocument/2006/relationships/hyperlink" Target="https://contrataciondelestado.es/FileSystem/servlet/GetDocumentByIdServlet?DocumentIdParam=7Z/OwXqBH/ZCmDG0NaYGzlrBNOWZpsHv5YvnnjiCZ%2BQioBopxuymNNwGdZ6v3Bxmby57jRnblb4v8RJAYXR/WsMgYcbti1/SapzE0a/u6HnDdQD9RyhUmzT4jZ2In4zL&amp;cifrado=QUC1GjXXSiLkydRHJBmbpw%3D%3D" TargetMode="External" Id="rId2052" /><Relationship Type="http://schemas.openxmlformats.org/officeDocument/2006/relationships/hyperlink" Target="https://contrataciondelestado.es/wps/poc?uri=deeplink:detalle_licitacion&amp;idEvl=50ZrxERpiWYXhk1FZxEyvw%3D%3D" TargetMode="External" Id="rId2053" /><Relationship Type="http://schemas.openxmlformats.org/officeDocument/2006/relationships/hyperlink" Target="https://contrataciondelestado.es/FileSystem/servlet/GetDocumentByIdServlet?cifrado=QUC1GjXXSiLkydRHJBmbpw%3D%3D&amp;DocumentIdParam=H%2BUnKvow2FtvvKX0jY68YH/gjcJgrDPMqszKcox0dOxeQWdfxU1cwN%2BJJVcw0LKj0BN3e5XyJzo83T%2BF9%2BB/Xw1K5gDMkdIA6giyKkyK3Bh7QB3HKyQaFUExmUVQCerk" TargetMode="External" Id="rId2054" /><Relationship Type="http://schemas.openxmlformats.org/officeDocument/2006/relationships/hyperlink" Target="https://contrataciondelestado.es/wps/poc?uri=deeplink:detalle_licitacion&amp;idEvl=ZpfZlsDALzYeC9GJQOEBkQ%3D%3D" TargetMode="External" Id="rId2055" /><Relationship Type="http://schemas.openxmlformats.org/officeDocument/2006/relationships/hyperlink" Target="https://contrataciondelestado.es/FileSystem/servlet/GetDocumentByIdServlet?cifrado=QUC1GjXXSiLkydRHJBmbpw%3D%3D&amp;DocumentIdParam=dLFQwBZ5taWoW0yPQLW/LccfYFi8tiYMrmJb3UT/SxirU2bnayuGiso3HZphwtz8FX0hmxZsD2lqZmP6%2B38mcByr2vwDYU5obCEj8SjKQzm1aXEvq3KHa/AEHgtDrQw0" TargetMode="External" Id="rId2056" /><Relationship Type="http://schemas.openxmlformats.org/officeDocument/2006/relationships/hyperlink" Target="https://contrataciondelestado.es/wps/poc?uri=deeplink:detalle_licitacion&amp;idEvl=C3Rf6PDXdJ5PpzdqOdhuWg%3D%3D" TargetMode="External" Id="rId2057"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2058" /><Relationship Type="http://schemas.openxmlformats.org/officeDocument/2006/relationships/hyperlink" Target="https://contrataciondelestado.es/wps/poc?uri=deeplink:detalle_licitacion&amp;idEvl=Jmnbe1DHvBzi0Kd8%2Brcp6w%3D%3D" TargetMode="External" Id="rId2059" /><Relationship Type="http://schemas.openxmlformats.org/officeDocument/2006/relationships/hyperlink" Target="https://contrataciondelestado.es/FileSystem/servlet/GetDocumentByIdServlet?DocumentIdParam=JStY7UNXTpk2fKhLJeahzFOIQ6NqV5ZCofPabnO8%2BjY5pHxj5z%2BARcW75bNUYKxk5feR426Fx9ixf2xCMRV22i28hxkmJD5CPwXHbZOzlOzDdQD9RyhUmzT4jZ2In4zL&amp;cifrado=QUC1GjXXSiLkydRHJBmbpw%3D%3D" TargetMode="External" Id="rId2060" /><Relationship Type="http://schemas.openxmlformats.org/officeDocument/2006/relationships/hyperlink" Target="https://contrataciondelestado.es/wps/poc?uri=deeplink:detalle_licitacion&amp;idEvl=Dr9f7gmnzbB70UvEyYJSGw%3D%3D" TargetMode="External" Id="rId2061" /><Relationship Type="http://schemas.openxmlformats.org/officeDocument/2006/relationships/hyperlink" Target="https://contrataciondelestado.es/FileSystem/servlet/GetDocumentByIdServlet?cifrado=QUC1GjXXSiLkydRHJBmbpw%3D%3D&amp;DocumentIdParam=430yN5he8xed3bl36sfX8ZFh/vdgPACDSsV7v9SdAxs42sDoX4mKdxcqkA4VKeppXMkcg1qHfpH%2Bnuq932BnhZAMMGLCmc/Cp%2BHPTZqSNs945ClyWkoJ44mKM70IFcOu" TargetMode="External" Id="rId2062" /><Relationship Type="http://schemas.openxmlformats.org/officeDocument/2006/relationships/hyperlink" Target="https://contrataciondelestado.es/wps/poc?uri=deeplink:detalle_licitacion&amp;idEvl=74fS9rkHYKdVkTabT%2FRM8A%3D%3D" TargetMode="External" Id="rId2063"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2064" /><Relationship Type="http://schemas.openxmlformats.org/officeDocument/2006/relationships/hyperlink" Target="https://contrataciondelestado.es/wps/poc?uri=deeplink:detalle_licitacion&amp;idEvl=QO8WC180MUJJ8Trn0ZPzLw%3D%3D" TargetMode="External" Id="rId2065" /><Relationship Type="http://schemas.openxmlformats.org/officeDocument/2006/relationships/hyperlink" Target="https://contrataciondelestado.es/FileSystem/servlet/GetDocumentByIdServlet?cifrado=QUC1GjXXSiLkydRHJBmbpw%3D%3D&amp;DocumentIdParam=OimoipVvmIu9tI7g2qVQoCalHJo%2Bc5sitK3N1uced5G6t/2/asoG1%2B8FtEukT9DsFRTrw6K0nlPTCZO0TLprQPpvDjZRHr51UGFCa/Y5ZDN45ClyWkoJ44mKM70IFcOu" TargetMode="External" Id="rId2066" /><Relationship Type="http://schemas.openxmlformats.org/officeDocument/2006/relationships/hyperlink" Target="https://contrataciondelestado.es/wps/poc?uri=deeplink:detalle_licitacion&amp;idEvl=80o%2Fz%2FYBXk570UvEyYJSGw%3D%3D" TargetMode="External" Id="rId2067"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2068" /><Relationship Type="http://schemas.openxmlformats.org/officeDocument/2006/relationships/hyperlink" Target="https://contrataciondelestado.es/wps/poc?uri=deeplink:detalle_licitacion&amp;idEvl=zjmQxy8e%2FOTyoM4us5k4vw%3D%3D" TargetMode="External" Id="rId2069" /><Relationship Type="http://schemas.openxmlformats.org/officeDocument/2006/relationships/hyperlink" Target="https://contrataciondelestado.es/FileSystem/servlet/GetDocumentByIdServlet?cifrado=QUC1GjXXSiLkydRHJBmbpw%3D%3D&amp;DocumentIdParam=HLclx5BXaG01TqQQGvZESI/Jtam%2BjFMPku/KWclUona9lvIZK/DltDgX7/Lv5Ide10BRyvfDXdQKc2gdGWE3sdxdmE6JBFs/LJAwKS3sOWD3GVhXrFFqN7yFncy7YfRK" TargetMode="External" Id="rId2070" /><Relationship Type="http://schemas.openxmlformats.org/officeDocument/2006/relationships/hyperlink" Target="https://contrataciondelestado.es/wps/poc?uri=deeplink:detalle_licitacion&amp;idEvl=bQubJirUVEFxseVhcqrkhw%3D%3D" TargetMode="External" Id="rId2071"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2072" /><Relationship Type="http://schemas.openxmlformats.org/officeDocument/2006/relationships/hyperlink" Target="https://contrataciondelestado.es/wps/poc?uri=deeplink:detalle_licitacion&amp;idEvl=1wSTeMmX1zakU02jNGj1Fw%3D%3D" TargetMode="External" Id="rId2073" /><Relationship Type="http://schemas.openxmlformats.org/officeDocument/2006/relationships/hyperlink" Target="https://contrataciondelestado.es/FileSystem/servlet/GetDocumentByIdServlet?cifrado=QUC1GjXXSiLkydRHJBmbpw%3D%3D&amp;DocumentIdParam=5ymaTPiF%2B0tTZbeRaLNZMurOKLGq6r4MtjL2oO6rNlx7mDW%2BSuuTzaW8dw9Qq99KTC22b6dL3psyMCpUX81hxHavpaEyxM/TLF8JxunFqS4//q7NB2iMZvNyf0xrJmjt" TargetMode="External" Id="rId2074" /><Relationship Type="http://schemas.openxmlformats.org/officeDocument/2006/relationships/hyperlink" Target="https://contrataciondelestado.es/wps/poc?uri=deeplink:detalle_licitacion&amp;idEvl=4bkqST7G%2FMg36J9Lctlsuw%3D%3D" TargetMode="External" Id="rId2075" /><Relationship Type="http://schemas.openxmlformats.org/officeDocument/2006/relationships/hyperlink" Target="https://contrataciondelestado.es/FileSystem/servlet/GetDocumentByIdServlet?cifrado=QUC1GjXXSiLkydRHJBmbpw%3D%3D&amp;DocumentIdParam=ynk4KyOsPivs6/qk2cPjSjgA/R5XgKt/Yfm5ou6zrY6VyRnf5nDfgfQY4tV3X/GN5ycZoenofgsQJFBuTYrsQ%2BcvvGt54qOd74zTgjSFInAZyAJWGsSt0OzTSTyw9JAs" TargetMode="External" Id="rId2076" /><Relationship Type="http://schemas.openxmlformats.org/officeDocument/2006/relationships/hyperlink" Target="https://contrataciondelestado.es/wps/poc?uri=deeplink:detalle_licitacion&amp;idEvl=Hjc6qMGsGj5rhBlEHQFSKA%3D%3D" TargetMode="External" Id="rId2077" /><Relationship Type="http://schemas.openxmlformats.org/officeDocument/2006/relationships/hyperlink" Target="https://contrataciondelestado.es/FileSystem/servlet/GetDocumentByIdServlet?cifrado=QUC1GjXXSiLkydRHJBmbpw%3D%3D&amp;DocumentIdParam=xwLjrejys2TrR0YUrFhTvWx2kJF458H6ythzue%2BNWxwmQ4v8P5BBFDHAohWyY6Fy4YwuwJHTS%2BnlWruwij5Iifsam5sLnFzdi7PRaIx7qmcZyAJWGsSt0OzTSTyw9JAs" TargetMode="External" Id="rId2078" /><Relationship Type="http://schemas.openxmlformats.org/officeDocument/2006/relationships/hyperlink" Target="https://contrataciondelestado.es/wps/poc?uri=deeplink:detalle_licitacion&amp;idEvl=VIuFhdBMZDScCF8sV%2BqtYA%3D%3D" TargetMode="External" Id="rId2079" /><Relationship Type="http://schemas.openxmlformats.org/officeDocument/2006/relationships/hyperlink" Target="https://contrataciondelestado.es/FileSystem/servlet/GetDocumentByIdServlet?cifrado=QUC1GjXXSiLkydRHJBmbpw%3D%3D&amp;DocumentIdParam=jivww0qJYKjV/VEDtUNp75z8/eE9PjwGW1fPtcKmFOtaxPyCR1Rb1pHxsVuI6fgOCGPC54iwxbjXEDlxhw58p2B4eu2mh19zVQUTqbZgc6mHAj0WEJrB5sP7amrh2jBD" TargetMode="External" Id="rId2080" /><Relationship Type="http://schemas.openxmlformats.org/officeDocument/2006/relationships/hyperlink" Target="https://contrataciondelestado.es/wps/poc?uri=deeplink:detalle_licitacion&amp;idEvl=C%2FULTzZPZh5%2FP7lJ7Fu0SA%3D%3D" TargetMode="External" Id="rId2081"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2082" /><Relationship Type="http://schemas.openxmlformats.org/officeDocument/2006/relationships/hyperlink" Target="https://contrataciondelestado.es/wps/poc?uri=deeplink:detalle_licitacion&amp;idEvl=3h%2BI7NdoNMJSYrkJkLlFdw%3D%3D" TargetMode="External" Id="rId2083"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2084" /><Relationship Type="http://schemas.openxmlformats.org/officeDocument/2006/relationships/hyperlink" Target="https://contrataciondelestado.es/wps/poc?uri=deeplink:detalle_licitacion&amp;idEvl=aqJ6G4muQPSS81gZFETWmA%3D%3D" TargetMode="External" Id="rId2085"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2086" /><Relationship Type="http://schemas.openxmlformats.org/officeDocument/2006/relationships/hyperlink" Target="https://contrataciondelestado.es/wps/poc?uri=deeplink:detalle_licitacion&amp;idEvl=5u26tGqc%2FK6cCF8sV%2BqtYA%3D%3D" TargetMode="External" Id="rId2087" /><Relationship Type="http://schemas.openxmlformats.org/officeDocument/2006/relationships/hyperlink" Target="https://contrataciondelestado.es/FileSystem/servlet/GetDocumentByIdServlet?cifrado=QUC1GjXXSiLkydRHJBmbpw%3D%3D&amp;DocumentIdParam=vAg%2BraQ6bb765oBpb0AwO5TqN%2BngMBir7pz1drkjcLmcDoDXGZmq7WV1gT2CBB94CU014no4Nn3ko8RYVH5Hq9jH8upYcH%2BNsbLS5K9K7SjfdyQgZAdTm3EfcUAC7CJ6" TargetMode="External" Id="rId2088" /><Relationship Type="http://schemas.openxmlformats.org/officeDocument/2006/relationships/hyperlink" Target="https://contrataciondelestado.es/wps/poc?uri=deeplink:detalle_licitacion&amp;idEvl=dPCCdlMOfC2FQ%2FlhRK79lA%3D%3D" TargetMode="External" Id="rId2089" /><Relationship Type="http://schemas.openxmlformats.org/officeDocument/2006/relationships/hyperlink" Target="https://contrataciondelestado.es/FileSystem/servlet/GetDocumentByIdServlet?cifrado=QUC1GjXXSiLkydRHJBmbpw%3D%3D&amp;DocumentIdParam=iA4L8588chdMfZiHqlGTHo7eMMPqqnpwUtkoilVOpq4RaUjWKTdxPQxMdCgSFh6dBjPhJjrWi%2BiKkCbOFygDfBcf/LSZ9wAxnBgqyRg1laXDdQD9RyhUmzT4jZ2In4zL" TargetMode="External" Id="rId2090" /><Relationship Type="http://schemas.openxmlformats.org/officeDocument/2006/relationships/hyperlink" Target="https://contrataciondelestado.es/wps/poc?uri=deeplink:detalle_licitacion&amp;idEvl=0QX0TaX%2Bqk9%2BF6L2uCfUWg%3D%3D" TargetMode="External" Id="rId2091" /><Relationship Type="http://schemas.openxmlformats.org/officeDocument/2006/relationships/hyperlink" Target="https://contrataciondelestado.es/FileSystem/servlet/GetDocumentByIdServlet?cifrado=QUC1GjXXSiLkydRHJBmbpw%3D%3D&amp;DocumentIdParam=fzEXyyRStEpVbQkhzhSCSdsxzoabaM7AiXJsdxvpZ88P9Mv31xYwASUwF9Z4gpSPgXObAY0sKPaqkjKn/rdBOqXqBpIsvETgKEbzPOvjHnnDdQD9RyhUmzT4jZ2In4zL" TargetMode="External" Id="rId2092" /><Relationship Type="http://schemas.openxmlformats.org/officeDocument/2006/relationships/hyperlink" Target="https://contrataciondelestado.es/wps/poc?uri=deeplink:detalle_licitacion&amp;idEvl=XYjqd2OIXel%2FR5QFTlaM4A%3D%3D" TargetMode="External" Id="rId2093" /><Relationship Type="http://schemas.openxmlformats.org/officeDocument/2006/relationships/hyperlink" Target="https://contrataciondelestado.es/FileSystem/servlet/GetDocumentByIdServlet?cifrado=QUC1GjXXSiLkydRHJBmbpw%3D%3D&amp;DocumentIdParam=qerKtE3ixTnxcgbgBLKVjqCnD6SrQAcESwhvEgUvaCOroeHZQ7uc7QpdPfFc719eu%2BkdrB35lFpu5R8eu2itrgvrvV3wpwS3m4qQWLCceuHfdyQgZAdTm3EfcUAC7CJ6" TargetMode="External" Id="rId2094" /><Relationship Type="http://schemas.openxmlformats.org/officeDocument/2006/relationships/hyperlink" Target="https://contrataciondelestado.es/wps/poc?uri=deeplink:detalle_licitacion&amp;idEvl=jh6ko%2BaQf6ZLAIVZdUs8KA%3D%3D" TargetMode="External" Id="rId2095" /><Relationship Type="http://schemas.openxmlformats.org/officeDocument/2006/relationships/hyperlink" Target="https://contrataciondelestado.es/FileSystem/servlet/GetDocumentByIdServlet?cifrado=QUC1GjXXSiLkydRHJBmbpw%3D%3D&amp;DocumentIdParam=pDGVJBqAo3fvRjmbNgXuvqo5aTKyBo2e52eyuAaFlVrX/poRwHESylJkAMV0wGmBJMbs7lZd%2B1esIuMLLUVzO2vSHw/4SbINxViQ55s5c7x45ClyWkoJ44mKM70IFcOu" TargetMode="External" Id="rId2096" /><Relationship Type="http://schemas.openxmlformats.org/officeDocument/2006/relationships/hyperlink" Target="https://contrataciondelestado.es/wps/poc?uri=deeplink:detalle_licitacion&amp;idEvl=bB7KrOY80uN%2FR5QFTlaM4A%3D%3D" TargetMode="External" Id="rId2097" /><Relationship Type="http://schemas.openxmlformats.org/officeDocument/2006/relationships/hyperlink" Target="https://contrataciondelestado.es/FileSystem/servlet/GetDocumentByIdServlet?DocumentIdParam=EI1qjUb6xirXg8tZOFHMqg96sG/AQxoDgKy4QNcIMjvmKDaApkCBdQN/zuMEEx9%2BWi6yBEFjNwFhwOdQrs7oqLVxLmG4KtjGdvCS9OzBQg57QB3HKyQaFUExmUVQCerk&amp;cifrado=QUC1GjXXSiLkydRHJBmbpw%3D%3D" TargetMode="External" Id="rId2098" /><Relationship Type="http://schemas.openxmlformats.org/officeDocument/2006/relationships/hyperlink" Target="https://contrataciondelestado.es/wps/poc?uri=deeplink:detalle_licitacion&amp;idEvl=YSH77ottJzVxseVhcqrkhw%3D%3D" TargetMode="External" Id="rId2099" /><Relationship Type="http://schemas.openxmlformats.org/officeDocument/2006/relationships/hyperlink" Target="https://contrataciondelestado.es/FileSystem/servlet/GetDocumentByIdServlet?cifrado=QUC1GjXXSiLkydRHJBmbpw%3D%3D&amp;DocumentIdParam=uLpEgAgOh7RP0pD83J15kPmSbvewwD4UBh%2Bb/czDBJLjnTHOf6hJV%2B8DZBAd15Jo4UfxuJN5UbA7l/HiWgw1svLtIb2v7cAYDrFgW1pgCO6Cx2e6p7hqtlp2aFupgHMr" TargetMode="External" Id="rId2100" /><Relationship Type="http://schemas.openxmlformats.org/officeDocument/2006/relationships/hyperlink" Target="https://contrataciondelestado.es/wps/poc?uri=deeplink:detalle_licitacion&amp;idEvl=57lwVQ8qxKyP%2Bo96UAV7cQ%3D%3D" TargetMode="External" Id="rId2101" /><Relationship Type="http://schemas.openxmlformats.org/officeDocument/2006/relationships/hyperlink" Target="https://contrataciondelestado.es/FileSystem/servlet/GetDocumentByIdServlet?cifrado=QUC1GjXXSiLkydRHJBmbpw%3D%3D&amp;DocumentIdParam=tEcRR9XJlo7fGV35DpUxZDRHkaVx5SKaV1lTdS%2BhjS3jrhSlyVDRu9ZwSexHd5GG0%2BniP%2Ba1zNhYyoYDSZ5%2BmkEZlp4vTKPAZdMvMTN16aT3GVhXrFFqN7yFncy7YfRK" TargetMode="External" Id="rId2102" /><Relationship Type="http://schemas.openxmlformats.org/officeDocument/2006/relationships/hyperlink" Target="https://contrataciondelestado.es/wps/poc?uri=deeplink:detalle_licitacion&amp;idEvl=BFon5xL3kZNxseVhcqrkhw%3D%3D" TargetMode="External" Id="rId2103" /><Relationship Type="http://schemas.openxmlformats.org/officeDocument/2006/relationships/hyperlink" Target="https://contrataciondelestado.es/FileSystem/servlet/GetDocumentByIdServlet?cifrado=QUC1GjXXSiLkydRHJBmbpw%3D%3D&amp;DocumentIdParam=v4VLq9HbR/uL8VtceWUSYgKk6i5M4rF8y/gZKO6SHeF75GwnG7aKHYltA2Uc8n86YSs61GfZ4URLeGpn6xrAFon59tjYGbTn6mtWgNNEjuRt/o8fNevwsujgRzaBbugn" TargetMode="External" Id="rId2104" /><Relationship Type="http://schemas.openxmlformats.org/officeDocument/2006/relationships/hyperlink" Target="https://contrataciondelestado.es/wps/poc?uri=deeplink:detalle_licitacion&amp;idEvl=PzKBRqQGTI2AAM7L03kM8A%3D%3D" TargetMode="External" Id="rId2105" /><Relationship Type="http://schemas.openxmlformats.org/officeDocument/2006/relationships/hyperlink" Target="https://contrataciondelestado.es/FileSystem/servlet/GetDocumentByIdServlet?cifrado=QUC1GjXXSiLkydRHJBmbpw%3D%3D&amp;DocumentIdParam=UDxdIHtkcAbTBJ79eXQRHpc87sPgzREOZNFZeaCtEjZU7yG82cHYp6BJod2w/10b2JodeKnPHX%2B9l6ejgyRZlSRHmLqhFcz8P6EBQoYNYh97QB3HKyQaFUExmUVQCerk" TargetMode="External" Id="rId2106" /><Relationship Type="http://schemas.openxmlformats.org/officeDocument/2006/relationships/hyperlink" Target="https://contrataciondelestado.es/wps/poc?uri=deeplink:detalle_licitacion&amp;idEvl=pQa4jbA9cBF%2BF6L2uCfUWg%3D%3D" TargetMode="External" Id="rId2107"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2108" /><Relationship Type="http://schemas.openxmlformats.org/officeDocument/2006/relationships/hyperlink" Target="https://contrataciondelestado.es/wps/poc?uri=deeplink:detalle_licitacion&amp;idEvl=MxPNuIN50OgXhk1FZxEyvw%3D%3D" TargetMode="External" Id="rId2109" /><Relationship Type="http://schemas.openxmlformats.org/officeDocument/2006/relationships/hyperlink" Target="https://contrataciondelestado.es/FileSystem/servlet/GetDocumentByIdServlet?cifrado=QUC1GjXXSiLkydRHJBmbpw%3D%3D&amp;DocumentIdParam=ZK/t0sIRMBg1JI%2BbFeRD4ZeA4UZUD6gupTEO/D2LVi96EkAlSqwnzqH1GSlpfNrPRWbrpuHQTKnx1LdLIQ/OVxosF45C9IydcrF0FotG/0F7QB3HKyQaFUExmUVQCerk" TargetMode="External" Id="rId2110" /><Relationship Type="http://schemas.openxmlformats.org/officeDocument/2006/relationships/hyperlink" Target="https://contrataciondelestado.es/wps/poc?uri=deeplink:detalle_licitacion&amp;idEvl=wJsPq3n4CrdVq4S9zvaQpQ%3D%3D" TargetMode="External" Id="rId2111" /><Relationship Type="http://schemas.openxmlformats.org/officeDocument/2006/relationships/hyperlink" Target="https://contrataciondelestado.es/FileSystem/servlet/GetDocumentByIdServlet?cifrado=QUC1GjXXSiLkydRHJBmbpw%3D%3D&amp;DocumentIdParam=knbo6fk4E1QMEni%2BoBKFSf4r1c0LNqT8SKnpslPBpVHmxJF6rKZlOXytMZmDtmapDl7B7EzmcvbZThhz1FH56M8iHXDVSlnveqje5v1lg7OCx2e6p7hqtlp2aFupgHMr" TargetMode="External" Id="rId2112" /><Relationship Type="http://schemas.openxmlformats.org/officeDocument/2006/relationships/hyperlink" Target="https://contrataciondelestado.es/wps/poc?uri=deeplink:detalle_licitacion&amp;idEvl=bjE8JHX97XM2wEhQbcAqug%3D%3D" TargetMode="External" Id="rId2113" /><Relationship Type="http://schemas.openxmlformats.org/officeDocument/2006/relationships/hyperlink" Target="https://contrataciondelestado.es/FileSystem/servlet/GetDocumentByIdServlet?cifrado=QUC1GjXXSiLkydRHJBmbpw%3D%3D&amp;DocumentIdParam=B2vli8OCFDF0p/nccWXKY5senx4Zl5Nyc/%2BPOrZmPqcb/E63FhXVnaZnc3PPrjDNBebQFvmY7pat%2BraR9hEa70uGo5plNk6W2W2NhNL/D2jVTD3T98KC0nSgQFM0q%2B5s" TargetMode="External" Id="rId2114" /><Relationship Type="http://schemas.openxmlformats.org/officeDocument/2006/relationships/hyperlink" Target="https://contrataciondelestado.es/wps/poc?uri=deeplink:detalle_licitacion&amp;idEvl=hi4j8JymSH3XOjazN1Dw9Q%3D%3D" TargetMode="External" Id="rId2115"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2116" /><Relationship Type="http://schemas.openxmlformats.org/officeDocument/2006/relationships/hyperlink" Target="https://contrataciondelestado.es/wps/poc?uri=deeplink:detalle_licitacion&amp;idEvl=%2FvJcq4YJmT8zjChw4z%2FXvw%3D%3D" TargetMode="External" Id="rId2117" /><Relationship Type="http://schemas.openxmlformats.org/officeDocument/2006/relationships/hyperlink" Target="https://contrataciondelestado.es/wps/wcm/connect/PLACE_es/Site/area/docAccCmpnt?srv=cmpnt&amp;cmpntname=GetDocumentsById&amp;source=library&amp;DocumentIdParam=17fe102e-c963-4ec7-a6b8-f3e615e15de6" TargetMode="External" Id="rId2118" /><Relationship Type="http://schemas.openxmlformats.org/officeDocument/2006/relationships/hyperlink" Target="https://contrataciondelestado.es/wps/poc?uri=deeplink:detalle_licitacion&amp;idEvl=zo6SwRAdHeuExvMJXBMHHQ%3D%3D" TargetMode="External" Id="rId2119" /><Relationship Type="http://schemas.openxmlformats.org/officeDocument/2006/relationships/hyperlink" Target="https://contrataciondelestado.es/FileSystem/servlet/GetDocumentByIdServlet?cifrado=QUC1GjXXSiLkydRHJBmbpw%3D%3D&amp;DocumentIdParam=izdUCwB9INXVU9hgz1%2Bz7TpDLM/pHvCElwOwNelsKakVsRjRoRhepBJVp8eLL%2BGxnjnqBMEIsN77mRgG1dCDWNHMkdYJlv3/OjobuIAokll7QB3HKyQaFUExmUVQCerk" TargetMode="External" Id="rId2120" /><Relationship Type="http://schemas.openxmlformats.org/officeDocument/2006/relationships/hyperlink" Target="https://contrataciondelestado.es/wps/poc?uri=deeplink:detalle_licitacion&amp;idEvl=6drGsmI9gUOqb7rCcv76BA%3D%3D" TargetMode="External" Id="rId2121" /><Relationship Type="http://schemas.openxmlformats.org/officeDocument/2006/relationships/hyperlink" Target="https://contrataciondelestado.es/FileSystem/servlet/GetDocumentByIdServlet?cifrado=QUC1GjXXSiLkydRHJBmbpw%3D%3D&amp;DocumentIdParam=z9AXyML9FDaTtgHic0y9BLfdZmM9goclnzuC4hTg56tzKNz9WUn781x4LgaTysYrm0%2BFHtxbLRwmtqOBZ0LcyoentGCvUKuzwLTSN5hfSpgZyAJWGsSt0OzTSTyw9JAs" TargetMode="External" Id="rId2122" /><Relationship Type="http://schemas.openxmlformats.org/officeDocument/2006/relationships/hyperlink" Target="https://contrataciondelestado.es/wps/poc?uri=deeplink:detalle_licitacion&amp;idEvl=ElWJKliPYD%2BFQ%2FlhRK79lA%3D%3D" TargetMode="External" Id="rId2123" /><Relationship Type="http://schemas.openxmlformats.org/officeDocument/2006/relationships/hyperlink" Target="https://contrataciondelestado.es/FileSystem/servlet/GetDocumentByIdServlet?cifrado=QUC1GjXXSiLkydRHJBmbpw%3D%3D&amp;DocumentIdParam=YwteuSNti8/hN90pzC5U5J4KRDcQOxL3fLibAFPebcs/3z21kG6vDhzhgDSvXjq%2B0c7tqGCAFcb8aY26B9H7UuEev6WHYG5FHR1H66zZH2UZyAJWGsSt0OzTSTyw9JAs" TargetMode="External" Id="rId2124" /><Relationship Type="http://schemas.openxmlformats.org/officeDocument/2006/relationships/hyperlink" Target="https://contrataciondelestado.es/wps/poc?uri=deeplink:detalle_licitacion&amp;idEvl=Ub0a7yDkTr3I8aL3PRS10Q%3D%3D" TargetMode="External" Id="rId2125" /><Relationship Type="http://schemas.openxmlformats.org/officeDocument/2006/relationships/hyperlink" Target="https://contrataciondelestado.es/FileSystem/servlet/GetDocumentByIdServlet?DocumentIdParam=Kr7Dz5nwdTD87FYId8lTNQWrusNTo0alck6X8K5ffZJzVsnziL9WX4A%2BZxs6%2BMQgUHxXu1YrOkefzG2REV3bf69zHrk5TGgjL0ge6ckaj8d7QB3HKyQaFUExmUVQCerk&amp;cifrado=QUC1GjXXSiLkydRHJBmbpw%3D%3D" TargetMode="External" Id="rId2126" /><Relationship Type="http://schemas.openxmlformats.org/officeDocument/2006/relationships/hyperlink" Target="https://contrataciondelestado.es/wps/poc?uri=deeplink:detalle_licitacion&amp;idEvl=XudMGEYJp3mdkQsA7ROvsg%3D%3D" TargetMode="External" Id="rId2127" /><Relationship Type="http://schemas.openxmlformats.org/officeDocument/2006/relationships/hyperlink" Target="https://contrataciondelestado.es/FileSystem/servlet/GetDocumentByIdServlet?cifrado=QUC1GjXXSiLkydRHJBmbpw%3D%3D&amp;DocumentIdParam=VPunzezY5c9%2BZVJ2VfJby5ypTdjTK3HpvhejGQhVSuH/IIoNneOpyvjD7MWaMVyVkLCl6C8z9I1JmvxUBmJIFlhOyj8MPehkCvxkWAMlDGw//q7NB2iMZvNyf0xrJmjt" TargetMode="External" Id="rId2128" /><Relationship Type="http://schemas.openxmlformats.org/officeDocument/2006/relationships/hyperlink" Target="https://contrataciondelestado.es/wps/poc?uri=deeplink:detalle_licitacion&amp;idEvl=vCriwXUiuMw7%2B9FIQYNjeQ%3D%3D" TargetMode="External" Id="rId2129" /><Relationship Type="http://schemas.openxmlformats.org/officeDocument/2006/relationships/hyperlink" Target="https://contrataciondelestado.es/FileSystem/servlet/GetDocumentByIdServlet?cifrado=QUC1GjXXSiLkydRHJBmbpw%3D%3D&amp;DocumentIdParam=rX3/rJPkEBeUdeMMcMI8eMz0ruLDcZmCB5lRDJzLaWois2S/WZOPHhfNkc7lFhix0cfHGB2F9/HjWWIhNPsNCj34JO3VlN6DoOablkqf7Am1aXEvq3KHa/AEHgtDrQw0" TargetMode="External" Id="rId2130" /><Relationship Type="http://schemas.openxmlformats.org/officeDocument/2006/relationships/hyperlink" Target="https://contrataciondelestado.es/wps/poc?uri=deeplink:detalle_licitacion&amp;idEvl=VxgEKymh6lq5HQrHoP3G5A%3D%3D" TargetMode="External" Id="rId2131" /><Relationship Type="http://schemas.openxmlformats.org/officeDocument/2006/relationships/hyperlink" Target="https://contrataciondelestado.es/wps/wcm/connect/PLACE_es/Site/area/docAccCmpnt?srv=cmpnt&amp;cmpntname=GetDocumentsById&amp;source=library&amp;DocumentIdParam=59c5d1a4-7a71-436f-8fa6-5e99f08c40d8" TargetMode="External" Id="rId2132" /><Relationship Type="http://schemas.openxmlformats.org/officeDocument/2006/relationships/hyperlink" Target="https://contrataciondelestado.es/wps/poc?uri=deeplink:detalle_licitacion&amp;idEvl=AfGM%2FWpJPlo7%2B9FIQYNjeQ%3D%3D" TargetMode="External" Id="rId2133"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2134" /><Relationship Type="http://schemas.openxmlformats.org/officeDocument/2006/relationships/hyperlink" Target="https://contrataciondelestado.es/wps/poc?uri=deeplink:detalle_licitacion&amp;idEvl=RcYS2Yk3ej8kJPJS%2BPS9vg%3D%3D" TargetMode="External" Id="rId2135" /><Relationship Type="http://schemas.openxmlformats.org/officeDocument/2006/relationships/hyperlink" Target="https://contrataciondelestado.es/FileSystem/servlet/GetDocumentByIdServlet?cifrado=QUC1GjXXSiLkydRHJBmbpw%3D%3D&amp;DocumentIdParam=EPEqliFHgqK2p4zxLEM2ybtTBohjDAqaSpb/wrlckGPQutT9nIgdDG9c4bphu0PXqJmjkMY89%2BZE5ed0YA6V3c%2B7MPoQK1OIdIJo1UYCu0ffdyQgZAdTm3EfcUAC7CJ6" TargetMode="External" Id="rId2136" /><Relationship Type="http://schemas.openxmlformats.org/officeDocument/2006/relationships/hyperlink" Target="https://contrataciondelestado.es/wps/poc?uri=deeplink:detalle_licitacion&amp;idEvl=b44uaG0OG8Q7%2B9FIQYNjeQ%3D%3D" TargetMode="External" Id="rId2137" /><Relationship Type="http://schemas.openxmlformats.org/officeDocument/2006/relationships/hyperlink" Target="https://contrataciondelestado.es/FileSystem/servlet/GetDocumentByIdServlet?cifrado=QUC1GjXXSiLkydRHJBmbpw%3D%3D&amp;DocumentIdParam=h8wvjhxW6FK02AMFG8GajEUaCAGKSBle2BJ/k1tgw0/mDIpnEyBq/w59Wxc0nusbIswwbbp04Uj1QHIiuMkKH7kB/6%2BobUgxqez6aELMjfl45ClyWkoJ44mKM70IFcOu" TargetMode="External" Id="rId2138" /><Relationship Type="http://schemas.openxmlformats.org/officeDocument/2006/relationships/hyperlink" Target="https://contrataciondelestado.es/wps/poc?uri=deeplink:detalle_licitacion&amp;idEvl=Oi2yuC%2FUOt6kU02jNGj1Fw%3D%3D" TargetMode="External" Id="rId2139" /><Relationship Type="http://schemas.openxmlformats.org/officeDocument/2006/relationships/hyperlink" Target="https://contrataciondelestado.es/FileSystem/servlet/GetDocumentByIdServlet?cifrado=QUC1GjXXSiLkydRHJBmbpw%3D%3D&amp;DocumentIdParam=nXWcPnR%2BtyeNWXeI1NjcI0x/hdeNqLsLNjeLH4v8iABkRlUw51O8GIo0b/YqIz6Y6YD2K/1%2B9SyXjABuXQ1vUih2WG/kHk5wQpmMcVOGgE9t/o8fNevwsujgRzaBbugn" TargetMode="External" Id="rId2140" /><Relationship Type="http://schemas.openxmlformats.org/officeDocument/2006/relationships/hyperlink" Target="https://contrataciondelestado.es/wps/poc?uri=deeplink:detalle_licitacion&amp;idEvl=Xb9k%2FGteEOyP%2Bo96UAV7cQ%3D%3D" TargetMode="External" Id="rId2141"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2142" /><Relationship Type="http://schemas.openxmlformats.org/officeDocument/2006/relationships/hyperlink" Target="https://contrataciondelestado.es/wps/poc?uri=deeplink:detalle_licitacion&amp;idEvl=GvYJ8cx%2FYNJ9PLkba5eRog%3D%3D" TargetMode="External" Id="rId2143"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2144" /><Relationship Type="http://schemas.openxmlformats.org/officeDocument/2006/relationships/hyperlink" Target="https://contrataciondelestado.es/wps/poc?uri=deeplink:detalle_licitacion&amp;idEvl=3DhfagLElaOFlFRHfEzEaw%3D%3D" TargetMode="External" Id="rId2145"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2146" /><Relationship Type="http://schemas.openxmlformats.org/officeDocument/2006/relationships/hyperlink" Target="https://contrataciondelestado.es/wps/poc?uri=deeplink:detalle_licitacion&amp;idEvl=rU5zHHg4kqLgL1BHd3qjQA%3D%3D" TargetMode="External" Id="rId2147"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2148" /><Relationship Type="http://schemas.openxmlformats.org/officeDocument/2006/relationships/hyperlink" Target="https://contrataciondelestado.es/wps/poc?uri=deeplink:detalle_licitacion&amp;idEvl=LKwPcQUkukq2gkLQ8TeYKA%3D%3D" TargetMode="External" Id="rId2149"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2150" /><Relationship Type="http://schemas.openxmlformats.org/officeDocument/2006/relationships/hyperlink" Target="https://contrataciondelestado.es/wps/poc?uri=deeplink:detalle_licitacion&amp;idEvl=nQOsyX7nNpLi0Kd8%2Brcp6w%3D%3D" TargetMode="External" Id="rId2151" /><Relationship Type="http://schemas.openxmlformats.org/officeDocument/2006/relationships/hyperlink" Target="https://contrataciondelestado.es/FileSystem/servlet/GetDocumentByIdServlet?cifrado=QUC1GjXXSiLkydRHJBmbpw%3D%3D&amp;DocumentIdParam=WI4au8fbzmvKdOJ5sCE6gdIXVDRDM817%2B5l9ymrjNkJHPNVZ4Ayc5DOQOTb1mGbVWEVq4LFiOftbBsz0W0WgFTvltIzGq1Hedq56cDKDYCqCx2e6p7hqtlp2aFupgHMr" TargetMode="External" Id="rId2152" /><Relationship Type="http://schemas.openxmlformats.org/officeDocument/2006/relationships/hyperlink" Target="https://contrataciondelestado.es/wps/poc?uri=deeplink:detalle_licitacion&amp;idEvl=xfJYsMZhc8NrhBlEHQFSKA%3D%3D" TargetMode="External" Id="rId2153" /><Relationship Type="http://schemas.openxmlformats.org/officeDocument/2006/relationships/hyperlink" Target="https://contrataciondelestado.es/FileSystem/servlet/GetDocumentByIdServlet?cifrado=QUC1GjXXSiLkydRHJBmbpw%3D%3D&amp;DocumentIdParam=Wzm4Hd4pUeJ9xXzjcn5qKXLY4ap3TUbg9QX85pMozg3XdIaLcuvuDMH3SHWFUaZ%2B7zQbURq/Ji2jEnRrL1ulrmpsxbdXYJr3kW4cc%2BrXAyt7QB3HKyQaFUExmUVQCerk" TargetMode="External" Id="rId2154" /><Relationship Type="http://schemas.openxmlformats.org/officeDocument/2006/relationships/hyperlink" Target="https://contrataciondelestado.es/wps/poc?uri=deeplink:detalle_licitacion&amp;idEvl=yD9K8BPDI9310HRJw8TEnQ%3D%3D" TargetMode="External" Id="rId2155" /><Relationship Type="http://schemas.openxmlformats.org/officeDocument/2006/relationships/hyperlink" Target="https://contrataciondelestado.es/FileSystem/servlet/GetDocumentByIdServlet?cifrado=QUC1GjXXSiLkydRHJBmbpw%3D%3D&amp;DocumentIdParam=S14nX20NFePV8quO9dFY%2BK%2Bc88cfBgMSod8v865V5HjWTQtk%2BUIZ2tLXOIVcpei6WoT4WB7VFAZNGsOHEhwMS18tajGazi%2Bd9SZhGVzrUHmCx2e6p7hqtlp2aFupgHMr" TargetMode="External" Id="rId2156" /><Relationship Type="http://schemas.openxmlformats.org/officeDocument/2006/relationships/hyperlink" Target="https://contrataciondelestado.es/wps/poc?uri=deeplink:detalle_licitacion&amp;idEvl=tdcF022LA%2BO9Hd5zqvq9cg%3D%3D" TargetMode="External" Id="rId2157"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2158" /><Relationship Type="http://schemas.openxmlformats.org/officeDocument/2006/relationships/hyperlink" Target="https://contrataciondelestado.es/wps/poc?uri=deeplink:detalle_licitacion&amp;idEvl=HugmnbpiG2Q2wEhQbcAqug%3D%3D" TargetMode="External" Id="rId2159" /><Relationship Type="http://schemas.openxmlformats.org/officeDocument/2006/relationships/hyperlink" Target="https://contrataciondelestado.es/FileSystem/servlet/GetDocumentByIdServlet?cifrado=QUC1GjXXSiLkydRHJBmbpw%3D%3D&amp;DocumentIdParam=jyKguyq//GRi686%2B08eZywvzux3hM1Krx2RadJ2lUMpqIJwGS/8Ry0llRRcDPhkFaEHT3%2BDsn8/bxqjv6nb2kVAhIr0VCeGQxqtgapO6LbfVTD3T98KC0nSgQFM0q%2B5s" TargetMode="External" Id="rId2160" /><Relationship Type="http://schemas.openxmlformats.org/officeDocument/2006/relationships/hyperlink" Target="https://contrataciondelestado.es/wps/poc?uri=deeplink:detalle_licitacion&amp;idEvl=ajBGewi7m08S7pcxhTeWOg%3D%3D" TargetMode="External" Id="rId2161" /><Relationship Type="http://schemas.openxmlformats.org/officeDocument/2006/relationships/hyperlink" Target="https://contrataciondelestado.es/FileSystem/servlet/GetDocumentByIdServlet?cifrado=QUC1GjXXSiLkydRHJBmbpw%3D%3D&amp;DocumentIdParam=pucaekTQP1VM/Me6%2BIdp2GoqlRQB%2BdxTYizES/%2ByrGcf7OmWdXYSGjGn37qp6Td1kah4c9YI8RLYQ9JOKqMQ1e2HeLMIQoqcMJq6MFJtPny1aXEvq3KHa/AEHgtDrQw0" TargetMode="External" Id="rId2162" /><Relationship Type="http://schemas.openxmlformats.org/officeDocument/2006/relationships/hyperlink" Target="https://contrataciondelestado.es/wps/poc?uri=deeplink:detalle_licitacion&amp;idEvl=885y9hBivaEeC9GJQOEBkQ%3D%3D" TargetMode="External" Id="rId2163"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2164" /><Relationship Type="http://schemas.openxmlformats.org/officeDocument/2006/relationships/hyperlink" Target="https://contrataciondelestado.es/wps/poc?uri=deeplink:detalle_licitacion&amp;idEvl=YUo21ObYBAYUqXM96WStVA%3D%3D" TargetMode="External" Id="rId2165"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2166" /><Relationship Type="http://schemas.openxmlformats.org/officeDocument/2006/relationships/hyperlink" Target="https://contrataciondelestado.es/wps/poc?uri=deeplink:detalle_licitacion&amp;idEvl=EKiQsp%2BAw7z%2B3JAijKO%2Bkg%3D%3D" TargetMode="External" Id="rId2167" /><Relationship Type="http://schemas.openxmlformats.org/officeDocument/2006/relationships/hyperlink" Target="https://contrataciondelestado.es/FileSystem/servlet/GetDocumentByIdServlet?cifrado=QUC1GjXXSiLkydRHJBmbpw%3D%3D&amp;DocumentIdParam=i3tqmlzZc/nNCxAuBS23r82Wpk3smnGx2bnAAPuApDeVMZoe0llxorrSIsMcZSvb89T3H4Hqf1ds1S59LcVT1iEJSAWuYPph36d5QPZeyrffdyQgZAdTm3EfcUAC7CJ6" TargetMode="External" Id="rId2168" /><Relationship Type="http://schemas.openxmlformats.org/officeDocument/2006/relationships/hyperlink" Target="https://contrataciondelestado.es/wps/poc?uri=deeplink:detalle_licitacion&amp;idEvl=XzwaRS%2B94TSP66GS%2BONYvQ%3D%3D" TargetMode="External" Id="rId2169"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2170" /><Relationship Type="http://schemas.openxmlformats.org/officeDocument/2006/relationships/hyperlink" Target="https://contrataciondelestado.es/wps/poc?uri=deeplink:detalle_licitacion&amp;idEvl=ny9lud23wRB%2FR5QFTlaM4A%3D%3D" TargetMode="External" Id="rId2171"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2172" /><Relationship Type="http://schemas.openxmlformats.org/officeDocument/2006/relationships/hyperlink" Target="https://contrataciondelestado.es/wps/poc?uri=deeplink:detalle_licitacion&amp;idEvl=fXTWRcUIIgkXhk1FZxEyvw%3D%3D" TargetMode="External" Id="rId2173"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2174" /><Relationship Type="http://schemas.openxmlformats.org/officeDocument/2006/relationships/hyperlink" Target="https://contrataciondelestado.es/wps/poc?uri=deeplink:detalle_licitacion&amp;idEvl=0PMwJkU3xOr%2B3JAijKO%2Bkg%3D%3D" TargetMode="External" Id="rId2175" /><Relationship Type="http://schemas.openxmlformats.org/officeDocument/2006/relationships/hyperlink" Target="https://contrataciondelestado.es/FileSystem/servlet/GetDocumentByIdServlet?cifrado=QUC1GjXXSiLkydRHJBmbpw%3D%3D&amp;DocumentIdParam=wFn/HXmwel1VUcHCFrtxasv%2BNjjAzpoCw09iZqLa7%2B24TH2/EjmxIWzZYfQcaAq1RFYoEjmco9HTXSire4U5bdoCtL07jKSHLsZ8aFOagGN45ClyWkoJ44mKM70IFcOu" TargetMode="External" Id="rId2176" /><Relationship Type="http://schemas.openxmlformats.org/officeDocument/2006/relationships/hyperlink" Target="https://contrataciondelestado.es/wps/poc?uri=deeplink:detalle_licitacion&amp;idEvl=YGVR3XbSrbeP66GS%2BONYvQ%3D%3D" TargetMode="External" Id="rId2177"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2178" /><Relationship Type="http://schemas.openxmlformats.org/officeDocument/2006/relationships/hyperlink" Target="https://contrataciondelestado.es/wps/poc?uri=deeplink:detalle_licitacion&amp;idEvl=0vzwzIMIrEGGCFcHcNGIlQ%3D%3D" TargetMode="External" Id="rId2179" /><Relationship Type="http://schemas.openxmlformats.org/officeDocument/2006/relationships/hyperlink" Target="https://contrataciondelestado.es/FileSystem/servlet/GetDocumentByIdServlet?cifrado=QUC1GjXXSiLkydRHJBmbpw%3D%3D&amp;DocumentIdParam=tDUJKLt5v88YYGr8iMGXErANcQJmxkaVykoiROB9n1IbIbOpvAfBg6BqCECEGxt3t8B6aawUbw3KLzW6lrwlJPEO4M3RdttTHvQOfvBEkXpt/o8fNevwsujgRzaBbugn" TargetMode="External" Id="rId2180" /><Relationship Type="http://schemas.openxmlformats.org/officeDocument/2006/relationships/hyperlink" Target="https://contrataciondelestado.es/wps/poc?uri=deeplink:detalle_licitacion&amp;idEvl=U7DPYB5HgmudkQsA7ROvsg%3D%3D" TargetMode="External" Id="rId2181"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2182" /><Relationship Type="http://schemas.openxmlformats.org/officeDocument/2006/relationships/hyperlink" Target="https://contrataciondelestado.es/wps/poc?uri=deeplink:detalle_licitacion&amp;idEvl=ppjV3cjBU0WcTfjQf3USOg%3D%3D" TargetMode="External" Id="rId2183"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2184" /><Relationship Type="http://schemas.openxmlformats.org/officeDocument/2006/relationships/hyperlink" Target="https://contrataciondelestado.es/wps/poc?uri=deeplink:detalle_licitacion&amp;idEvl=1o9ILQKmwgAeIBJRHQiPkQ%3D%3D" TargetMode="External" Id="rId2185" /><Relationship Type="http://schemas.openxmlformats.org/officeDocument/2006/relationships/hyperlink" Target="https://contrataciondelestado.es/FileSystem/servlet/GetDocumentByIdServlet?cifrado=QUC1GjXXSiLkydRHJBmbpw%3D%3D&amp;DocumentIdParam=MQctQlMdz83d5HaeBsigzQ5Ik%2BYo6T3b1onlrkLa%2BDS0xSsYCK/a%2BXGEULxTsmxzbn5Y0HLiTOab1/0IpE%2BYUARLXyaKNGsqeHEcIxBbdmZJOVDbGCDM%2BMigrvuVS7Rv" TargetMode="External" Id="rId2186" /><Relationship Type="http://schemas.openxmlformats.org/officeDocument/2006/relationships/hyperlink" Target="https://contrataciondelestado.es/wps/poc?uri=deeplink:detalle_licitacion&amp;idEvl=lMMUqHyRfYsl5NjlNci%2BtA%3D%3D" TargetMode="External" Id="rId2187" /><Relationship Type="http://schemas.openxmlformats.org/officeDocument/2006/relationships/hyperlink" Target="https://contrataciondelestado.es/FileSystem/servlet/GetDocumentByIdServlet?cifrado=QUC1GjXXSiLkydRHJBmbpw%3D%3D&amp;DocumentIdParam=//9LgUv%2BsvbDt3a6AcW0/rapTio5havdBUk84wNHp/2dL59SCXqFlPkBdaQxOr/asL7Hc43zitcEbkKf6f3rw6IeHeLG2g30YP%2BLBvvaqk6HAj0WEJrB5sP7amrh2jBD" TargetMode="External" Id="rId2188" /><Relationship Type="http://schemas.openxmlformats.org/officeDocument/2006/relationships/hyperlink" Target="https://contrataciondelestado.es/wps/poc?uri=deeplink:detalle_licitacion&amp;idEvl=MJ9I9HqVmq3zAq95uGTrDQ%3D%3D" TargetMode="External" Id="rId2189" /><Relationship Type="http://schemas.openxmlformats.org/officeDocument/2006/relationships/hyperlink" Target="https://contrataciondelestado.es/FileSystem/servlet/GetDocumentByIdServlet?cifrado=QUC1GjXXSiLkydRHJBmbpw%3D%3D&amp;DocumentIdParam=v//u4j9cGwp9Jqe7L2PDREJi1YwvHyWNheG6jwllKstxbp2JLuMxSRt5o/Dm2MoJ58lxc6YpD4zmVPSK9XCTHVNhKaciGRv0QrckMdirIKQ//q7NB2iMZvNyf0xrJmjt" TargetMode="External" Id="rId2190" /><Relationship Type="http://schemas.openxmlformats.org/officeDocument/2006/relationships/hyperlink" Target="https://contrataciondelestado.es/wps/poc?uri=deeplink:detalle_licitacion&amp;idEvl=1VFNmgFp5Fr9pbnDwlaUlg%3D%3D" TargetMode="External" Id="rId2191"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2192" /><Relationship Type="http://schemas.openxmlformats.org/officeDocument/2006/relationships/hyperlink" Target="https://contrataciondelestado.es/wps/poc?uri=deeplink:detalle_licitacion&amp;idEvl=rlCvz%2BDlFSbjHF5qKI4aaw%3D%3D" TargetMode="External" Id="rId2193" /><Relationship Type="http://schemas.openxmlformats.org/officeDocument/2006/relationships/hyperlink" Target="https://contrataciondelestado.es/FileSystem/servlet/GetDocumentByIdServlet?cifrado=QUC1GjXXSiLkydRHJBmbpw%3D%3D&amp;DocumentIdParam=sdKbdXh2wfMct8pXnX012wspT0cHeF7Gd37LW34bx48vzUM/4cMzqoo%2BAhCDEEMu1Txl8z90FtYILwt/Ee5eOlziUtcpXqsLqIBT9kqCVQr6CYyL7SIrUOBFfNf52ZqA" TargetMode="External" Id="rId2194" /><Relationship Type="http://schemas.openxmlformats.org/officeDocument/2006/relationships/hyperlink" Target="https://contrataciondelestado.es/wps/poc?uri=deeplink:detalle_licitacion&amp;idEvl=I5hAbfA%2BnPOsNfRW6APEDw%3D%3D" TargetMode="External" Id="rId2195" /><Relationship Type="http://schemas.openxmlformats.org/officeDocument/2006/relationships/hyperlink" Target="https://contrataciondelestado.es/FileSystem/servlet/GetDocumentByIdServlet?cifrado=QUC1GjXXSiLkydRHJBmbpw%3D%3D&amp;DocumentIdParam=DrqzUdKjmCPpv2xwlOt2CqcH4zbpSkNEqCDOrrByVeXiR0o3BCMYhRSafCnCKKzOteRkSpfnqdwsnayyvOka0Mj6PzvPr4JfhSUTohnWhpNJOVDbGCDM%2BMigrvuVS7Rv" TargetMode="External" Id="rId2196" /><Relationship Type="http://schemas.openxmlformats.org/officeDocument/2006/relationships/hyperlink" Target="https://contrataciondelestado.es/wps/poc?uri=deeplink:detalle_licitacion&amp;idEvl=S84dhzda0KM%2FbjW6njtWLw%3D%3D" TargetMode="External" Id="rId2197" /><Relationship Type="http://schemas.openxmlformats.org/officeDocument/2006/relationships/hyperlink" Target="https://contrataciondelestado.es/FileSystem/servlet/GetDocumentByIdServlet?cifrado=QUC1GjXXSiLkydRHJBmbpw%3D%3D&amp;DocumentIdParam=n%2BxizJ4e3%2Bgl4xOTv4GxStpHzlZaV37kfAw9ALek33tNS1zQlqCshzXDHdC4xYU5C4C92zE7SWYDGAOOg7YuVwSMmu30I4C965sDcZ1B8NyCx2e6p7hqtlp2aFupgHMr" TargetMode="External" Id="rId2198" /><Relationship Type="http://schemas.openxmlformats.org/officeDocument/2006/relationships/hyperlink" Target="https://contrataciondelestado.es/wps/poc?uri=deeplink:detalle_licitacion&amp;idEvl=%2FkhmkNb0THlJ8Trn0ZPzLw%3D%3D" TargetMode="External" Id="rId2199"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2200" /><Relationship Type="http://schemas.openxmlformats.org/officeDocument/2006/relationships/hyperlink" Target="https://contrataciondelestado.es/wps/poc?uri=deeplink:detalle_licitacion&amp;idEvl=2RFuf9IF%2FL4tm4eBPtV6eQ%3D%3D" TargetMode="External" Id="rId2201"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2202" /><Relationship Type="http://schemas.openxmlformats.org/officeDocument/2006/relationships/hyperlink" Target="https://contrataciondelestado.es/wps/poc?uri=deeplink:detalle_licitacion&amp;idEvl=XpatoCp%2B%2BM4%2B1TMyIiZmzw%3D%3D" TargetMode="External" Id="rId2203" /><Relationship Type="http://schemas.openxmlformats.org/officeDocument/2006/relationships/hyperlink" Target="https://contrataciondelestado.es/FileSystem/servlet/GetDocumentByIdServlet?cifrado=QUC1GjXXSiLkydRHJBmbpw%3D%3D&amp;DocumentIdParam=4a77CxJSceF43Zc3cyFNAOHrDaNk8PXZ7P0ah7FNYxHQ27FkW4GRCYWhcj0PIx0bxtfjNw4o5SqrMmK13dMkANW4w9ltG4UyvmuopktuWYmCx2e6p7hqtlp2aFupgHMr" TargetMode="External" Id="rId2204" /><Relationship Type="http://schemas.openxmlformats.org/officeDocument/2006/relationships/hyperlink" Target="https://contrataciondelestado.es/wps/poc?uri=deeplink:detalle_licitacion&amp;idEvl=ssbDLKAglAKExvMJXBMHHQ%3D%3D" TargetMode="External" Id="rId2205" /><Relationship Type="http://schemas.openxmlformats.org/officeDocument/2006/relationships/hyperlink" Target="https://contrataciondelestado.es/FileSystem/servlet/GetDocumentByIdServlet?cifrado=QUC1GjXXSiLkydRHJBmbpw%3D%3D&amp;DocumentIdParam=37zTqMbAqMcrb9KBGmwpwUIgkbTjEYHRoIotN/xTEf%2BMkJLVzM7/KjEfAFXB2lX%2BhErPDPacXID%2B56K6EJH1DWivC/qHWdslfHSrTyLI/U7DdQD9RyhUmzT4jZ2In4zL" TargetMode="External" Id="rId2206" /><Relationship Type="http://schemas.openxmlformats.org/officeDocument/2006/relationships/hyperlink" Target="https://contrataciondelestado.es/wps/poc?uri=deeplink:detalle_licitacion&amp;idEvl=SOpUPTlkMyIzjChw4z%2FXvw%3D%3D" TargetMode="External" Id="rId2207" /><Relationship Type="http://schemas.openxmlformats.org/officeDocument/2006/relationships/hyperlink" Target="https://contrataciondelestado.es/FileSystem/servlet/GetDocumentByIdServlet?cifrado=QUC1GjXXSiLkydRHJBmbpw%3D%3D&amp;DocumentIdParam=bXD9DSsc61vxgr3K896sWuBMv/O8g9IUaPrLHcgL31dIRRt/nAal1kNTw2fHMVuy1T0qKhYlhLbZFA/jJoJHKjIMfzFZyxGzModWE/uwbt/VTD3T98KC0nSgQFM0q%2B5s" TargetMode="External" Id="rId2208" /><Relationship Type="http://schemas.openxmlformats.org/officeDocument/2006/relationships/hyperlink" Target="https://contrataciondelestado.es/wps/poc?uri=deeplink:detalle_licitacion&amp;idEvl=UvR1n3Bt%2Fdt%2FR5QFTlaM4A%3D%3D" TargetMode="External" Id="rId2209"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2210" /><Relationship Type="http://schemas.openxmlformats.org/officeDocument/2006/relationships/hyperlink" Target="https://contrataciondelestado.es/wps/poc?uri=deeplink:detalle_licitacion&amp;idEvl=pF2eQIsL7GKP66GS%2BONYvQ%3D%3D" TargetMode="External" Id="rId2211" /><Relationship Type="http://schemas.openxmlformats.org/officeDocument/2006/relationships/hyperlink" Target="https://contrataciondelestado.es/FileSystem/servlet/GetDocumentByIdServlet?cifrado=QUC1GjXXSiLkydRHJBmbpw%3D%3D&amp;DocumentIdParam=OUgIhd8vnl88bz/TFsuHxEcG6kokKBDqvviB9eDeoas141p9DXTh58XoYISDvojch6DyAGjge9IbfUVUX%2BLj%2BbHuYV40ZhSQyfhL4wnPzOnDdQD9RyhUmzT4jZ2In4zL" TargetMode="External" Id="rId2212" /><Relationship Type="http://schemas.openxmlformats.org/officeDocument/2006/relationships/hyperlink" Target="https://contrataciondelestado.es/wps/poc?uri=deeplink:detalle_licitacion&amp;idEvl=lxDyrgwUDTrpxJFXpLZ%2B2A%3D%3D" TargetMode="External" Id="rId2213" /><Relationship Type="http://schemas.openxmlformats.org/officeDocument/2006/relationships/hyperlink" Target="https://contrataciondelestado.es/FileSystem/servlet/GetDocumentByIdServlet?cifrado=QUC1GjXXSiLkydRHJBmbpw%3D%3D&amp;DocumentIdParam=TbrjCz9BVwdfZhm1avU9BNR%2BNaeBMhtwYfLOWIz1QIikqYMfzmVCCeCNOZCrYMYpxkxXJGXiYKegZxo4b1uA%2Bo%2BBoNkEurys9iB57OX2M6j6CYyL7SIrUOBFfNf52ZqA" TargetMode="External" Id="rId2214" /><Relationship Type="http://schemas.openxmlformats.org/officeDocument/2006/relationships/hyperlink" Target="https://contrataciondelestado.es/wps/poc?uri=deeplink:detalle_licitacion&amp;idEvl=ijhZpqHIkYdLAIVZdUs8KA%3D%3D" TargetMode="External" Id="rId2215" /><Relationship Type="http://schemas.openxmlformats.org/officeDocument/2006/relationships/hyperlink" Target="https://contrataciondelestado.es/FileSystem/servlet/GetDocumentByIdServlet?cifrado=QUC1GjXXSiLkydRHJBmbpw%3D%3D&amp;DocumentIdParam=jQCOownbdTdGqfsbMWoF7kuYc1YmsiQg4LGGx1j9/rkObUisrTFoTSU/PlUzoK2s8nzJkk83Rzt5334D1ZKU1zMt4FzaLQeHFJmCBW/E0SWHAj0WEJrB5sP7amrh2jBD" TargetMode="External" Id="rId2216" /><Relationship Type="http://schemas.openxmlformats.org/officeDocument/2006/relationships/hyperlink" Target="https://contrataciondelestado.es/wps/poc?uri=deeplink:detalle_licitacion&amp;idEvl=t6mR4ZInX%2FFSYrkJkLlFdw%3D%3D" TargetMode="External" Id="rId2217" /><Relationship Type="http://schemas.openxmlformats.org/officeDocument/2006/relationships/hyperlink" Target="https://contrataciondelestado.es/FileSystem/servlet/GetDocumentByIdServlet?cifrado=QUC1GjXXSiLkydRHJBmbpw%3D%3D&amp;DocumentIdParam=Yx0fzT%2BZhg/S9xEt0dMydeoVNJwYk%2BTyEa1ULxkSlPud1aElg5aAlbLxtjdBAvS%2BMAirF9LaRRG6P5IXYrNNTOMgZKvYRkxmI3r6YEyV5v%2BB0nvVKRzfe4rpHcnlPhSZ" TargetMode="External" Id="rId2218" /><Relationship Type="http://schemas.openxmlformats.org/officeDocument/2006/relationships/hyperlink" Target="https://contrataciondelestado.es/wps/poc?uri=deeplink:detalle_licitacion&amp;idEvl=1pq0mKTRQhR%2FR5QFTlaM4A%3D%3D" TargetMode="External" Id="rId2219"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2220" /><Relationship Type="http://schemas.openxmlformats.org/officeDocument/2006/relationships/hyperlink" Target="https://contrataciondelestado.es/wps/poc?uri=deeplink:detalle_licitacion&amp;idEvl=Qsbp5yIjeYKExvMJXBMHHQ%3D%3D" TargetMode="External" Id="rId2221" /><Relationship Type="http://schemas.openxmlformats.org/officeDocument/2006/relationships/hyperlink" Target="https://contrataciondelestado.es/FileSystem/servlet/GetDocumentByIdServlet?cifrado=QUC1GjXXSiLkydRHJBmbpw%3D%3D&amp;DocumentIdParam=%2ByRnY6I4M82gp5Nd8KbUAfehYsMcwhMkKuncpECKWm23ivkCKy8YRhVUlEexZ2xxG0S84iXvd6aomrbTWm80B7tFCR8swo8HoEah8%2B7i6tZ45ClyWkoJ44mKM70IFcOu" TargetMode="External" Id="rId2222" /><Relationship Type="http://schemas.openxmlformats.org/officeDocument/2006/relationships/hyperlink" Target="https://contrataciondelestado.es/wps/poc?uri=deeplink:detalle_licitacion&amp;idEvl=LMTZ4t0%2B5Z%2FjHF5qKI4aaw%3D%3D" TargetMode="External" Id="rId2223"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2224" /><Relationship Type="http://schemas.openxmlformats.org/officeDocument/2006/relationships/hyperlink" Target="https://contrataciondelestado.es/wps/poc?uri=deeplink:detalle_licitacion&amp;idEvl=VwgrUUqi6nN70UvEyYJSGw%3D%3D" TargetMode="External" Id="rId2225" /><Relationship Type="http://schemas.openxmlformats.org/officeDocument/2006/relationships/hyperlink" Target="https://contrataciondelestado.es/FileSystem/servlet/GetDocumentByIdServlet?cifrado=QUC1GjXXSiLkydRHJBmbpw%3D%3D&amp;DocumentIdParam=D78o%2BEYuI/aGzuguXeYaEz7qoDY4qTk65TzEmlfZPgkE8Y6kTH8aKnV2YDwg/UBVmn9JdnI4VUTOCvi2HEMec518mHEmC3JObIeeBNO5xkX3GVhXrFFqN7yFncy7YfRK" TargetMode="External" Id="rId2226" /><Relationship Type="http://schemas.openxmlformats.org/officeDocument/2006/relationships/hyperlink" Target="https://contrataciondelestado.es/wps/poc?uri=deeplink:detalle_licitacion&amp;idEvl=AE4x5A02S%2B%2F9pbnDwlaUlg%3D%3D" TargetMode="External" Id="rId2227"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2228" /><Relationship Type="http://schemas.openxmlformats.org/officeDocument/2006/relationships/hyperlink" Target="https://contrataciondelestado.es/wps/poc?uri=deeplink:detalle_licitacion&amp;idEvl=6k1aJ3uUy514zIRvjBVCSw%3D%3D" TargetMode="External" Id="rId2229"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2230" /><Relationship Type="http://schemas.openxmlformats.org/officeDocument/2006/relationships/hyperlink" Target="https://contrataciondelestado.es/wps/poc?uri=deeplink:detalle_licitacion&amp;idEvl=i9xrdr8yMEXzAq95uGTrDQ%3D%3D" TargetMode="External" Id="rId2231"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2232" /><Relationship Type="http://schemas.openxmlformats.org/officeDocument/2006/relationships/hyperlink" Target="https://contrataciondelestado.es/wps/poc?uri=deeplink:detalle_licitacion&amp;idEvl=CgVKa%2BnnYHh%2BF6L2uCfUWg%3D%3D" TargetMode="External" Id="rId2233"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2234" /><Relationship Type="http://schemas.openxmlformats.org/officeDocument/2006/relationships/hyperlink" Target="https://contrataciondelestado.es/wps/poc?uri=deeplink:detalle_licitacion&amp;idEvl=r5aKQ0R0TNO8ebB%2FXTwy0A%3D%3D" TargetMode="External" Id="rId2235"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2236" /><Relationship Type="http://schemas.openxmlformats.org/officeDocument/2006/relationships/hyperlink" Target="https://contrataciondelestado.es/wps/poc?uri=deeplink:detalle_licitacion&amp;idEvl=aXPw46LG8Y%2BLAncw3qdZkA%3D%3D" TargetMode="External" Id="rId2237"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2238" /><Relationship Type="http://schemas.openxmlformats.org/officeDocument/2006/relationships/hyperlink" Target="https://contrataciondelestado.es/wps/poc?uri=deeplink:detalle_licitacion&amp;idEvl=YXXdAyXuO3xSYrkJkLlFdw%3D%3D" TargetMode="External" Id="rId2239"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2240" /><Relationship Type="http://schemas.openxmlformats.org/officeDocument/2006/relationships/hyperlink" Target="https://contrataciondelestado.es/wps/poc?uri=deeplink:detalle_licitacion&amp;idEvl=JFVJX9OtdEGsNfRW6APEDw%3D%3D" TargetMode="External" Id="rId2241" /><Relationship Type="http://schemas.openxmlformats.org/officeDocument/2006/relationships/hyperlink" Target="https://contrataciondelestado.es/FileSystem/servlet/GetDocumentByIdServlet?cifrado=QUC1GjXXSiLkydRHJBmbpw%3D%3D&amp;DocumentIdParam=%2BKjbxm1uNCICfBm6Um/0DGmcidSpMmStERjDXYmUuwl18OnxZrMWg21I3feho2IuVt%2BVQ0UolxvxXZH%2BPypN3k0ATw976xvbTUT/WzaE1wwC1/zDIE0Kw/PWNnLS0Z0z" TargetMode="External" Id="rId2242" /><Relationship Type="http://schemas.openxmlformats.org/officeDocument/2006/relationships/hyperlink" Target="https://contrataciondelestado.es/wps/poc?uri=deeplink:detalle_licitacion&amp;idEvl=KlwOK1mkjgAZDGvgaZEVxQ%3D%3D" TargetMode="External" Id="rId2243" /><Relationship Type="http://schemas.openxmlformats.org/officeDocument/2006/relationships/hyperlink" Target="https://contrataciondelestado.es/wps/poc?uri=deeplink:detalle_licitacion&amp;idEvl=kXCvcWkd1dceIBJRHQiPkQ%3D%3D" TargetMode="External" Id="rId2244" /><Relationship Type="http://schemas.openxmlformats.org/officeDocument/2006/relationships/hyperlink" Target="https://contrataciondelestado.es/FileSystem/servlet/GetDocumentByIdServlet?cifrado=QUC1GjXXSiLkydRHJBmbpw%3D%3D&amp;DocumentIdParam=Ohg5VeVQzAbpMzElIC3DpuxNFM3EDo3maFRXFnykugpuSAHelgVLHbpSAWbsRGltd99nfR4HRVhLHimBdWIHg2yfLx4xhBB2%2BCOTi3WRZaaCx2e6p7hqtlp2aFupgHMr" TargetMode="External" Id="rId2245" /><Relationship Type="http://schemas.openxmlformats.org/officeDocument/2006/relationships/hyperlink" Target="https://contrataciondelestado.es/wps/poc?uri=deeplink:detalle_licitacion&amp;idEvl=RFLHvvtKTJBVkTabT%2FRM8A%3D%3D" TargetMode="External" Id="rId2246" /><Relationship Type="http://schemas.openxmlformats.org/officeDocument/2006/relationships/hyperlink" Target="https://contrataciondelestado.es/wps/poc?uri=deeplink:detalle_licitacion&amp;idEvl=kNQpxvEe5xA7u6%2B%2FR7DUoA%3D%3D" TargetMode="External" Id="rId2247" /><Relationship Type="http://schemas.openxmlformats.org/officeDocument/2006/relationships/hyperlink" Target="https://contrataciondelestado.es/wps/poc?uri=deeplink:detalle_licitacion&amp;idEvl=%2BVHWktVUmCb5Rey58Yagpg%3D%3D" TargetMode="External" Id="rId2248" /><Relationship Type="http://schemas.openxmlformats.org/officeDocument/2006/relationships/hyperlink" Target="https://contrataciondelestado.es/FileSystem/servlet/GetDocumentByIdServlet?DocumentIdParam=Xgcm4eNFeE9qN6h5vi7F4kVsljI%2B8wR0H9/%2B21VfucSdexi/2ulAZdQhPSJLdICCZliexvv9YrCUT6eMC4KnSyVTEYghCWdzPtXX7BA480zDdQD9RyhUmzT4jZ2In4zL&amp;cifrado=QUC1GjXXSiLkydRHJBmbpw%3D%3D" TargetMode="External" Id="rId2249" /><Relationship Type="http://schemas.openxmlformats.org/officeDocument/2006/relationships/hyperlink" Target="https://contrataciondelestado.es/wps/poc?uri=deeplink:detalle_licitacion&amp;idEvl=CwWsrKYWLlf%2B3JAijKO%2Bkg%3D%3D" TargetMode="External" Id="rId2250" /><Relationship Type="http://schemas.openxmlformats.org/officeDocument/2006/relationships/hyperlink" Target="https://contrataciondelestado.es/wps/poc?uri=deeplink:detalle_licitacion&amp;idEvl=mRpjWc4Nlf8wYTJJ03sHog%3D%3D" TargetMode="External" Id="rId2251"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2252" /><Relationship Type="http://schemas.openxmlformats.org/officeDocument/2006/relationships/hyperlink" Target="https://contrataciondelestado.es/wps/poc?uri=deeplink:detalle_licitacion&amp;idEvl=j1Ma%2FpYg%2F%2B2zz8fXU2i3eQ%3D%3D" TargetMode="External" Id="rId2253" /><Relationship Type="http://schemas.openxmlformats.org/officeDocument/2006/relationships/hyperlink" Target="https://contrataciondelestado.es/FileSystem/servlet/GetDocumentByIdServlet?cifrado=QUC1GjXXSiLkydRHJBmbpw%3D%3D&amp;DocumentIdParam=EuGgbSaDpqyAKQbWbPEg4bp3kAQhiPlTagzkrWdvsMoO5GjJ/u4i5ZcB4UrEhFtfZMl6WUPQ8E%2BeWZ/wI5aXq6h2Bd%2Ba4flK8NBVuwd0Pb%2BCx2e6p7hqtlp2aFupgHMr" TargetMode="External" Id="rId2254" /><Relationship Type="http://schemas.openxmlformats.org/officeDocument/2006/relationships/hyperlink" Target="https://contrataciondelestado.es/wps/poc?uri=deeplink:detalle_licitacion&amp;idEvl=ba0LqGbgB6Hmnwcj%2BxbdTg%3D%3D" TargetMode="External" Id="rId2255" /><Relationship Type="http://schemas.openxmlformats.org/officeDocument/2006/relationships/hyperlink" Target="https://contrataciondelestado.es/wps/poc?uri=deeplink:detalle_licitacion&amp;idEvl=J0I6V5E5%2BcoaF6cS8TCh%2FA%3D%3D" TargetMode="External" Id="rId2256" /><Relationship Type="http://schemas.openxmlformats.org/officeDocument/2006/relationships/hyperlink" Target="https://contrataciondelestado.es/FileSystem/servlet/GetDocumentByIdServlet?cifrado=QUC1GjXXSiLkydRHJBmbpw%3D%3D&amp;DocumentIdParam=GZ8R%2Br9UHn2E4p81DuxY/TAgA5bjLSe15v%2BFvHAo%2Bbsp1qnuj31PYjZ4nbHJks72FqH9GD2zDGJCGSVEra7Pdvw6zU3Ynofvr5K4cI0fo3qCx2e6p7hqtlp2aFupgHMr" TargetMode="External" Id="rId2257" /><Relationship Type="http://schemas.openxmlformats.org/officeDocument/2006/relationships/hyperlink" Target="https://contrataciondelestado.es/wps/poc?uri=deeplink:detalle_licitacion&amp;idEvl=2qdpV8AJNT7IGlsa0Wad%2Bw%3D%3D" TargetMode="External" Id="rId2258"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2259" /><Relationship Type="http://schemas.openxmlformats.org/officeDocument/2006/relationships/hyperlink" Target="https://contrataciondelestado.es/wps/poc?uri=deeplink:detalle_licitacion&amp;idEvl=80BhcveQ7bFJ8Trn0ZPzLw%3D%3D" TargetMode="External" Id="rId2260" /><Relationship Type="http://schemas.openxmlformats.org/officeDocument/2006/relationships/hyperlink" Target="https://contrataciondelestado.es/wps/poc?uri=deeplink:detalle_licitacion&amp;idEvl=KivX7YqAI5qqb7rCcv76BA%3D%3D" TargetMode="External" Id="rId2261" /><Relationship Type="http://schemas.openxmlformats.org/officeDocument/2006/relationships/hyperlink" Target="https://contrataciondelestado.es/FileSystem/servlet/GetDocumentByIdServlet?cifrado=QUC1GjXXSiLkydRHJBmbpw%3D%3D&amp;DocumentIdParam=S2TpWP5lrkMmABP7SgS73ZFD5kv6U3rwGUXCX9TmGxD3AFeNMYRJgRrXoa8T2xRt8VF48fbODAJo21F58/4kcMs0q2Hlu4wfMahP3fHL8jBt/o8fNevwsujgRzaBbugn" TargetMode="External" Id="rId2262" /><Relationship Type="http://schemas.openxmlformats.org/officeDocument/2006/relationships/hyperlink" Target="https://contrataciondelestado.es/wps/poc?uri=deeplink:detalle_licitacion&amp;idEvl=bFoLVVPEEqRQFSeKCRun4Q%3D%3D" TargetMode="External" Id="rId2263" /><Relationship Type="http://schemas.openxmlformats.org/officeDocument/2006/relationships/hyperlink" Target="https://contrataciondelestado.es/wps/poc?uri=deeplink:detalle_licitacion&amp;idEvl=TVkyXAkTsCHua%2Fi14w%2FPLA%3D%3D" TargetMode="External" Id="rId2264"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2265" /><Relationship Type="http://schemas.openxmlformats.org/officeDocument/2006/relationships/hyperlink" Target="https://contrataciondelestado.es/wps/poc?uri=deeplink:detalle_licitacion&amp;idEvl=f0c72UaCwQ%2B7JOCXkOhcDg%3D%3D" TargetMode="External" Id="rId2266" /><Relationship Type="http://schemas.openxmlformats.org/officeDocument/2006/relationships/hyperlink" Target="https://contrataciondelestado.es/FileSystem/servlet/GetDocumentByIdServlet?cifrado=QUC1GjXXSiLkydRHJBmbpw%3D%3D&amp;DocumentIdParam=HfOL2PcH4GbDimqQz2n4h0H7n8VVogdnwLMpsVsGgcNgLsHq%2Bq7uLH1jW9RTDq4jL1NzvEFpSdKNyI17EtJrTu9ZKv2x/Vd9gjufkcS3Iytt/o8fNevwsujgRzaBbugn" TargetMode="External" Id="rId2267" /><Relationship Type="http://schemas.openxmlformats.org/officeDocument/2006/relationships/hyperlink" Target="https://contrataciondelestado.es/wps/poc?uri=deeplink:detalle_licitacion&amp;idEvl=es0nLhoGnBV9Zh%2FyRJgM8w%3D%3D" TargetMode="External" Id="rId2268"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2269" /><Relationship Type="http://schemas.openxmlformats.org/officeDocument/2006/relationships/hyperlink" Target="https://contrataciondelestado.es/wps/poc?uri=deeplink:detalle_licitacion&amp;idEvl=xRL%2BeG9QthL%2Fa9DgO%2BoYKQ%3D%3D" TargetMode="External" Id="rId2270" /><Relationship Type="http://schemas.openxmlformats.org/officeDocument/2006/relationships/hyperlink" Target="https://contrataciondelestado.es/FileSystem/servlet/GetDocumentByIdServlet?cifrado=QUC1GjXXSiLkydRHJBmbpw%3D%3D&amp;DocumentIdParam=pftZy6EScPj1eSVXgY4Z/pla1BL1PlymxTb6i6fFtQEHoqZJxl6FP75T2/4JHU2ApekLfg/Kk86erj%2B46sJQeLHmFF10BLhjNH5DbvyfNhSCx2e6p7hqtlp2aFupgHMr" TargetMode="External" Id="rId2271" /><Relationship Type="http://schemas.openxmlformats.org/officeDocument/2006/relationships/hyperlink" Target="https://contrataciondelestado.es/wps/poc?uri=deeplink:detalle_licitacion&amp;idEvl=TMFgL%2BDGMd%2F9pbnDwlaUlg%3D%3D" TargetMode="External" Id="rId2272"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2273" /><Relationship Type="http://schemas.openxmlformats.org/officeDocument/2006/relationships/hyperlink" Target="https://contrataciondelestado.es/wps/poc?uri=deeplink:detalle_licitacion&amp;idEvl=UQ%2Fbkeh6%2B%2Bhq1DdmE7eaXg%3D%3D" TargetMode="External" Id="rId2274" /><Relationship Type="http://schemas.openxmlformats.org/officeDocument/2006/relationships/hyperlink" Target="https://contrataciondelestado.es/FileSystem/servlet/GetDocumentByIdServlet?cifrado=QUC1GjXXSiLkydRHJBmbpw%3D%3D&amp;DocumentIdParam=HJAThRkGAYP9aYroMu1oBGgThOohKDvzKdqph1n%2B8GuEC28I9N6tJMd26oUOHutnwygqZvPwt0bcRy7m35o70MX/p6t4j48UY/4N%2B9bkGclt/o8fNevwsujgRzaBbugn" TargetMode="External" Id="rId2275" /><Relationship Type="http://schemas.openxmlformats.org/officeDocument/2006/relationships/hyperlink" Target="https://contrataciondelestado.es/wps/poc?uri=deeplink:detalle_licitacion&amp;idEvl=ynX2T2b5rVri0Kd8%2Brcp6w%3D%3D" TargetMode="External" Id="rId2276"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2277" /><Relationship Type="http://schemas.openxmlformats.org/officeDocument/2006/relationships/hyperlink" Target="https://contrataciondelestado.es/wps/poc?uri=deeplink:detalle_licitacion&amp;idEvl=%2FIeClmd8bbN%2BF6L2uCfUWg%3D%3D" TargetMode="External" Id="rId2278" /><Relationship Type="http://schemas.openxmlformats.org/officeDocument/2006/relationships/hyperlink" Target="https://contrataciondelestado.es/FileSystem/servlet/GetDocumentByIdServlet?cifrado=QUC1GjXXSiLkydRHJBmbpw%3D%3D&amp;DocumentIdParam=P%2BXrr9eHQcEwwisIFef5%2BJ/zmdSWGC9Y1c/XiwjB%2BXWcAPxwsg0xSdRvebQSKFANqYNz9FGikOSNz8lb92Gky4LZ4ESunv%2B5VnP9LrJfLVMZyAJWGsSt0OzTSTyw9JAs" TargetMode="External" Id="rId2279" /><Relationship Type="http://schemas.openxmlformats.org/officeDocument/2006/relationships/hyperlink" Target="https://contrataciondelestado.es/wps/poc?uri=deeplink:detalle_licitacion&amp;idEvl=MsWAkDVP%2B6mFQ%2FlhRK79lA%3D%3D" TargetMode="External" Id="rId2280"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2281" /><Relationship Type="http://schemas.openxmlformats.org/officeDocument/2006/relationships/hyperlink" Target="https://contrataciondelestado.es/wps/poc?uri=deeplink:detalle_licitacion&amp;idEvl=gZB5%2BbIwFa%2FIGlsa0Wad%2Bw%3D%3D" TargetMode="External" Id="rId2282" /><Relationship Type="http://schemas.openxmlformats.org/officeDocument/2006/relationships/hyperlink" Target="https://contrataciondelestado.es/FileSystem/servlet/GetDocumentByIdServlet?cifrado=QUC1GjXXSiLkydRHJBmbpw%3D%3D&amp;DocumentIdParam=81cX2N%2BjD3zA4UxRO3KnenXZagTeiQ7fAaXW5FOUTECFqG9EQ03LXm5APmQLydEc9n%2By8HM8r4TrgSkCmcZ7x9Y1Th7a127LePYpdKzAKl36CYyL7SIrUOBFfNf52ZqA" TargetMode="External" Id="rId2283" /><Relationship Type="http://schemas.openxmlformats.org/officeDocument/2006/relationships/hyperlink" Target="https://contrataciondelestado.es/wps/poc?uri=deeplink:detalle_licitacion&amp;idEvl=bcArcXMtrcP5Rey58Yagpg%3D%3D" TargetMode="External" Id="rId2284" /><Relationship Type="http://schemas.openxmlformats.org/officeDocument/2006/relationships/hyperlink" Target="https://contrataciondelestado.es/FileSystem/servlet/GetDocumentByIdServlet?cifrado=QUC1GjXXSiLkydRHJBmbpw%3D%3D&amp;DocumentIdParam=Tc%2BevFewYDKgLCb0qnJJVdJZg2i5JiyXdaZfpKdnPiTGBTV2nHuaQC7jXg8W7T2zrZoI40iaNGYwG605m8Jee9oQmJn9X0VPdc0FeJ%2Bi70z6CYyL7SIrUOBFfNf52ZqA" TargetMode="External" Id="rId2285" /><Relationship Type="http://schemas.openxmlformats.org/officeDocument/2006/relationships/hyperlink" Target="https://contrataciondelestado.es/wps/poc?uri=deeplink:detalle_licitacion&amp;idEvl=dFRWUcZ5kkozjChw4z%2FXvw%3D%3D" TargetMode="External" Id="rId2286" /><Relationship Type="http://schemas.openxmlformats.org/officeDocument/2006/relationships/hyperlink" Target="https://contrataciondelestado.es/FileSystem/servlet/GetDocumentByIdServlet?cifrado=QUC1GjXXSiLkydRHJBmbpw%3D%3D&amp;DocumentIdParam=f0WKn/TOjyihzzXGt2avyCggheKZlHlbVbaoDCFUodzFljlctnIukyhcNfdIskCEignDJFNO5sXIXHJoqWSxhHEm/FeV4MwK/x96By/qYjyCx2e6p7hqtlp2aFupgHMr" TargetMode="External" Id="rId2287" /><Relationship Type="http://schemas.openxmlformats.org/officeDocument/2006/relationships/hyperlink" Target="https://contrataciondelestado.es/wps/poc?uri=deeplink:detalle_licitacion&amp;idEvl=%2F1biQqqbJFGS81gZFETWmA%3D%3D" TargetMode="External" Id="rId2288" /><Relationship Type="http://schemas.openxmlformats.org/officeDocument/2006/relationships/hyperlink" Target="https://contrataciondelestado.es/FileSystem/servlet/GetDocumentByIdServlet?cifrado=QUC1GjXXSiLkydRHJBmbpw%3D%3D&amp;DocumentIdParam=Cb3FgLsyPqCh/1qkHu94MHklrpsyxlSyuZ4kJuuSuHrdm1BOrJ9q2dCmUYDDHUMD90dqzn9GFPi50S7Bqv%2BuwQQ2EjwsUGnYI8DwHbR3CSL3GVhXrFFqN7yFncy7YfRK" TargetMode="External" Id="rId2289" /><Relationship Type="http://schemas.openxmlformats.org/officeDocument/2006/relationships/hyperlink" Target="https://contrataciondelestado.es/wps/poc?uri=deeplink:detalle_licitacion&amp;idEvl=d3RD70qDfpSFlFRHfEzEaw%3D%3D" TargetMode="External" Id="rId2290" /><Relationship Type="http://schemas.openxmlformats.org/officeDocument/2006/relationships/hyperlink" Target="https://contrataciondelestado.es/FileSystem/servlet/GetDocumentByIdServlet?cifrado=QUC1GjXXSiLkydRHJBmbpw%3D%3D&amp;DocumentIdParam=VI3xA2IjraSbbNiyq5c3%2BhC6rsu8Rm4xBnp4c8u8IpZwHfNPgxDf7xm1kZBnPeGvMfyK1rUurSQM2qMpzE7gc4FNACdHqxnpHSKbJLIJVrwZyAJWGsSt0OzTSTyw9JAs" TargetMode="External" Id="rId2291" /><Relationship Type="http://schemas.openxmlformats.org/officeDocument/2006/relationships/hyperlink" Target="https://contrataciondelestado.es/wps/poc?uri=deeplink:detalle_licitacion&amp;idEvl=WzKH%2FCL9hb9SYrkJkLlFdw%3D%3D" TargetMode="External" Id="rId2292" /><Relationship Type="http://schemas.openxmlformats.org/officeDocument/2006/relationships/hyperlink" Target="https://contrataciondelestado.es/FileSystem/servlet/GetDocumentByIdServlet?cifrado=QUC1GjXXSiLkydRHJBmbpw%3D%3D&amp;DocumentIdParam=Sy8VgnKwXeFFoDrzp%2B1e1crOF3O/MDrhQ0KUVVya/0m9N2RQXbWlNwmbKprZVNsWxLkpCx2X7KV08fLWoZoGQgTr5UYKmC9BZHyVCQ2DLqN7QB3HKyQaFUExmUVQCerk" TargetMode="External" Id="rId2293" /><Relationship Type="http://schemas.openxmlformats.org/officeDocument/2006/relationships/hyperlink" Target="https://contrataciondelestado.es/wps/poc?uri=deeplink:detalle_licitacion&amp;idEvl=N4pk1Xzr479rhBlEHQFSKA%3D%3D" TargetMode="External" Id="rId2294" /><Relationship Type="http://schemas.openxmlformats.org/officeDocument/2006/relationships/hyperlink" Target="https://contrataciondelestado.es/FileSystem/servlet/GetDocumentByIdServlet?cifrado=QUC1GjXXSiLkydRHJBmbpw%3D%3D&amp;DocumentIdParam=h3ernJNaaJ8e602LnWH3/wg9hbtD0O%2B6hYawleUAo721zAs1kep5IUXGs3%2BpsLjdpxNaY55FZHjtal%2Bul6cMuwBbcDKWe9eeEBx9EZeGue545ClyWkoJ44mKM70IFcOu" TargetMode="External" Id="rId2295" /><Relationship Type="http://schemas.openxmlformats.org/officeDocument/2006/relationships/hyperlink" Target="https://contrataciondelestado.es/wps/poc?uri=deeplink:detalle_licitacion&amp;idEvl=GEuTQw66uF7VGIpKDxgsAQ%3D%3D" TargetMode="External" Id="rId2296" /><Relationship Type="http://schemas.openxmlformats.org/officeDocument/2006/relationships/hyperlink" Target="https://contrataciondelestado.es/FileSystem/servlet/GetDocumentByIdServlet?cifrado=QUC1GjXXSiLkydRHJBmbpw%3D%3D&amp;DocumentIdParam=7SfJagxWYIuQ%2BPatvkup9yJapyZDHUNpiLiOSvGR1XFgpYM1mKlLnZ2mXcOQ%2Be4m76hOlLc4XxIiBnzeppGPtPoEsPS7z5Nwvvwd%2B0xnms/VTD3T98KC0nSgQFM0q%2B5s" TargetMode="External" Id="rId2297" /><Relationship Type="http://schemas.openxmlformats.org/officeDocument/2006/relationships/hyperlink" Target="https://contrataciondelestado.es/wps/poc?uri=deeplink:detalle_licitacion&amp;idEvl=0kfM1WlYQaomMOlAXxDEjw%3D%3D" TargetMode="External" Id="rId2298"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2299" /><Relationship Type="http://schemas.openxmlformats.org/officeDocument/2006/relationships/hyperlink" Target="https://contrataciondelestado.es/wps/poc?uri=deeplink:detalle_licitacion&amp;idEvl=2H3qFmZF5PtxseVhcqrkhw%3D%3D" TargetMode="External" Id="rId2300" /><Relationship Type="http://schemas.openxmlformats.org/officeDocument/2006/relationships/hyperlink" Target="https://contrataciondelestado.es/FileSystem/servlet/GetDocumentByIdServlet?cifrado=QUC1GjXXSiLkydRHJBmbpw%3D%3D&amp;DocumentIdParam=SjFqutA60hGWMQcsNei7UNJV/Tc0FJOhsmtoLD//CfhhCA3lj69h4hZuswu7/uUGPQ/eba/bSVCQqyn82xe35JTCSZeJvzRLPvKvaFBnpN/3GVhXrFFqN7yFncy7YfRK" TargetMode="External" Id="rId2301" /><Relationship Type="http://schemas.openxmlformats.org/officeDocument/2006/relationships/hyperlink" Target="https://contrataciondelestado.es/wps/poc?uri=deeplink:detalle_licitacion&amp;idEvl=uGbSVvAY3rt%2FP7lJ7Fu0SA%3D%3D" TargetMode="External" Id="rId2302" /><Relationship Type="http://schemas.openxmlformats.org/officeDocument/2006/relationships/hyperlink" Target="https://contrataciondelestado.es/FileSystem/servlet/GetDocumentByIdServlet?cifrado=QUC1GjXXSiLkydRHJBmbpw%3D%3D&amp;DocumentIdParam=JgG%2B6YvM2dqKT%2BVsaUQ4Dp3AyLF3DBuG0FHWlcQJC5AnYLDiUBjd1UlLa49AC/rsnnTCLlTVw26OBYmbXuPklXsGfQHms0BxGFO8rfhpYc/VTD3T98KC0nSgQFM0q%2B5s" TargetMode="External" Id="rId2303" /><Relationship Type="http://schemas.openxmlformats.org/officeDocument/2006/relationships/hyperlink" Target="https://contrataciondelestado.es/wps/poc?uri=deeplink:detalle_licitacion&amp;idEvl=BS4hZ485hZgadbH3CysQuQ%3D%3D" TargetMode="External" Id="rId2304"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2305" /><Relationship Type="http://schemas.openxmlformats.org/officeDocument/2006/relationships/hyperlink" Target="https://contrataciondelestado.es/wps/poc?uri=deeplink:detalle_licitacion&amp;idEvl=QFoJCM8KB2hLAIVZdUs8KA%3D%3D" TargetMode="External" Id="rId2306" /><Relationship Type="http://schemas.openxmlformats.org/officeDocument/2006/relationships/hyperlink" Target="https://contrataciondelestado.es/FileSystem/servlet/GetDocumentByIdServlet?cifrado=QUC1GjXXSiLkydRHJBmbpw%3D%3D&amp;DocumentIdParam=0iXTfXQj/TqSnpBHmPtiyrnWS5423uAOyTVET/N1PISqNFUOTDWUtrEF3St9O%2B1122FiXhSsUtBBxhudTqE008CCFE14M24rzvmGfVexh16Cx2e6p7hqtlp2aFupgHMr" TargetMode="External" Id="rId2307" /><Relationship Type="http://schemas.openxmlformats.org/officeDocument/2006/relationships/hyperlink" Target="https://contrataciondelestado.es/wps/poc?uri=deeplink:detalle_licitacion&amp;idEvl=KnSyMkDvYK6ExvMJXBMHHQ%3D%3D" TargetMode="External" Id="rId2308" /><Relationship Type="http://schemas.openxmlformats.org/officeDocument/2006/relationships/hyperlink" Target="https://contrataciondelestado.es/FileSystem/servlet/GetDocumentByIdServlet?cifrado=QUC1GjXXSiLkydRHJBmbpw%3D%3D&amp;DocumentIdParam=vjpdFNGIVuc16ARkOWG6Q8I0Tbvp/G2xa43Nr/rhDwiu7yxiMqjZzU%2BqYccXNQLRPQld/yFrhqGdaEdzsTJ8NiSH6IhvY59/06qynzhy5SFt/o8fNevwsujgRzaBbugn" TargetMode="External" Id="rId2309" /><Relationship Type="http://schemas.openxmlformats.org/officeDocument/2006/relationships/hyperlink" Target="https://contrataciondelestado.es/wps/poc?uri=deeplink:detalle_licitacion&amp;idEvl=l2rGhcJQ2m%2BKeVWTb9Scog%3D%3D" TargetMode="External" Id="rId2310"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2311" /><Relationship Type="http://schemas.openxmlformats.org/officeDocument/2006/relationships/hyperlink" Target="https://contrataciondelestado.es/wps/poc?uri=deeplink:detalle_licitacion&amp;idEvl=cnkwhK21NNHzAq95uGTrDQ%3D%3D" TargetMode="External" Id="rId2312" /><Relationship Type="http://schemas.openxmlformats.org/officeDocument/2006/relationships/hyperlink" Target="https://contrataciondelestado.es/FileSystem/servlet/GetDocumentByIdServlet?cifrado=QUC1GjXXSiLkydRHJBmbpw%3D%3D&amp;DocumentIdParam=/Wx6IHc87DP%2BPhhK9K/Vj3tbibRf/4HRIsQYGv0Y38noKP8zw2XAX/0qJ8pYTpPVSTZdKipTWdj/5aSKdxpVyI9ssCH9FtM5cbXgZlyCBRm1aXEvq3KHa/AEHgtDrQw0" TargetMode="External" Id="rId2313" /><Relationship Type="http://schemas.openxmlformats.org/officeDocument/2006/relationships/hyperlink" Target="https://contrataciondelestado.es/wps/poc?uri=deeplink:detalle_licitacion&amp;idEvl=iFMI19lXBddJ8Trn0ZPzLw%3D%3D" TargetMode="External" Id="rId2314" /><Relationship Type="http://schemas.openxmlformats.org/officeDocument/2006/relationships/hyperlink" Target="https://contrataciondelestado.es/FileSystem/servlet/GetDocumentByIdServlet?cifrado=QUC1GjXXSiLkydRHJBmbpw%3D%3D&amp;DocumentIdParam=d5odCYECRvRPVfXxQXv0%2BYIA/1kYz5qXHjdFo3Yo1jZRSSN04bFLtQSFv8I3M2YtcXRpIxiStMnnvrCFGMS79f3%2BlrMsuiWlAed5Tgs/Gpw//q7NB2iMZvNyf0xrJmjt" TargetMode="External" Id="rId2315" /><Relationship Type="http://schemas.openxmlformats.org/officeDocument/2006/relationships/hyperlink" Target="https://contrataciondelestado.es/wps/poc?uri=deeplink:detalle_licitacion&amp;idEvl=h1bV%2FOuOm9vzAq95uGTrDQ%3D%3D" TargetMode="External" Id="rId2316" /><Relationship Type="http://schemas.openxmlformats.org/officeDocument/2006/relationships/hyperlink" Target="https://contrataciondelestado.es/FileSystem/servlet/GetDocumentByIdServlet?cifrado=QUC1GjXXSiLkydRHJBmbpw%3D%3D&amp;DocumentIdParam=MPk6/HF5qnVP1sGqAHKI3hkN%2BGq5U00rI/h7EfcqiYm1qZz1zcqPzV9gcBlm/27oFGffKpK3wUDdQPXntg5V48Zp25V2rppEEk8ixr3tghG1aXEvq3KHa/AEHgtDrQw0" TargetMode="External" Id="rId2317" /><Relationship Type="http://schemas.openxmlformats.org/officeDocument/2006/relationships/hyperlink" Target="https://contrataciondelestado.es/wps/poc?uri=deeplink:detalle_licitacion&amp;idEvl=esIKeutzbA35Rey58Yagpg%3D%3D" TargetMode="External" Id="rId2318"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2319" /><Relationship Type="http://schemas.openxmlformats.org/officeDocument/2006/relationships/hyperlink" Target="https://contrataciondelestado.es/wps/poc?uri=deeplink:detalle_licitacion&amp;idEvl=2Ij5Yt3CdUJq1DdmE7eaXg%3D%3D" TargetMode="External" Id="rId2320" /><Relationship Type="http://schemas.openxmlformats.org/officeDocument/2006/relationships/hyperlink" Target="https://contrataciondelestado.es/FileSystem/servlet/GetDocumentByIdServlet?cifrado=QUC1GjXXSiLkydRHJBmbpw%3D%3D&amp;DocumentIdParam=GMmQQ%2Bp7xYZBsvfi1w8nf6EWDwcLJH3NZipdEG5koJXX2hFzgKrx8UkqI5bg1GPV8QG4f3mizspZ67Xs3oIWJZ4pQu/BHbMzp69%2BfXBKOC945ClyWkoJ44mKM70IFcOu" TargetMode="External" Id="rId2321" /><Relationship Type="http://schemas.openxmlformats.org/officeDocument/2006/relationships/hyperlink" Target="https://contrataciondelestado.es/wps/poc?uri=deeplink:detalle_licitacion&amp;idEvl=sV0OuGIhEZES7pcxhTeWOg%3D%3D" TargetMode="External" Id="rId2322" /><Relationship Type="http://schemas.openxmlformats.org/officeDocument/2006/relationships/hyperlink" Target="https://contrataciondelestado.es/FileSystem/servlet/GetDocumentByIdServlet?cifrado=QUC1GjXXSiLkydRHJBmbpw%3D%3D&amp;DocumentIdParam=cZpeor4HLvhZ14vPEgqxlA3rHwO%2B8qB%2Bvs6EL6JC6hefriIFQiKE3Zxp5UKDVHP21NiQAhzJcuP/hEfMX6vvlbDQ8XRFul%2B12Nee9/rM1jEC1/zDIE0Kw/PWNnLS0Z0z" TargetMode="External" Id="rId2323" /><Relationship Type="http://schemas.openxmlformats.org/officeDocument/2006/relationships/hyperlink" Target="https://contrataciondelestado.es/wps/poc?uri=deeplink:detalle_licitacion&amp;idEvl=9tmdd%2B3Ct5fVGIpKDxgsAQ%3D%3D" TargetMode="External" Id="rId2324" /><Relationship Type="http://schemas.openxmlformats.org/officeDocument/2006/relationships/hyperlink" Target="https://contrataciondelestado.es/FileSystem/servlet/GetDocumentByIdServlet?cifrado=QUC1GjXXSiLkydRHJBmbpw%3D%3D&amp;DocumentIdParam=fWh/oFEtvOL4fshOilgm6FK0Lb9XHGZelUc0qOAfQUWhYEbD8NSrrBx3RhGyFKe9DBBiYy/VTU%2BkDiV6LVM7JMjSenqBIHZZNlgQ7IfqYQe1aXEvq3KHa/AEHgtDrQw0" TargetMode="External" Id="rId2325" /><Relationship Type="http://schemas.openxmlformats.org/officeDocument/2006/relationships/hyperlink" Target="https://contrataciondelestado.es/wps/poc?uri=deeplink:detalle_licitacion&amp;idEvl=Re85QmZ4t%2B1%2FP7lJ7Fu0SA%3D%3D" TargetMode="External" Id="rId2326" /><Relationship Type="http://schemas.openxmlformats.org/officeDocument/2006/relationships/hyperlink" Target="https://contrataciondelestado.es/FileSystem/servlet/GetDocumentByIdServlet?cifrado=QUC1GjXXSiLkydRHJBmbpw%3D%3D&amp;DocumentIdParam=ljJZKAEkSp7rodSaLnsGBAMYm8wnwBME8HbJ8c5KuIpNJ/R4FWqCKGJtC/FQ22OMTys2TygC4bWbQ6t3YyYRQ9uBdLiYvgB%2BR/MYygo07z/VTD3T98KC0nSgQFM0q%2B5s" TargetMode="External" Id="rId2327" /><Relationship Type="http://schemas.openxmlformats.org/officeDocument/2006/relationships/hyperlink" Target="https://contrataciondelestado.es/wps/poc?uri=deeplink:detalle_licitacion&amp;idEvl=4v31HQEJPNmFlFRHfEzEaw%3D%3D" TargetMode="External" Id="rId2328" /><Relationship Type="http://schemas.openxmlformats.org/officeDocument/2006/relationships/hyperlink" Target="https://contrataciondelestado.es/FileSystem/servlet/GetDocumentByIdServlet?cifrado=QUC1GjXXSiLkydRHJBmbpw%3D%3D&amp;DocumentIdParam=WW2aXCv4CZYnsTSKyqgXUorgM2WfYCT4LpbcwMQQRY2sqwVCrTuz/VgEiPPFTLQpuPHzNioPy%2BEWPGCZyJtxJM/hl3eZQlBX1WxJekShNRvVTD3T98KC0nSgQFM0q%2B5s" TargetMode="External" Id="rId2329" /><Relationship Type="http://schemas.openxmlformats.org/officeDocument/2006/relationships/hyperlink" Target="https://contrataciondelestado.es/wps/poc?uri=deeplink:detalle_licitacion&amp;idEvl=SsXtFbDlwG%2F9pbnDwlaUlg%3D%3D" TargetMode="External" Id="rId2330" /><Relationship Type="http://schemas.openxmlformats.org/officeDocument/2006/relationships/hyperlink" Target="https://contrataciondelestado.es/FileSystem/servlet/GetDocumentByIdServlet?cifrado=QUC1GjXXSiLkydRHJBmbpw%3D%3D&amp;DocumentIdParam=tg4YL/xZM2zdCii/a9/vZYJ7x%2BW/uhhRmvrPyvRTA7wWgm%2B4eIHBEo3mFsfEHyvDR3Ghg/mTA7NWuO9Z96pM6e8MPT6kKUSn4KCkt2qwTVNJOVDbGCDM%2BMigrvuVS7Rv" TargetMode="External" Id="rId2331" /><Relationship Type="http://schemas.openxmlformats.org/officeDocument/2006/relationships/hyperlink" Target="https://contrataciondelestado.es/wps/poc?uri=deeplink:detalle_licitacion&amp;idEvl=mcT6ObGL2CrECtSnloz%2BZQ%3D%3D" TargetMode="External" Id="rId2332" /><Relationship Type="http://schemas.openxmlformats.org/officeDocument/2006/relationships/hyperlink" Target="https://contrataciondelestado.es/FileSystem/servlet/GetDocumentByIdServlet?cifrado=QUC1GjXXSiLkydRHJBmbpw%3D%3D&amp;DocumentIdParam=FAY8WsZhV1jUE6rnKvBbtKPfs/8izsN9rIreRAWzeZuyrk/xajB4Bfb/F9DlOl0k2dbQSojS9atHyLiiKa8obuC86F0hcv3NePtkU2kFORX6CYyL7SIrUOBFfNf52ZqA" TargetMode="External" Id="rId2333" /><Relationship Type="http://schemas.openxmlformats.org/officeDocument/2006/relationships/hyperlink" Target="https://contrataciondelestado.es/wps/poc?uri=deeplink:detalle_licitacion&amp;idEvl=4vFZYoEWBByKeVWTb9Scog%3D%3D" TargetMode="External" Id="rId2334" /><Relationship Type="http://schemas.openxmlformats.org/officeDocument/2006/relationships/hyperlink" Target="https://contrataciondelestado.es/FileSystem/servlet/GetDocumentByIdServlet?cifrado=QUC1GjXXSiLkydRHJBmbpw%3D%3D&amp;DocumentIdParam=lIWKop0FieoGcEADg0tdLevd9gmyCczdlS%2BjS5YRiIL0247egIlsWkv/olGd81DMqPA2x/oY3YdpF5HF1c4CKnI2B6isMEAH/EzaM/wIsGJJOVDbGCDM%2BMigrvuVS7Rv" TargetMode="External" Id="rId2335" /><Relationship Type="http://schemas.openxmlformats.org/officeDocument/2006/relationships/hyperlink" Target="https://contrataciondelestado.es/wps/poc?uri=deeplink:detalle_licitacion&amp;idEvl=c%2FAYe%2BKi2U2S81gZFETWmA%3D%3D" TargetMode="External" Id="rId2336"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2337" /><Relationship Type="http://schemas.openxmlformats.org/officeDocument/2006/relationships/hyperlink" Target="https://contrataciondelestado.es/wps/poc?uri=deeplink:detalle_licitacion&amp;idEvl=%2BEf8aQfWqk5q1DdmE7eaXg%3D%3D" TargetMode="External" Id="rId2338" /><Relationship Type="http://schemas.openxmlformats.org/officeDocument/2006/relationships/hyperlink" Target="https://contrataciondelestado.es/FileSystem/servlet/GetDocumentByIdServlet?cifrado=QUC1GjXXSiLkydRHJBmbpw%3D%3D&amp;DocumentIdParam=9kELR3FHX4XUo47J6d%2Blc2HkwxtIcBBwv0rQ70Rb0FbiFj/DCMAsXbUeiCbf%2BoMXSdMu/NwKDPje429IQet9YqIM%2By4C%2BiToz/zvtIN5XsUC1/zDIE0Kw/PWNnLS0Z0z" TargetMode="External" Id="rId2339" /><Relationship Type="http://schemas.openxmlformats.org/officeDocument/2006/relationships/hyperlink" Target="https://contrataciondelestado.es/wps/poc?uri=deeplink:detalle_licitacion&amp;idEvl=MLR%2FVZ%2FeRM%2BS81gZFETWmA%3D%3D" TargetMode="External" Id="rId2340" /><Relationship Type="http://schemas.openxmlformats.org/officeDocument/2006/relationships/hyperlink" Target="https://contrataciondelestado.es/FileSystem/servlet/GetDocumentByIdServlet?cifrado=QUC1GjXXSiLkydRHJBmbpw%3D%3D&amp;DocumentIdParam=ocgJRLKhbmPL7Hk3mDjRdcx67prq2FiKovn%2BZfPNg2DzGg0f/rXmMvwHkfyQ3aY9yJbn2uRZyVujMbMqsNQv3Q3e4UwGmwxGWkhMcLu%2BCNUZyAJWGsSt0OzTSTyw9JAs" TargetMode="External" Id="rId2341" /><Relationship Type="http://schemas.openxmlformats.org/officeDocument/2006/relationships/hyperlink" Target="https://contrataciondelestado.es/wps/poc?uri=deeplink:detalle_licitacion&amp;idEvl=ZlRe905p7%2BacTfjQf3USOg%3D%3D" TargetMode="External" Id="rId2342" /><Relationship Type="http://schemas.openxmlformats.org/officeDocument/2006/relationships/hyperlink" Target="https://contrataciondelestado.es/wps/poc?uri=deeplink:detalle_licitacion&amp;idEvl=S0kk26g%2BKQ0aF6cS8TCh%2FA%3D%3D" TargetMode="External" Id="rId2343" /><Relationship Type="http://schemas.openxmlformats.org/officeDocument/2006/relationships/hyperlink" Target="https://contrataciondelestado.es/FileSystem/servlet/GetDocumentByIdServlet?cifrado=QUC1GjXXSiLkydRHJBmbpw%3D%3D&amp;DocumentIdParam=kchPjsLQdDfNt7vZdEC6tTyFGW82Ze0o2tgy6Ewlja0DWFD9WzzVy5f%2BUl5pE2kibGymcrl98IaReIX4/clfV0qWwNDIu8zrT10aR6qlp/9JOVDbGCDM%2BMigrvuVS7Rv" TargetMode="External" Id="rId2344" /><Relationship Type="http://schemas.openxmlformats.org/officeDocument/2006/relationships/hyperlink" Target="https://contrataciondelestado.es/wps/poc?uri=deeplink:detalle_licitacion&amp;idEvl=Ot1QjGYxdYi9Hd5zqvq9cg%3D%3D" TargetMode="External" Id="rId2345" /><Relationship Type="http://schemas.openxmlformats.org/officeDocument/2006/relationships/hyperlink" Target="https://contrataciondelestado.es/wps/poc?uri=deeplink:detalle_licitacion&amp;idEvl=9zEPTy%2FR9ivCfVQHDepjGQ%3D%3D" TargetMode="External" Id="rId2346" /><Relationship Type="http://schemas.openxmlformats.org/officeDocument/2006/relationships/hyperlink" Target="https://contrataciondelestado.es/FileSystem/servlet/GetDocumentByIdServlet?cifrado=QUC1GjXXSiLkydRHJBmbpw%3D%3D&amp;DocumentIdParam=LyreUscVKUtqY61feO79SVX0%2BBz82k5fePDIlNuB8wNKWNRA7KFbC/MZCy0smdtIefLZP5GAGQnu9EgFp0vPVyjNdG/9iV9XrHh27bHMGk5JOVDbGCDM%2BMigrvuVS7Rv" TargetMode="External" Id="rId2347" /><Relationship Type="http://schemas.openxmlformats.org/officeDocument/2006/relationships/hyperlink" Target="https://contrataciondelestado.es/wps/poc?uri=deeplink:detalle_licitacion&amp;idEvl=ZCVFc8BLWSPua%2Fi14w%2FPLA%3D%3D" TargetMode="External" Id="rId2348"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2349" /><Relationship Type="http://schemas.openxmlformats.org/officeDocument/2006/relationships/hyperlink" Target="https://contrataciondelestado.es/wps/poc?uri=deeplink:detalle_licitacion&amp;idEvl=6jTsxSj25wheKgd8LfVV9g%3D%3D" TargetMode="External" Id="rId2350"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2351" /><Relationship Type="http://schemas.openxmlformats.org/officeDocument/2006/relationships/hyperlink" Target="https://contrataciondelestado.es/wps/poc?uri=deeplink:detalle_licitacion&amp;idEvl=slCnKteaz5X%2B3JAijKO%2Bkg%3D%3D" TargetMode="External" Id="rId2352" /><Relationship Type="http://schemas.openxmlformats.org/officeDocument/2006/relationships/hyperlink" Target="https://contrataciondelestado.es/FileSystem/servlet/GetDocumentByIdServlet?cifrado=QUC1GjXXSiLkydRHJBmbpw%3D%3D&amp;DocumentIdParam=aGBPSMdKhBoHVdi6zTlf4m4Zd8E58UAYo0HWtDRQ8DTdKoeHLV%2B%2B3KXnmfgIzDZD6Vuw7%2BnwWOlA/2ejNw/Z06Mhrxwk2vCZyZEdd2gLcH33GVhXrFFqN7yFncy7YfRK" TargetMode="External" Id="rId2353" /><Relationship Type="http://schemas.openxmlformats.org/officeDocument/2006/relationships/hyperlink" Target="https://contrataciondelestado.es/wps/poc?uri=deeplink:detalle_licitacion&amp;idEvl=jV3BFDTzbLeIzo3LHNPGcQ%3D%3D" TargetMode="External" Id="rId2354" /><Relationship Type="http://schemas.openxmlformats.org/officeDocument/2006/relationships/hyperlink" Target="https://contrataciondelestado.es/FileSystem/servlet/GetDocumentByIdServlet?cifrado=QUC1GjXXSiLkydRHJBmbpw%3D%3D&amp;DocumentIdParam=qm50hr20sdVftR8S7biVQl1S1vw71WhtY7PZ4o90%2BQOHxi35zFfvX6dleoKs%2BCMac/7AEiRUFgkncvItWQvR3W4BPt5MV4dP8s8xx%2BsNgz3fdyQgZAdTm3EfcUAC7CJ6" TargetMode="External" Id="rId2355" /><Relationship Type="http://schemas.openxmlformats.org/officeDocument/2006/relationships/hyperlink" Target="https://contrataciondelestado.es/wps/poc?uri=deeplink:detalle_licitacion&amp;idEvl=MoZzxIt3XrTmnwcj%2BxbdTg%3D%3D" TargetMode="External" Id="rId2356" /><Relationship Type="http://schemas.openxmlformats.org/officeDocument/2006/relationships/hyperlink" Target="https://contrataciondelestado.es/FileSystem/servlet/GetDocumentByIdServlet?cifrado=QUC1GjXXSiLkydRHJBmbpw%3D%3D&amp;DocumentIdParam=G%2Bz0RGtJ5C2LKTuO8IKqnVR%2BxP39hnFUW8wopRk3PYqCp3608FVUssIIzjlipimoqSqVaB/5pMqlI/tXZsSraTcc9PvwsjUuQmKg4m2wqXbfdyQgZAdTm3EfcUAC7CJ6" TargetMode="External" Id="rId2357" /><Relationship Type="http://schemas.openxmlformats.org/officeDocument/2006/relationships/hyperlink" Target="https://contrataciondelestado.es/wps/poc?uri=deeplink:detalle_licitacion&amp;idEvl=yPfZK8S2dYcaF6cS8TCh%2FA%3D%3D" TargetMode="External" Id="rId2358" /><Relationship Type="http://schemas.openxmlformats.org/officeDocument/2006/relationships/hyperlink" Target="https://contrataciondelestado.es/FileSystem/servlet/GetDocumentByIdServlet?cifrado=QUC1GjXXSiLkydRHJBmbpw%3D%3D&amp;DocumentIdParam=VArgmGloiQfi/A7vv7rr9zIWdueR9Y6EhR1a49H8deFc0OCLJ58TIST7rCADvTzrvGtp9oAzzc1MNPd6GnZ08IahuF83FQLYQEI7WNVvGSuHAj0WEJrB5sP7amrh2jBD" TargetMode="External" Id="rId2359" /><Relationship Type="http://schemas.openxmlformats.org/officeDocument/2006/relationships/hyperlink" Target="https://contrataciondelestado.es/wps/poc?uri=deeplink:detalle_licitacion&amp;idEvl=PglHM%2Fz52KW7JOCXkOhcDg%3D%3D" TargetMode="External" Id="rId2360" /><Relationship Type="http://schemas.openxmlformats.org/officeDocument/2006/relationships/hyperlink" Target="https://contrataciondelestado.es/FileSystem/servlet/GetDocumentByIdServlet?cifrado=QUC1GjXXSiLkydRHJBmbpw%3D%3D&amp;DocumentIdParam=1MK0QbExv3FQOwhh5H1JUjkqwcSGsTtQWNjBjwM8W3TyfNmP9bhqIK5F%2B3/6Y0OmONfMsH2YcRKO%2BqjORTiqBWEbi2CSTLw6dADZy8xNw16Cx2e6p7hqtlp2aFupgHMr" TargetMode="External" Id="rId2361" /><Relationship Type="http://schemas.openxmlformats.org/officeDocument/2006/relationships/hyperlink" Target="https://contrataciondelestado.es/wps/poc?uri=deeplink:detalle_licitacion&amp;idEvl=AtlhJEny2aYkJPJS%2BPS9vg%3D%3D" TargetMode="External" Id="rId2362" /><Relationship Type="http://schemas.openxmlformats.org/officeDocument/2006/relationships/hyperlink" Target="https://contrataciondelestado.es/FileSystem/servlet/GetDocumentByIdServlet?cifrado=QUC1GjXXSiLkydRHJBmbpw%3D%3D&amp;DocumentIdParam=NYlDkDaWna03qm7Tshy/hhBjaivnLPSB2wWHchieqnu7s7Q26J26oulaIQehlw1dz11T7HfbpQQHUjgCOc4Cbcs%2BqidTud5fWUWP14hlEAiHAj0WEJrB5sP7amrh2jBD" TargetMode="External" Id="rId2363" /><Relationship Type="http://schemas.openxmlformats.org/officeDocument/2006/relationships/hyperlink" Target="https://contrataciondelestado.es/wps/poc?uri=deeplink:detalle_licitacion&amp;idEvl=9gtJbAeMVTdxseVhcqrkhw%3D%3D" TargetMode="External" Id="rId2364" /><Relationship Type="http://schemas.openxmlformats.org/officeDocument/2006/relationships/hyperlink" Target="https://contrataciondelestado.es/FileSystem/servlet/GetDocumentByIdServlet?cifrado=QUC1GjXXSiLkydRHJBmbpw%3D%3D&amp;DocumentIdParam=Aq9y8laoaf/DMoM8dLf5sOvfnWC0aFve1wAxFs75KksOEzb01phpW242gxsNKnV%2BUq6BonAmieybEjbRrOUopRTJLOQFjVuCUV0pOnQrEEF45ClyWkoJ44mKM70IFcOu" TargetMode="External" Id="rId2365" /><Relationship Type="http://schemas.openxmlformats.org/officeDocument/2006/relationships/hyperlink" Target="https://contrataciondelestado.es/wps/poc?uri=deeplink:detalle_licitacion&amp;idEvl=4rSV3ZTsWvL10HRJw8TEnQ%3D%3D" TargetMode="External" Id="rId2366"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2367" /><Relationship Type="http://schemas.openxmlformats.org/officeDocument/2006/relationships/hyperlink" Target="https://contrataciondelestado.es/wps/poc?uri=deeplink:detalle_licitacion&amp;idEvl=GLdtlq2stPQkJPJS%2BPS9vg%3D%3D" TargetMode="External" Id="rId2368" /><Relationship Type="http://schemas.openxmlformats.org/officeDocument/2006/relationships/hyperlink" Target="https://contrataciondelestado.es/FileSystem/servlet/GetDocumentByIdServlet?cifrado=QUC1GjXXSiLkydRHJBmbpw%3D%3D&amp;DocumentIdParam=GupH8rQQKerrsF/1ZEMLFMT%2Bc9GEBY7w2lwEteRGQIRXA40ZFXEV5ih6ZcTeLwjXgU0jf6v5gsisGSy9icLJIkyBBA8aODFaRcEG624CB7%2BB0nvVKRzfe4rpHcnlPhSZ" TargetMode="External" Id="rId2369" /><Relationship Type="http://schemas.openxmlformats.org/officeDocument/2006/relationships/hyperlink" Target="https://contrataciondelestado.es/wps/poc?uri=deeplink:detalle_licitacion&amp;idEvl=3KzZdaHsB4m5HQrHoP3G5A%3D%3D" TargetMode="External" Id="rId2370" /><Relationship Type="http://schemas.openxmlformats.org/officeDocument/2006/relationships/hyperlink" Target="https://contrataciondelestado.es/FileSystem/servlet/GetDocumentByIdServlet?cifrado=QUC1GjXXSiLkydRHJBmbpw%3D%3D&amp;DocumentIdParam=qS9Qm27knPxAPSmAgS/RXpahuK8uO1/zTqKklpoTo44C8qUQtkpni7zKr/pgvYsGax34WUvS/ZNFs%2Bz0DlasAMtJStS33kXZCklLPTSq8%2BtJOVDbGCDM%2BMigrvuVS7Rv" TargetMode="External" Id="rId2371" /><Relationship Type="http://schemas.openxmlformats.org/officeDocument/2006/relationships/hyperlink" Target="https://contrataciondelestado.es/wps/poc?uri=deeplink:detalle_licitacion&amp;idEvl=NsRG0lkQ5k3i0Kd8%2Brcp6w%3D%3D" TargetMode="External" Id="rId2372" /><Relationship Type="http://schemas.openxmlformats.org/officeDocument/2006/relationships/hyperlink" Target="https://contrataciondelestado.es/FileSystem/servlet/GetDocumentByIdServlet?cifrado=QUC1GjXXSiLkydRHJBmbpw%3D%3D&amp;DocumentIdParam=U6eIwGzn/UbRAsTDyRrKVoI%2BiK6GQBM9KTykjA6dupd5mQbpgHqQd3scPcp0Z29Ythy3yUc%2B%2BJ7JFivIDuA4CsR5D5%2BHmBIl0ze5wB1cLatt/o8fNevwsujgRzaBbugn" TargetMode="External" Id="rId2373" /><Relationship Type="http://schemas.openxmlformats.org/officeDocument/2006/relationships/hyperlink" Target="https://contrataciondelestado.es/wps/poc?uri=deeplink:detalle_licitacion&amp;idEvl=uFEEgLj3MHoadbH3CysQuQ%3D%3D" TargetMode="External" Id="rId2374" /><Relationship Type="http://schemas.openxmlformats.org/officeDocument/2006/relationships/hyperlink" Target="https://contrataciondelestado.es/FileSystem/servlet/GetDocumentByIdServlet?cifrado=QUC1GjXXSiLkydRHJBmbpw%3D%3D&amp;DocumentIdParam=sXKFto/QLE0Ut0KdA/gdmUlMCghpTJyYfPkx3g37UOKfROblHgfsjcdZqmoXHZe9u8ccElGA0LdJPdkqzDOPgFcgec6BcfkDveP%2Bv4uLb3ffdyQgZAdTm3EfcUAC7CJ6" TargetMode="External" Id="rId2375" /><Relationship Type="http://schemas.openxmlformats.org/officeDocument/2006/relationships/hyperlink" Target="https://contrataciondelestado.es/wps/poc?uri=deeplink:detalle_licitacion&amp;idEvl=XiwyTDP5bJni0Kd8%2Brcp6w%3D%3D" TargetMode="External" Id="rId2376" /><Relationship Type="http://schemas.openxmlformats.org/officeDocument/2006/relationships/hyperlink" Target="https://contrataciondelestado.es/FileSystem/servlet/GetDocumentByIdServlet?cifrado=QUC1GjXXSiLkydRHJBmbpw%3D%3D&amp;DocumentIdParam=FZJMNZcey3xG/kVX7sg3WGm3Eqms6KDkJt0NZtS6tckhvgCcl7Gosoolf3rvecv/5ImmIAQ5rSCgoVxPMSOgV4driRQpoyUNf7FCs3Y9qmLDdQD9RyhUmzT4jZ2In4zL" TargetMode="External" Id="rId2377" /><Relationship Type="http://schemas.openxmlformats.org/officeDocument/2006/relationships/hyperlink" Target="https://contrataciondelestado.es/wps/poc?uri=deeplink:detalle_licitacion&amp;idEvl=r8KEPNmeXi%2BIzo3LHNPGcQ%3D%3D" TargetMode="External" Id="rId2378" /><Relationship Type="http://schemas.openxmlformats.org/officeDocument/2006/relationships/hyperlink" Target="https://contrataciondelestado.es/FileSystem/servlet/GetDocumentByIdServlet?cifrado=QUC1GjXXSiLkydRHJBmbpw%3D%3D&amp;DocumentIdParam=3iyQTssM43X/w9PBn8tD1T355E/4QAg%2BP33%2BgsHZntszOaCl5%2BxRK6xrZ3GVsATLaCnK31oUTwGzLgxqU6fwSIRYEvULznRFsxTVV%2BAJkXfDdQD9RyhUmzT4jZ2In4zL" TargetMode="External" Id="rId2379" /><Relationship Type="http://schemas.openxmlformats.org/officeDocument/2006/relationships/hyperlink" Target="https://contrataciondelestado.es/wps/poc?uri=deeplink:detalle_licitacion&amp;idEvl=dSbSWCnU6LWExvMJXBMHHQ%3D%3D" TargetMode="External" Id="rId2380" /><Relationship Type="http://schemas.openxmlformats.org/officeDocument/2006/relationships/hyperlink" Target="https://contrataciondelestado.es/FileSystem/servlet/GetDocumentByIdServlet?cifrado=QUC1GjXXSiLkydRHJBmbpw%3D%3D&amp;DocumentIdParam=Q6Jr7YT6rLPTnUk%2BZs4U6G2P2gKVaZRbcG12Xniz3/iRkT2mKTmKgtCnn0Db3cGsFeL0uWSG/JfFVsKi2e3bamaipSxrueLH6k604r7mIUYZyAJWGsSt0OzTSTyw9JAs" TargetMode="External" Id="rId2381" /><Relationship Type="http://schemas.openxmlformats.org/officeDocument/2006/relationships/hyperlink" Target="https://contrataciondelestado.es/wps/poc?uri=deeplink:detalle_licitacion&amp;idEvl=xbFbYI%2BqzDLkY6rls5tG9A%3D%3D" TargetMode="External" Id="rId2382" /><Relationship Type="http://schemas.openxmlformats.org/officeDocument/2006/relationships/hyperlink" Target="https://contrataciondelestado.es/FileSystem/servlet/GetDocumentByIdServlet?cifrado=QUC1GjXXSiLkydRHJBmbpw%3D%3D&amp;DocumentIdParam=e7%2Bh9OMmyNZAkBcNAbaEofX%2B3VxyZ/BpUYv3duHA/NyeWc8cAK0K7iWIlEbzxo8p7k63s5sOwJtsH4nZVmASsFQaSWU0Jekd3Oel30Ia2FO1aXEvq3KHa/AEHgtDrQw0" TargetMode="External" Id="rId2383" /><Relationship Type="http://schemas.openxmlformats.org/officeDocument/2006/relationships/hyperlink" Target="https://contrataciondelestado.es/wps/poc?uri=deeplink:detalle_licitacion&amp;idEvl=8z0wMrtGRaiExvMJXBMHHQ%3D%3D" TargetMode="External" Id="rId2384" /><Relationship Type="http://schemas.openxmlformats.org/officeDocument/2006/relationships/hyperlink" Target="https://contrataciondelestado.es/FileSystem/servlet/GetDocumentByIdServlet?cifrado=QUC1GjXXSiLkydRHJBmbpw%3D%3D&amp;DocumentIdParam=LyreUscVKUtqY61feO79STiqLWN2B8rbC0t9wlS9O0CXDZx9HJG7WcDrERim06W0IHc2bBjHSSFuIXv/HUSFQogxHh57lbRFR9zUWPQRnuQ//q7NB2iMZvNyf0xrJmjt" TargetMode="External" Id="rId2385" /><Relationship Type="http://schemas.openxmlformats.org/officeDocument/2006/relationships/hyperlink" Target="https://contrataciondelestado.es/wps/poc?uri=deeplink:detalle_licitacion&amp;idEvl=2zeyHvXP2GhrhBlEHQFSKA%3D%3D" TargetMode="External" Id="rId2386" /><Relationship Type="http://schemas.openxmlformats.org/officeDocument/2006/relationships/hyperlink" Target="https://contrataciondelestado.es/FileSystem/servlet/GetDocumentByIdServlet?cifrado=QUC1GjXXSiLkydRHJBmbpw%3D%3D&amp;DocumentIdParam=QQ6x3P248%2BMGADTEnm69ORjTVuQcr0LdxcaHTQqJvn0LI4irjXiFTnqphpAZazbGPsz%2B4H6scH7Ocet5uy6dUCOnHaApDD08U3Fp0uKFnFHDdQD9RyhUmzT4jZ2In4zL" TargetMode="External" Id="rId2387" /><Relationship Type="http://schemas.openxmlformats.org/officeDocument/2006/relationships/hyperlink" Target="https://contrataciondelestado.es/wps/poc?uri=deeplink:detalle_licitacion&amp;idEvl=MA4g4epuPuV%2FP7lJ7Fu0SA%3D%3D" TargetMode="External" Id="rId2388" /><Relationship Type="http://schemas.openxmlformats.org/officeDocument/2006/relationships/hyperlink" Target="https://contrataciondelestado.es/FileSystem/servlet/GetDocumentByIdServlet?cifrado=QUC1GjXXSiLkydRHJBmbpw%3D%3D&amp;DocumentIdParam=aUEaJum%2B404L0tihGctZeUAz4Aa5SUouPnxdfbuTtTrJzuYP1%2B9pK0wSg%2BXYWTKBtijutSsIVVg2JHDCeJpRn/g7C8evabawBZbDOoVBxDqB0nvVKRzfe4rpHcnlPhSZ" TargetMode="External" Id="rId2389" /><Relationship Type="http://schemas.openxmlformats.org/officeDocument/2006/relationships/hyperlink" Target="https://contrataciondelestado.es/wps/poc?uri=deeplink:detalle_licitacion&amp;idEvl=%2FIZOJzVU4CXs%2BnLj3vAg5A%3D%3D" TargetMode="External" Id="rId2390" /><Relationship Type="http://schemas.openxmlformats.org/officeDocument/2006/relationships/hyperlink" Target="https://contrataciondelestado.es/FileSystem/servlet/GetDocumentByIdServlet?cifrado=QUC1GjXXSiLkydRHJBmbpw%3D%3D&amp;DocumentIdParam=twdQawM2ii4EiJl4qX458E4Xv91URo%2BATvxkE/hjmVlIwJVnHcaDNlWD8HvzHoXQyjjBZzDMaTGPCIB0fFMzLisehvPHBi2FCzTwOavKzrv3GVhXrFFqN7yFncy7YfRK" TargetMode="External" Id="rId2391" /><Relationship Type="http://schemas.openxmlformats.org/officeDocument/2006/relationships/hyperlink" Target="https://contrataciondelestado.es/wps/poc?uri=deeplink:detalle_licitacion&amp;idEvl=bLDR6i1wqqpt5r0ngvMetA%3D%3D" TargetMode="External" Id="rId2392"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2393" /><Relationship Type="http://schemas.openxmlformats.org/officeDocument/2006/relationships/hyperlink" Target="https://contrataciondelestado.es/wps/poc?uri=deeplink:detalle_licitacion&amp;idEvl=NoEe2Vdw6qz%2Fa9DgO%2BoYKQ%3D%3D" TargetMode="External" Id="rId2394" /><Relationship Type="http://schemas.openxmlformats.org/officeDocument/2006/relationships/hyperlink" Target="https://contrataciondelestado.es/FileSystem/servlet/GetDocumentByIdServlet?cifrado=QUC1GjXXSiLkydRHJBmbpw%3D%3D&amp;DocumentIdParam=WQAhH7%2BYrPFAvVh8HAHz4Ra83CczVAlI0P9xO8oclEVvf3QCd0j3oy432n1vC/WkDeGSohgfYHKZ2s6gRYlJt0sEDYL0WV3Fh1Bw9pKCc9F7QB3HKyQaFUExmUVQCerk" TargetMode="External" Id="rId2395" /><Relationship Type="http://schemas.openxmlformats.org/officeDocument/2006/relationships/hyperlink" Target="https://contrataciondelestado.es/wps/poc?uri=deeplink:detalle_licitacion&amp;idEvl=Cy%2B4Ld8Pw2wQyBAnWzHfCg%3D%3D" TargetMode="External" Id="rId2396" /><Relationship Type="http://schemas.openxmlformats.org/officeDocument/2006/relationships/hyperlink" Target="https://contrataciondelestado.es/FileSystem/servlet/GetDocumentByIdServlet?cifrado=QUC1GjXXSiLkydRHJBmbpw%3D%3D&amp;DocumentIdParam=mZwoOjDzaSWSiMCrBoLncdwO8cGTKeivYNCsTFuFwZiORo3QQ8rb3qA483NF9%2BbFKNWtfduZIgnqmNcWKwucOrjqQPSmSjEQmd3dQcGTidD6CYyL7SIrUOBFfNf52ZqA" TargetMode="External" Id="rId2397" /><Relationship Type="http://schemas.openxmlformats.org/officeDocument/2006/relationships/hyperlink" Target="https://contrataciondelestado.es/wps/poc?uri=deeplink:detalle_licitacion&amp;idEvl=u3Vi6u4bT10UqXM96WStVA%3D%3D" TargetMode="External" Id="rId2398"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2399" /><Relationship Type="http://schemas.openxmlformats.org/officeDocument/2006/relationships/hyperlink" Target="https://contrataciondelestado.es/wps/poc?uri=deeplink:detalle_licitacion&amp;idEvl=Kv7YEJMBBEe9Hd5zqvq9cg%3D%3D" TargetMode="External" Id="rId2400" /><Relationship Type="http://schemas.openxmlformats.org/officeDocument/2006/relationships/hyperlink" Target="https://contrataciondelestado.es/FileSystem/servlet/GetDocumentByIdServlet?cifrado=QUC1GjXXSiLkydRHJBmbpw%3D%3D&amp;DocumentIdParam=629AkMLZQapZf9XsEvDjrmgzGlf7wizbnhO%2BQbgszrnoC%2BpSayGRuo1hs4TcQn7LW%2BErmXpv59/fBJ3o%2BROBwYWK%2B4qFPjaXobWUvbOwTV1JOVDbGCDM%2BMigrvuVS7Rv" TargetMode="External" Id="rId2401" /><Relationship Type="http://schemas.openxmlformats.org/officeDocument/2006/relationships/hyperlink" Target="https://contrataciondelestado.es/wps/poc?uri=deeplink:detalle_licitacion&amp;idEvl=856ODhEzo%2BJPpzdqOdhuWg%3D%3D" TargetMode="External" Id="rId2402" /><Relationship Type="http://schemas.openxmlformats.org/officeDocument/2006/relationships/hyperlink" Target="https://contrataciondelestado.es/FileSystem/servlet/GetDocumentByIdServlet?cifrado=QUC1GjXXSiLkydRHJBmbpw%3D%3D&amp;DocumentIdParam=1ESdVpr4qIZxbLs5w1JvYlWPbcd/cPeyZXjDzC1WNhzQNrSaI0pTbKHtKuxtBxBizqQ7%2B9yp4vuDr5SJheqX6QXyVzjS%2B6LWn7s6zRJwP4DfdyQgZAdTm3EfcUAC7CJ6" TargetMode="External" Id="rId2403" /><Relationship Type="http://schemas.openxmlformats.org/officeDocument/2006/relationships/hyperlink" Target="https://contrataciondelestado.es/wps/poc?uri=deeplink:detalle_licitacion&amp;idEvl=jY%2FPFrApfqq5HQrHoP3G5A%3D%3D" TargetMode="External" Id="rId2404" /><Relationship Type="http://schemas.openxmlformats.org/officeDocument/2006/relationships/hyperlink" Target="https://contrataciondelestado.es/FileSystem/servlet/GetDocumentByIdServlet?cifrado=QUC1GjXXSiLkydRHJBmbpw%3D%3D&amp;DocumentIdParam=o4FchJH/%2BbM%2Bv8iU4AatOXjcUgGKtTBHB2xPl%2BN/kwaXbj6mYi9IHtXu%2BR9O1r2o5cs9%2BUqfCJFJAup880V/I1euWjUfDspp/fnnwVVfST7VTD3T98KC0nSgQFM0q%2B5s" TargetMode="External" Id="rId2405" /><Relationship Type="http://schemas.openxmlformats.org/officeDocument/2006/relationships/hyperlink" Target="https://contrataciondelestado.es/wps/poc?uri=deeplink:detalle_licitacion&amp;idEvl=A9BenKs1fDSHCIsjvJ3rhQ%3D%3D" TargetMode="External" Id="rId2406" /><Relationship Type="http://schemas.openxmlformats.org/officeDocument/2006/relationships/hyperlink" Target="https://contrataciondelestado.es/FileSystem/servlet/GetDocumentByIdServlet?cifrado=QUC1GjXXSiLkydRHJBmbpw%3D%3D&amp;DocumentIdParam=UbAsMLz%2BmSCPPobYQz%2BK%2BOBAkgt9Zmd4nPzTEgvybHYV6wEcRSHtsHm5dsMdykksuGuLr/5bdLrroR57qYrCVT/rfzOblkeRYIGo2D43IDJ45ClyWkoJ44mKM70IFcOu" TargetMode="External" Id="rId2407" /><Relationship Type="http://schemas.openxmlformats.org/officeDocument/2006/relationships/hyperlink" Target="https://contrataciondelestado.es/wps/poc?uri=deeplink:detalle_licitacion&amp;idEvl=2CG0xeTH9Mgtm4eBPtV6eQ%3D%3D" TargetMode="External" Id="rId2408" /><Relationship Type="http://schemas.openxmlformats.org/officeDocument/2006/relationships/hyperlink" Target="https://contrataciondelestado.es/FileSystem/servlet/GetDocumentByIdServlet?cifrado=QUC1GjXXSiLkydRHJBmbpw%3D%3D&amp;DocumentIdParam=wPsA76bwZXKFzTPBAiofeoLLnPBmmtbLJGgAGEyPaMZfH66xvbXgn3emYQAIttELVC8poHK4eSUwtsdSo6BD098PTLVNaAokVRjNUPZxQNd45ClyWkoJ44mKM70IFcOu" TargetMode="External" Id="rId2409" /><Relationship Type="http://schemas.openxmlformats.org/officeDocument/2006/relationships/hyperlink" Target="https://contrataciondelestado.es/wps/poc?uri=deeplink:detalle_licitacion&amp;idEvl=xlXc%2FNuz88ScCF8sV%2BqtYA%3D%3D" TargetMode="External" Id="rId2410" /><Relationship Type="http://schemas.openxmlformats.org/officeDocument/2006/relationships/hyperlink" Target="https://contrataciondelestado.es/FileSystem/servlet/GetDocumentByIdServlet?DocumentIdParam=0/9CZBVcHux5UgDmAxUA6fGEbvBgTJueWgmqDO4PtC7QUd%2BzIbTAHYpnUflvGcZJJmYCV792jKj8cpL77fXwBphjsL/zEfj7If2uSS8N4%2BP6CYyL7SIrUOBFfNf52ZqA&amp;cifrado=QUC1GjXXSiLkydRHJBmbpw%3D%3D" TargetMode="External" Id="rId2411" /><Relationship Type="http://schemas.openxmlformats.org/officeDocument/2006/relationships/hyperlink" Target="https://contrataciondelestado.es/wps/poc?uri=deeplink:detalle_licitacion&amp;idEvl=X0jja8fhTkxJ8Trn0ZPzLw%3D%3D" TargetMode="External" Id="rId2412" /><Relationship Type="http://schemas.openxmlformats.org/officeDocument/2006/relationships/hyperlink" Target="https://contrataciondelestado.es/FileSystem/servlet/GetDocumentByIdServlet?cifrado=QUC1GjXXSiLkydRHJBmbpw%3D%3D&amp;DocumentIdParam=Vr%2BsIBW4xpoYrx8yCEJwT9%2B1Rg6CTxyAz28evJhwuYW2cwIExTti6S2wkj3RciGQ8mO9EjctWiWP8irHKhsCborgHCVbT/WDsrSXU%2BYNbiAC1/zDIE0Kw/PWNnLS0Z0z" TargetMode="External" Id="rId2413" /><Relationship Type="http://schemas.openxmlformats.org/officeDocument/2006/relationships/hyperlink" Target="https://contrataciondelestado.es/wps/poc?uri=deeplink:detalle_licitacion&amp;idEvl=RhRQgMEX%2FDTIGlsa0Wad%2Bw%3D%3D" TargetMode="External" Id="rId2414"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2415" /><Relationship Type="http://schemas.openxmlformats.org/officeDocument/2006/relationships/hyperlink" Target="https://contrataciondelestado.es/wps/poc?uri=deeplink:detalle_licitacion&amp;idEvl=95EUDELn6koS7pcxhTeWOg%3D%3D" TargetMode="External" Id="rId2416" /><Relationship Type="http://schemas.openxmlformats.org/officeDocument/2006/relationships/hyperlink" Target="https://contrataciondelestado.es/FileSystem/servlet/GetDocumentByIdServlet?cifrado=QUC1GjXXSiLkydRHJBmbpw%3D%3D&amp;DocumentIdParam=4hjDgf2NguFMKm65SRls8vjciG9Nfrl1zhxLne0E90d%2BYeeuPbewIFvme5RVUrKuKt05Wfr2NqlCWd%2BxkKnFKLLPVYMR/XmVTaye8NlhWGWHAj0WEJrB5sP7amrh2jBD" TargetMode="External" Id="rId2417" /><Relationship Type="http://schemas.openxmlformats.org/officeDocument/2006/relationships/hyperlink" Target="https://contrataciondelestado.es/wps/poc?uri=deeplink:detalle_licitacion&amp;idEvl=bcYZ8CRE0AE%2B1TMyIiZmzw%3D%3D" TargetMode="External" Id="rId2418" /><Relationship Type="http://schemas.openxmlformats.org/officeDocument/2006/relationships/hyperlink" Target="https://contrataciondelestado.es/FileSystem/servlet/GetDocumentByIdServlet?cifrado=QUC1GjXXSiLkydRHJBmbpw%3D%3D&amp;DocumentIdParam=Do0hLBXPE73T9S7n4/Cn4xnZBdfyi3Dh8QXig55XzkNQU6MU3qFLCk9f/2WS/IrsefMc2VeabQ7N2DAIrBkngXUtMB%2BGWVebgToGUhBkOgH6CYyL7SIrUOBFfNf52ZqA" TargetMode="External" Id="rId2419" /><Relationship Type="http://schemas.openxmlformats.org/officeDocument/2006/relationships/hyperlink" Target="https://contrataciondelestado.es/wps/poc?uri=deeplink:detalle_licitacion&amp;idEvl=r88h0l9%2B9gCiEJrVRqloyA%3D%3D" TargetMode="External" Id="rId2420" /><Relationship Type="http://schemas.openxmlformats.org/officeDocument/2006/relationships/hyperlink" Target="https://contrataciondelestado.es/wps/wcm/connect/PLACE_es/Site/area/docAccCmpnt?srv=cmpnt&amp;cmpntname=GetDocumentsById&amp;source=library&amp;DocumentIdParam=47f76cde-955d-4c5a-afed-4a548bbc3f59" TargetMode="External" Id="rId2421" /><Relationship Type="http://schemas.openxmlformats.org/officeDocument/2006/relationships/hyperlink" Target="https://contrataciondelestado.es/wps/poc?uri=deeplink:detalle_licitacion&amp;idEvl=1BCwn8jLQtCAAM7L03kM8A%3D%3D" TargetMode="External" Id="rId2422" /><Relationship Type="http://schemas.openxmlformats.org/officeDocument/2006/relationships/hyperlink" Target="https://contrataciondelestado.es/FileSystem/servlet/GetDocumentByIdServlet?cifrado=QUC1GjXXSiLkydRHJBmbpw%3D%3D&amp;DocumentIdParam=mALc6vXm5RdAprkZwn3URRs6EPYpnVCrJcf5e9WEZXde9uP9Ffhxw4EvXrUKXTE46buL%2BhAJ0zHWyOWEDerMaXnkrIaPfKcz9EZ1Hx4kdOJ45ClyWkoJ44mKM70IFcOu" TargetMode="External" Id="rId2423" /><Relationship Type="http://schemas.openxmlformats.org/officeDocument/2006/relationships/hyperlink" Target="https://contrataciondelestado.es/wps/poc?uri=deeplink:detalle_licitacion&amp;idEvl=mHpSYuJq1O7LIx6q1oPaMg%3D%3D" TargetMode="External" Id="rId2424" /><Relationship Type="http://schemas.openxmlformats.org/officeDocument/2006/relationships/hyperlink" Target="https://contrataciondelestado.es/FileSystem/servlet/GetDocumentByIdServlet?cifrado=QUC1GjXXSiLkydRHJBmbpw%3D%3D&amp;DocumentIdParam=u0iSu/9Wo9GIscCDz8LrxaRAlrcLP335oelPmvdpGH3WWHpKcjDKO5gpD8sxF8%2BmZYorwQ7tTRBm/qSccQqeGUJs7B0iDJ1E6lSmDvB9thmCx2e6p7hqtlp2aFupgHMr" TargetMode="External" Id="rId2425" /><Relationship Type="http://schemas.openxmlformats.org/officeDocument/2006/relationships/hyperlink" Target="https://contrataciondelestado.es/wps/poc?uri=deeplink:detalle_licitacion&amp;idEvl=8CL4Czl4sWrXOjazN1Dw9Q%3D%3D" TargetMode="External" Id="rId2426" /><Relationship Type="http://schemas.openxmlformats.org/officeDocument/2006/relationships/hyperlink" Target="https://contrataciondelestado.es/FileSystem/servlet/GetDocumentByIdServlet?cifrado=QUC1GjXXSiLkydRHJBmbpw%3D%3D&amp;DocumentIdParam=mx49h%2BJ8LNtqrtkG3WNa4K1L1cgn5IVjLP8MrLaOxFiRNes4L/%2Bl/qjrPpI/YtTT7MpDoCOAUhgOJXS9PkDfGkGZRCCoJLiKu88IDwZV2FSB0nvVKRzfe4rpHcnlPhSZ" TargetMode="External" Id="rId2427" /><Relationship Type="http://schemas.openxmlformats.org/officeDocument/2006/relationships/hyperlink" Target="https://contrataciondelestado.es/wps/poc?uri=deeplink:detalle_licitacion&amp;idEvl=UVDANPSBco0wYTJJ03sHog%3D%3D" TargetMode="External" Id="rId2428"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2429" /><Relationship Type="http://schemas.openxmlformats.org/officeDocument/2006/relationships/hyperlink" Target="https://contrataciondelestado.es/wps/poc?uri=deeplink:detalle_licitacion&amp;idEvl=sU%2FDkxH4tKeqb7rCcv76BA%3D%3D" TargetMode="External" Id="rId2430" /><Relationship Type="http://schemas.openxmlformats.org/officeDocument/2006/relationships/hyperlink" Target="https://contrataciondelestado.es/FileSystem/servlet/GetDocumentByIdServlet?cifrado=QUC1GjXXSiLkydRHJBmbpw%3D%3D&amp;DocumentIdParam=k1sSf9jTJzJtboH1UhBUsxwZZ7nvQaqMzmRj4VIFGWZO5alhVbLnImEl8lo3zVA9bleps/JcyaTYxwENdXDr8gBBydv/pViH176KKxGWCdY//q7NB2iMZvNyf0xrJmjt" TargetMode="External" Id="rId2431" /><Relationship Type="http://schemas.openxmlformats.org/officeDocument/2006/relationships/hyperlink" Target="https://contrataciondelestado.es/wps/poc?uri=deeplink:detalle_licitacion&amp;idEvl=YglKUXUvjkgmMOlAXxDEjw%3D%3D" TargetMode="External" Id="rId2432" /><Relationship Type="http://schemas.openxmlformats.org/officeDocument/2006/relationships/hyperlink" Target="https://contrataciondelestado.es/FileSystem/servlet/GetDocumentByIdServlet?cifrado=QUC1GjXXSiLkydRHJBmbpw%3D%3D&amp;DocumentIdParam=UXG2L/597Fg8OlmAoKefQgEymZY5hofl2i1aHInHEf1%2BTNH6rtSq7NWdH4cpEvhYSVLu1eV4Ap%2BNRjvirjJN0y22ccoz6x%2BtTjAekpZ0Ullt/o8fNevwsujgRzaBbugn" TargetMode="External" Id="rId2433" /><Relationship Type="http://schemas.openxmlformats.org/officeDocument/2006/relationships/hyperlink" Target="https://contrataciondelestado.es/wps/poc?uri=deeplink:detalle_licitacion&amp;idEvl=Xya3l66gySb9pbnDwlaUlg%3D%3D" TargetMode="External" Id="rId2434"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2435" /><Relationship Type="http://schemas.openxmlformats.org/officeDocument/2006/relationships/hyperlink" Target="https://contrataciondelestado.es/wps/poc?uri=deeplink:detalle_licitacion&amp;idEvl=lTu7Qq%2FpKE836J9Lctlsuw%3D%3D" TargetMode="External" Id="rId2436"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2437" /><Relationship Type="http://schemas.openxmlformats.org/officeDocument/2006/relationships/hyperlink" Target="https://contrataciondelestado.es/wps/poc?uri=deeplink:detalle_licitacion&amp;idEvl=biwGImuP5ERVYjgxA4nMUw%3D%3D" TargetMode="External" Id="rId2438" /><Relationship Type="http://schemas.openxmlformats.org/officeDocument/2006/relationships/hyperlink" Target="https://contrataciondelestado.es/FileSystem/servlet/GetDocumentByIdServlet?cifrado=QUC1GjXXSiLkydRHJBmbpw%3D%3D&amp;DocumentIdParam=wPsA76bwZXKFzTPBAiofejOgvBROC2ZFR8TOucTaUqK4gpu7cob0JK3Vz747W%2BBu8EJATlUd7VFkhMXwCy891pTYgKfWllxVe9UA3KYRAW3DdQD9RyhUmzT4jZ2In4zL" TargetMode="External" Id="rId2439" /><Relationship Type="http://schemas.openxmlformats.org/officeDocument/2006/relationships/hyperlink" Target="https://contrataciondelestado.es/wps/poc?uri=deeplink:detalle_licitacion&amp;idEvl=FYUInW7xc5Z4zIRvjBVCSw%3D%3D" TargetMode="External" Id="rId2440"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2441" /><Relationship Type="http://schemas.openxmlformats.org/officeDocument/2006/relationships/hyperlink" Target="https://contrataciondelestado.es/wps/poc?uri=deeplink:detalle_licitacion&amp;idEvl=ieSWLuX3nrTCfVQHDepjGQ%3D%3D" TargetMode="External" Id="rId2442" /><Relationship Type="http://schemas.openxmlformats.org/officeDocument/2006/relationships/hyperlink" Target="https://contrataciondelestado.es/FileSystem/servlet/GetDocumentByIdServlet?cifrado=QUC1GjXXSiLkydRHJBmbpw%3D%3D&amp;DocumentIdParam=9KiQkC0jp0TDsloSKlCYYULDuKjH9xJLDiv0c6DGGla9kO1FqoR0%2B77pWadDoGmPLHezSE89VxEAM4Q7FHRVNaZtGYm27J1H4U4AtlyXOjTVTD3T98KC0nSgQFM0q%2B5s" TargetMode="External" Id="rId2443" /><Relationship Type="http://schemas.openxmlformats.org/officeDocument/2006/relationships/hyperlink" Target="https://contrataciondelestado.es/wps/poc?uri=deeplink:detalle_licitacion&amp;idEvl=6JfAY2%2BzWmb5Rey58Yagpg%3D%3D" TargetMode="External" Id="rId2444" /><Relationship Type="http://schemas.openxmlformats.org/officeDocument/2006/relationships/hyperlink" Target="https://contrataciondelestado.es/wps/poc?uri=deeplink:detalle_licitacion&amp;idEvl=psMR%2FCX8nhp9Zh%2FyRJgM8w%3D%3D" TargetMode="External" Id="rId2445" /><Relationship Type="http://schemas.openxmlformats.org/officeDocument/2006/relationships/hyperlink" Target="https://contrataciondelestado.es/wps/poc?uri=deeplink:detalle_licitacion&amp;idEvl=YejaCyKEwMA3vLk2DU2Ddg%3D%3D" TargetMode="External" Id="rId2446" /><Relationship Type="http://schemas.openxmlformats.org/officeDocument/2006/relationships/hyperlink" Target="https://contrataciondelestado.es/FileSystem/servlet/GetDocumentByIdServlet?cifrado=QUC1GjXXSiLkydRHJBmbpw%3D%3D&amp;DocumentIdParam=q7agIk54BfpI21TCb%2BKFY1JuqgvUST3oRWYXaJDI3lpAXO32lW4wUXKm4aBZlL22ixfDpszjqV55TYxMXGl8h%2BvKauzbmINkuzDEtZirkCs//q7NB2iMZvNyf0xrJmjt" TargetMode="External" Id="rId2447" /><Relationship Type="http://schemas.openxmlformats.org/officeDocument/2006/relationships/hyperlink" Target="https://contrataciondelestado.es/wps/poc?uri=deeplink:detalle_licitacion&amp;idEvl=SsJ8Hqp%2BAWyExvMJXBMHHQ%3D%3D" TargetMode="External" Id="rId2448"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2449" /><Relationship Type="http://schemas.openxmlformats.org/officeDocument/2006/relationships/hyperlink" Target="https://contrataciondelestado.es/wps/poc?uri=deeplink:detalle_licitacion&amp;idEvl=qvnM0FUTgFMQyBAnWzHfCg%3D%3D" TargetMode="External" Id="rId2450" /><Relationship Type="http://schemas.openxmlformats.org/officeDocument/2006/relationships/hyperlink" Target="https://contrataciondelestado.es/FileSystem/servlet/GetDocumentByIdServlet?cifrado=QUC1GjXXSiLkydRHJBmbpw%3D%3D&amp;DocumentIdParam=NWffnacyQGtRG0DH/Nt0xMzgsBhSybuV2wSt1RHSbohmApOhRO/S5zUgH6HX5KuTAVpJ65UjVVekbz6Uu5piKlNJVsHX3MERAi37MINLKllt/o8fNevwsujgRzaBbugn" TargetMode="External" Id="rId2451" /><Relationship Type="http://schemas.openxmlformats.org/officeDocument/2006/relationships/hyperlink" Target="https://contrataciondelestado.es/wps/poc?uri=deeplink:detalle_licitacion&amp;idEvl=fbU7fRXGu3iS81gZFETWmA%3D%3D" TargetMode="External" Id="rId2452" /><Relationship Type="http://schemas.openxmlformats.org/officeDocument/2006/relationships/hyperlink" Target="https://contrataciondelestado.es/FileSystem/servlet/GetDocumentByIdServlet?cifrado=QUC1GjXXSiLkydRHJBmbpw%3D%3D&amp;DocumentIdParam=0kU%2BA4otzVJzgbnYQYD8QqOQtjz%2BIryh7acTY1oRsufcRQcHPd2nYB2/jyW/P/y3Wc06m0q7BN5nQPUsNVgiCtSRjS4dE3gLcLoMBksioNVJOVDbGCDM%2BMigrvuVS7Rv" TargetMode="External" Id="rId2453" /><Relationship Type="http://schemas.openxmlformats.org/officeDocument/2006/relationships/hyperlink" Target="https://contrataciondelestado.es/wps/poc?uri=deeplink:detalle_licitacion&amp;idEvl=Uk4LOAHf7t%2FkY6rls5tG9A%3D%3D" TargetMode="External" Id="rId2454" /><Relationship Type="http://schemas.openxmlformats.org/officeDocument/2006/relationships/hyperlink" Target="https://contrataciondelestado.es/FileSystem/servlet/GetDocumentByIdServlet?cifrado=QUC1GjXXSiLkydRHJBmbpw%3D%3D&amp;DocumentIdParam=fNB6pQtJtfXBeGWqRJiGOkQgGBq3kQIdRKLCaE9TmbEYYZiWZIBTf7vYMNy7xNI8jHPrIE3mZ%2BU7AAazSKL13%2Bysusf//iZR5eHpmWsInDwC1/zDIE0Kw/PWNnLS0Z0z" TargetMode="External" Id="rId2455" /><Relationship Type="http://schemas.openxmlformats.org/officeDocument/2006/relationships/hyperlink" Target="https://contrataciondelestado.es/wps/poc?uri=deeplink:detalle_licitacion&amp;idEvl=MnMyGao2ErQIYE3ZiZ%2BxmQ%3D%3D" TargetMode="External" Id="rId2456"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2457" /><Relationship Type="http://schemas.openxmlformats.org/officeDocument/2006/relationships/hyperlink" Target="https://contrataciondelestado.es/wps/poc?uri=deeplink:detalle_licitacion&amp;idEvl=8RLhaoiKiyjE6P%2FuLemXRw%3D%3D" TargetMode="External" Id="rId2458" /><Relationship Type="http://schemas.openxmlformats.org/officeDocument/2006/relationships/hyperlink" Target="https://contrataciondelestado.es/FileSystem/servlet/GetDocumentByIdServlet?cifrado=QUC1GjXXSiLkydRHJBmbpw%3D%3D&amp;DocumentIdParam=fy5j53/60DSGlOAXGdguMI1e6WuegHzpbpm10RsfaUzEsI/m3VecStOyvHAaunEnQ/JA4N5jy9rLB9/7T%2BHkyX6E9pq1gXOKQJayddXEyX3fdyQgZAdTm3EfcUAC7CJ6" TargetMode="External" Id="rId2459" /><Relationship Type="http://schemas.openxmlformats.org/officeDocument/2006/relationships/hyperlink" Target="https://contrataciondelestado.es/wps/poc?uri=deeplink:detalle_licitacion&amp;idEvl=lPW%2BEujggUL10HRJw8TEnQ%3D%3D" TargetMode="External" Id="rId2460" /><Relationship Type="http://schemas.openxmlformats.org/officeDocument/2006/relationships/hyperlink" Target="https://contrataciondelestado.es/FileSystem/servlet/GetDocumentByIdServlet?cifrado=QUC1GjXXSiLkydRHJBmbpw%3D%3D&amp;DocumentIdParam=yVG5MvwNAfK8n0eDy3V8rInVXfejvT0ydN4qPAbyVb1ww9br3ID%2BzUQPGoyU3kRWpFB9TzdxCJEzTfaR00ROBRElJw%2BdCEvpzbsb9v2qNc8ZyAJWGsSt0OzTSTyw9JAs" TargetMode="External" Id="rId2461" /><Relationship Type="http://schemas.openxmlformats.org/officeDocument/2006/relationships/hyperlink" Target="https://contrataciondelestado.es/wps/poc?uri=deeplink:detalle_licitacion&amp;idEvl=lTu7Qq%2FpKE%2F9pbnDwlaUlg%3D%3D" TargetMode="External" Id="rId2462" /><Relationship Type="http://schemas.openxmlformats.org/officeDocument/2006/relationships/hyperlink" Target="https://contrataciondelestado.es/FileSystem/servlet/GetDocumentByIdServlet?cifrado=QUC1GjXXSiLkydRHJBmbpw%3D%3D&amp;DocumentIdParam=qsYS22kvOzcGaaqgmxezZfKQaR0GarhlHW11m7qIuJZ/OIQqSgvClYkzhTMw6gS%2BK5yvgNWefqjqnw2Z%2BaDE8W5qbGJDWzydkDmEhJe9aoEZyAJWGsSt0OzTSTyw9JAs" TargetMode="External" Id="rId2463" /><Relationship Type="http://schemas.openxmlformats.org/officeDocument/2006/relationships/hyperlink" Target="https://contrataciondelestado.es/wps/poc?uri=deeplink:detalle_licitacion&amp;idEvl=7VztImiwuNh%2FP7lJ7Fu0SA%3D%3D" TargetMode="External" Id="rId2464" /><Relationship Type="http://schemas.openxmlformats.org/officeDocument/2006/relationships/hyperlink" Target="https://contrataciondelestado.es/FileSystem/servlet/GetDocumentByIdServlet?cifrado=QUC1GjXXSiLkydRHJBmbpw%3D%3D&amp;DocumentIdParam=q9JoQ5TDuyejHpVUhIsPRYcZeVoBkfuEcq5LHE%2BEMzXakBDqVmdFlFWBjDoGJVHKY43oMgNhAV3LmGWCFmVSf5MoyN37VKmzUe6UDJWcY%2BP3GVhXrFFqN7yFncy7YfRK" TargetMode="External" Id="rId2465" /><Relationship Type="http://schemas.openxmlformats.org/officeDocument/2006/relationships/hyperlink" Target="https://contrataciondelestado.es/wps/poc?uri=deeplink:detalle_licitacion&amp;idEvl=dC%2BQ55A9bI036J9Lctlsuw%3D%3D" TargetMode="External" Id="rId2466"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2467" /><Relationship Type="http://schemas.openxmlformats.org/officeDocument/2006/relationships/hyperlink" Target="https://contrataciondelestado.es/wps/poc?uri=deeplink:detalle_licitacion&amp;idEvl=oQBt6OqMzHNq1DdmE7eaXg%3D%3D" TargetMode="External" Id="rId2468" /><Relationship Type="http://schemas.openxmlformats.org/officeDocument/2006/relationships/hyperlink" Target="https://contrataciondelestado.es/FileSystem/servlet/GetDocumentByIdServlet?cifrado=QUC1GjXXSiLkydRHJBmbpw%3D%3D&amp;DocumentIdParam=2fqsgSmmy9ymfowLHKQa0h7OEyUZ5ueUDatAqV9nPB6fI7DVRcRlN5yWorPAch4YFSV19Ywfb/WiVMJiy0CVZTBCqnAEelAtqNjrWWec9iqB0nvVKRzfe4rpHcnlPhSZ" TargetMode="External" Id="rId2469" /><Relationship Type="http://schemas.openxmlformats.org/officeDocument/2006/relationships/hyperlink" Target="https://contrataciondelestado.es/wps/poc?uri=deeplink:detalle_licitacion&amp;idEvl=BOum9MUpagE7u6%2B%2FR7DUoA%3D%3D" TargetMode="External" Id="rId2470"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2471" /><Relationship Type="http://schemas.openxmlformats.org/officeDocument/2006/relationships/hyperlink" Target="https://contrataciondelestado.es/wps/poc?uri=deeplink:detalle_licitacion&amp;idEvl=ymEwm7ENNZyIzo3LHNPGcQ%3D%3D" TargetMode="External" Id="rId2472"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2473" /><Relationship Type="http://schemas.openxmlformats.org/officeDocument/2006/relationships/hyperlink" Target="https://contrataciondelestado.es/wps/poc?uri=deeplink:detalle_licitacion&amp;idEvl=hNI1FCfqp3l7h85%2Fpmmsfw%3D%3D" TargetMode="External" Id="rId2474" /><Relationship Type="http://schemas.openxmlformats.org/officeDocument/2006/relationships/hyperlink" Target="https://contrataciondelestado.es/wps/wcm/connect/PLACE_es/Site/area/docAccCmpnt?srv=cmpnt&amp;cmpntname=GetDocumentsById&amp;source=library&amp;DocumentIdParam=ec506ee5-4c26-433b-a996-acee0661a12a" TargetMode="External" Id="rId2475" /><Relationship Type="http://schemas.openxmlformats.org/officeDocument/2006/relationships/hyperlink" Target="https://contrataciondelestado.es/wps/poc?uri=deeplink:detalle_licitacion&amp;idEvl=t%2BymXZiwdjLpxJFXpLZ%2B2A%3D%3D" TargetMode="External" Id="rId2476" /><Relationship Type="http://schemas.openxmlformats.org/officeDocument/2006/relationships/hyperlink" Target="https://contrataciondelestado.es/FileSystem/servlet/GetDocumentByIdServlet?cifrado=QUC1GjXXSiLkydRHJBmbpw%3D%3D&amp;DocumentIdParam=1vbWOTheeVCYCdcSH1MEe4EX7cATNGNm4XZBMu8cFJS9Xi2gPVst9wRKsbEsTTl/F40tzMUXEsydtSWLe9b8LYA/9TR%2BL6HTww5j7e0YuAyCx2e6p7hqtlp2aFupgHMr" TargetMode="External" Id="rId2477" /><Relationship Type="http://schemas.openxmlformats.org/officeDocument/2006/relationships/hyperlink" Target="https://contrataciondelestado.es/wps/poc?uri=deeplink:detalle_licitacion&amp;idEvl=l71tqcOdatrXOjazN1Dw9Q%3D%3D" TargetMode="External" Id="rId2478" /><Relationship Type="http://schemas.openxmlformats.org/officeDocument/2006/relationships/hyperlink" Target="https://contrataciondelestado.es/FileSystem/servlet/GetDocumentByIdServlet?cifrado=QUC1GjXXSiLkydRHJBmbpw%3D%3D&amp;DocumentIdParam=93927DnFQPRRF4B3PM/Y9M1fyS82rpHzoGubw9Kjc0Q6C7hk2acI1WenD3rLxxwn5RROP6azy%2BfvLhawxvF3PFvye3t3Q4Xi0a/prkaB6jH3GVhXrFFqN7yFncy7YfRK" TargetMode="External" Id="rId2479" /><Relationship Type="http://schemas.openxmlformats.org/officeDocument/2006/relationships/hyperlink" Target="https://contrataciondelestado.es/wps/poc?uri=deeplink:detalle_licitacion&amp;idEvl=pAeg7BE8CZ1%2FR5QFTlaM4A%3D%3D" TargetMode="External" Id="rId2480" /><Relationship Type="http://schemas.openxmlformats.org/officeDocument/2006/relationships/hyperlink" Target="https://contrataciondelestado.es/FileSystem/servlet/GetDocumentByIdServlet?cifrado=QUC1GjXXSiLkydRHJBmbpw%3D%3D&amp;DocumentIdParam=SOAEYYY7G82l6DFtUHQOoZYCxm%2BJPfksS%2BOpn0JErCxsEFTJjGFIE8sDyZuihf8hpsyXvQujhCaTVsaVEm3mQJ5xX4hOaJOLW/1%2BtjCmRjd7QB3HKyQaFUExmUVQCerk" TargetMode="External" Id="rId2481" /><Relationship Type="http://schemas.openxmlformats.org/officeDocument/2006/relationships/hyperlink" Target="https://contrataciondelestado.es/wps/poc?uri=deeplink:detalle_licitacion&amp;idEvl=1E%2FL8azce1yFlFRHfEzEaw%3D%3D" TargetMode="External" Id="rId2482" /><Relationship Type="http://schemas.openxmlformats.org/officeDocument/2006/relationships/hyperlink" Target="https://contrataciondelestado.es/FileSystem/servlet/GetDocumentByIdServlet?cifrado=QUC1GjXXSiLkydRHJBmbpw%3D%3D&amp;DocumentIdParam=6YYYdRvtHENycq6WHjsqgXBsPqfcG9RE3qx5r04jzY4pf29EU5DPzO2MnYO8jQEFNfx0WslxyLqTy4ttbUgYOoeNmvBkdNOKDdl/kvQio1UZyAJWGsSt0OzTSTyw9JAs" TargetMode="External" Id="rId2483" /><Relationship Type="http://schemas.openxmlformats.org/officeDocument/2006/relationships/hyperlink" Target="https://contrataciondelestado.es/wps/poc?uri=deeplink:detalle_licitacion&amp;idEvl=BsMSwMS3ppfECtSnloz%2BZQ%3D%3D" TargetMode="External" Id="rId2484" /><Relationship Type="http://schemas.openxmlformats.org/officeDocument/2006/relationships/hyperlink" Target="https://contrataciondelestado.es/FileSystem/servlet/GetDocumentByIdServlet?cifrado=QUC1GjXXSiLkydRHJBmbpw%3D%3D&amp;DocumentIdParam=/f9ttDI41kg35jrbzPkCll3779LNW8wsnAsYg3xqoNg3Z/ANoj7XGD%2B9Z9FysqqoM8cPn43EyQJohDRN6uR8r15Xo8yedbTOhtgnWGRgRWnVTD3T98KC0nSgQFM0q%2B5s" TargetMode="External" Id="rId2485" /><Relationship Type="http://schemas.openxmlformats.org/officeDocument/2006/relationships/hyperlink" Target="https://contrataciondelestado.es/wps/poc?uri=deeplink:detalle_licitacion&amp;idEvl=6V%2FkSZwOxLU36J9Lctlsuw%3D%3D" TargetMode="External" Id="rId2486" /><Relationship Type="http://schemas.openxmlformats.org/officeDocument/2006/relationships/hyperlink" Target="https://contrataciondelestado.es/FileSystem/servlet/GetDocumentByIdServlet?cifrado=QUC1GjXXSiLkydRHJBmbpw%3D%3D&amp;DocumentIdParam=QMKfFA40yPu8i7ZqHuS/jC3gDT1HujNbyZBWJ7Q7LeCRDhq0ThOvz211b1JTpXV5Y3/s14nq9UPStmQxhHrnv7SIMWnIbOS8RX76sRxa0/mB0nvVKRzfe4rpHcnlPhSZ" TargetMode="External" Id="rId2487" /><Relationship Type="http://schemas.openxmlformats.org/officeDocument/2006/relationships/hyperlink" Target="https://contrataciondelestado.es/wps/poc?uri=deeplink:detalle_licitacion&amp;idEvl=RNxtOJvMepQQyBAnWzHfCg%3D%3D" TargetMode="External" Id="rId2488"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2489" /><Relationship Type="http://schemas.openxmlformats.org/officeDocument/2006/relationships/hyperlink" Target="https://contrataciondelestado.es/wps/poc?uri=deeplink:detalle_licitacion&amp;idEvl=5noj9zXGAS%2BcCF8sV%2BqtYA%3D%3D" TargetMode="External" Id="rId2490" /><Relationship Type="http://schemas.openxmlformats.org/officeDocument/2006/relationships/hyperlink" Target="https://contrataciondelestado.es/FileSystem/servlet/GetDocumentByIdServlet?cifrado=QUC1GjXXSiLkydRHJBmbpw%3D%3D&amp;DocumentIdParam=0WcyMKXLA1Em/UK5T2w1LgeeokeH739gJ8Yi2DKFZwYs4qpwozc9FrejX3r/IdNfAltc4aWgZnsMTXTotqHhpRrBCM1b1h/Os3mB00r6Omk//q7NB2iMZvNyf0xrJmjt" TargetMode="External" Id="rId2491" /><Relationship Type="http://schemas.openxmlformats.org/officeDocument/2006/relationships/hyperlink" Target="https://contrataciondelestado.es/wps/poc?uri=deeplink:detalle_licitacion&amp;idEvl=68sDpqkqWpOS81gZFETWmA%3D%3D" TargetMode="External" Id="rId2492"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2493" /><Relationship Type="http://schemas.openxmlformats.org/officeDocument/2006/relationships/hyperlink" Target="https://contrataciondelestado.es/wps/poc?uri=deeplink:detalle_licitacion&amp;idEvl=rbg5DC%2BEA8asNfRW6APEDw%3D%3D" TargetMode="External" Id="rId2494" /><Relationship Type="http://schemas.openxmlformats.org/officeDocument/2006/relationships/hyperlink" Target="https://contrataciondelestado.es/FileSystem/servlet/GetDocumentByIdServlet?cifrado=QUC1GjXXSiLkydRHJBmbpw%3D%3D&amp;DocumentIdParam=r2wX2Hy8tX4g0irqpVR%2BjhKnefGOJ59k8b89vuCxegwCOJYOE06%2Bug7%2B%2BebaU9jDScBk2R%2B2SNqatkYWzpTabP1QBccMXKXuAr8aDmkke1iCx2e6p7hqtlp2aFupgHMr" TargetMode="External" Id="rId2495" /><Relationship Type="http://schemas.openxmlformats.org/officeDocument/2006/relationships/hyperlink" Target="https://contrataciondelestado.es/wps/poc?uri=deeplink:detalle_licitacion&amp;idEvl=6s%2Fz0BHOzv0Xhk1FZxEyvw%3D%3D" TargetMode="External" Id="rId2496" /><Relationship Type="http://schemas.openxmlformats.org/officeDocument/2006/relationships/hyperlink" Target="https://contrataciondelestado.es/FileSystem/servlet/GetDocumentByIdServlet?cifrado=QUC1GjXXSiLkydRHJBmbpw%3D%3D&amp;DocumentIdParam=RlQj7VO262M5gZwxCpCzVtVk0n%2BKcdl%2BxRECoRagzHNjsI0/YWrGCjzhiWF79KWgLmdsqvCqdm541Ib7hd8NV3yxJ3wxt8X/iHiHCIf%2Bk3TfdyQgZAdTm3EfcUAC7CJ6" TargetMode="External" Id="rId2497" /><Relationship Type="http://schemas.openxmlformats.org/officeDocument/2006/relationships/hyperlink" Target="https://contrataciondelestado.es/wps/poc?uri=deeplink:detalle_licitacion&amp;idEvl=h7zspSmuJLC2gkLQ8TeYKA%3D%3D" TargetMode="External" Id="rId2498"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2499" /><Relationship Type="http://schemas.openxmlformats.org/officeDocument/2006/relationships/hyperlink" Target="https://contrataciondelestado.es/wps/poc?uri=deeplink:detalle_licitacion&amp;idEvl=IoTxfG1m2B6cTfjQf3USOg%3D%3D" TargetMode="External" Id="rId2500"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2501" /><Relationship Type="http://schemas.openxmlformats.org/officeDocument/2006/relationships/hyperlink" Target="https://contrataciondelestado.es/wps/poc?uri=deeplink:detalle_licitacion&amp;idEvl=A45VIqBqlxVQFSeKCRun4Q%3D%3D" TargetMode="External" Id="rId2502" /><Relationship Type="http://schemas.openxmlformats.org/officeDocument/2006/relationships/hyperlink" Target="https://contrataciondelestado.es/FileSystem/servlet/GetDocumentByIdServlet?DocumentIdParam=VuyNi0dG0BeGc508KlkMK/jQr8ESRo2zlynwMp5OCG3Xm4AFdkWd8E9049eK2kjdSjTyMB8BK%2BP89ABjvl6m/v8gsY7ui8iVldMLfEF4MmI//q7NB2iMZvNyf0xrJmjt&amp;cifrado=QUC1GjXXSiLkydRHJBmbpw%3D%3D" TargetMode="External" Id="rId2503" /><Relationship Type="http://schemas.openxmlformats.org/officeDocument/2006/relationships/hyperlink" Target="https://contrataciondelestado.es/wps/poc?uri=deeplink:detalle_licitacion&amp;idEvl=YdbycqRik4Tua%2Fi14w%2FPLA%3D%3D" TargetMode="External" Id="rId2504" /><Relationship Type="http://schemas.openxmlformats.org/officeDocument/2006/relationships/hyperlink" Target="https://contrataciondelestado.es/FileSystem/servlet/GetDocumentByIdServlet?cifrado=QUC1GjXXSiLkydRHJBmbpw%3D%3D&amp;DocumentIdParam=hbF5dZEANXUBlRMSGI8Fxo36AdCA5mffVf8TRrvJsGIwWHfHIGsyh%2B7FucxUmsYD3Pv7/g%2Be9n%2BxsYakw7zbaHpUuyql2ecf%2BmRHVcPL0GmB0nvVKRzfe4rpHcnlPhSZ" TargetMode="External" Id="rId2505" /><Relationship Type="http://schemas.openxmlformats.org/officeDocument/2006/relationships/hyperlink" Target="https://contrataciondelestado.es/wps/poc?uri=deeplink:detalle_licitacion&amp;idEvl=P5MfKpEwPFm7JOCXkOhcDg%3D%3D" TargetMode="External" Id="rId2506" /><Relationship Type="http://schemas.openxmlformats.org/officeDocument/2006/relationships/hyperlink" Target="https://contrataciondelestado.es/FileSystem/servlet/GetDocumentByIdServlet?cifrado=QUC1GjXXSiLkydRHJBmbpw%3D%3D&amp;DocumentIdParam=z1q9mvNQcEZTW70blxMUtjLciYOuure5bg5nwmvW%2BxShN/TEZDslp9Oo/8kM686YmnL6dbifEk8Ur2bF9SrWkTH3bJ8PTEJ0%2BYhTGcv4%2Bov3GVhXrFFqN7yFncy7YfRK" TargetMode="External" Id="rId2507" /><Relationship Type="http://schemas.openxmlformats.org/officeDocument/2006/relationships/hyperlink" Target="https://contrataciondelestado.es/wps/poc?uri=deeplink:detalle_licitacion&amp;idEvl=aWwPUxE%2B8%2FoeC9GJQOEBkQ%3D%3D" TargetMode="External" Id="rId2508" /><Relationship Type="http://schemas.openxmlformats.org/officeDocument/2006/relationships/hyperlink" Target="https://contrataciondelestado.es/FileSystem/servlet/GetDocumentByIdServlet?cifrado=QUC1GjXXSiLkydRHJBmbpw%3D%3D&amp;DocumentIdParam=uVNbgEQaFFCIW8QXM3WVNsHqHIjMK5d0zBdNXvB0Qic%2BCGpHX2pVWpiEmjuYnZnKd%2BrCRLNFbPRiRXzVqps7Mhuf8upNIyAlPx7L%2BEp99GwZyAJWGsSt0OzTSTyw9JAs" TargetMode="External" Id="rId2509" /><Relationship Type="http://schemas.openxmlformats.org/officeDocument/2006/relationships/hyperlink" Target="https://contrataciondelestado.es/wps/poc?uri=deeplink:detalle_licitacion&amp;idEvl=3EmcGMd1wHs7u6%2B%2FR7DUoA%3D%3D" TargetMode="External" Id="rId2510" /><Relationship Type="http://schemas.openxmlformats.org/officeDocument/2006/relationships/hyperlink" Target="https://contrataciondelestado.es/FileSystem/servlet/GetDocumentByIdServlet?cifrado=QUC1GjXXSiLkydRHJBmbpw%3D%3D&amp;DocumentIdParam=dd3gUUzaTIIwdzdcyd2S07BZtDvgsmR9YktXAyVjsybrxIfukIvCC2E2z5%2BCo7%2B44JQz01wNoe9nBYgyV64YX0vgmIbOJfLVyBqUeCTSXHHDdQD9RyhUmzT4jZ2In4zL" TargetMode="External" Id="rId2511" /><Relationship Type="http://schemas.openxmlformats.org/officeDocument/2006/relationships/hyperlink" Target="https://contrataciondelestado.es/wps/poc?uri=deeplink:detalle_licitacion&amp;idEvl=VSvE4Ou7G2w36J9Lctlsuw%3D%3D" TargetMode="External" Id="rId2512" /><Relationship Type="http://schemas.openxmlformats.org/officeDocument/2006/relationships/hyperlink" Target="https://contrataciondelestado.es/FileSystem/servlet/GetDocumentByIdServlet?cifrado=QUC1GjXXSiLkydRHJBmbpw%3D%3D&amp;DocumentIdParam=9IRIUcwyGR3M/drZskxv0oH3A01gIOqzQc3DdytPzLytKk4E1SGZ49OD9873zdQt4hBLV5px94duYuDNWhW5GB3L5AAcV6Q%2BJHHN7zQsr3QZyAJWGsSt0OzTSTyw9JAs" TargetMode="External" Id="rId2513" /><Relationship Type="http://schemas.openxmlformats.org/officeDocument/2006/relationships/hyperlink" Target="https://contrataciondelestado.es/wps/poc?uri=deeplink:detalle_licitacion&amp;idEvl=cgKn6U8ipcSIzo3LHNPGcQ%3D%3D" TargetMode="External" Id="rId2514"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2515" /><Relationship Type="http://schemas.openxmlformats.org/officeDocument/2006/relationships/hyperlink" Target="https://contrataciondelestado.es/wps/poc?uri=deeplink:detalle_licitacion&amp;idEvl=FbV%2Fjquos4aS81gZFETWmA%3D%3D" TargetMode="External" Id="rId2516" /><Relationship Type="http://schemas.openxmlformats.org/officeDocument/2006/relationships/hyperlink" Target="https://contrataciondelestado.es/FileSystem/servlet/GetDocumentByIdServlet?cifrado=QUC1GjXXSiLkydRHJBmbpw%3D%3D&amp;DocumentIdParam=v6HZpceUHsPz%2BPQMch5nYYoebq/K9v%2BxyZf1kJ2vdpL4jLUU%2BxqCDCzFWnHfAgL0VzZHWaY3DoiUS7tRNc8RxdcEPQvDWbfWlpLVz%2BtoSK%2BHAj0WEJrB5sP7amrh2jBD" TargetMode="External" Id="rId2517" /><Relationship Type="http://schemas.openxmlformats.org/officeDocument/2006/relationships/hyperlink" Target="https://contrataciondelestado.es/wps/poc?uri=deeplink:detalle_licitacion&amp;idEvl=di0L0k1X3v6Izo3LHNPGcQ%3D%3D" TargetMode="External" Id="rId2518" /><Relationship Type="http://schemas.openxmlformats.org/officeDocument/2006/relationships/hyperlink" Target="https://contrataciondelestado.es/FileSystem/servlet/GetDocumentByIdServlet?cifrado=QUC1GjXXSiLkydRHJBmbpw%3D%3D&amp;DocumentIdParam=HLclx5BXaG01TqQQGvZESOQ67WccdWtxhBiAZi%2BeL7Qq7iAtwzyHng5jHRBVFdgqvw6fdu1bYuOq%2BJeh76v5D0lXh5/7hbdB5xIUxwdnRu33GVhXrFFqN7yFncy7YfRK" TargetMode="External" Id="rId2519" /><Relationship Type="http://schemas.openxmlformats.org/officeDocument/2006/relationships/hyperlink" Target="https://contrataciondelestado.es/wps/poc?uri=deeplink:detalle_licitacion&amp;idEvl=ZS0VztrsxWxPpzdqOdhuWg%3D%3D" TargetMode="External" Id="rId2520" /><Relationship Type="http://schemas.openxmlformats.org/officeDocument/2006/relationships/hyperlink" Target="https://contrataciondelestado.es/FileSystem/servlet/GetDocumentByIdServlet?cifrado=QUC1GjXXSiLkydRHJBmbpw%3D%3D&amp;DocumentIdParam=Ha%2Bs%2Byb/pvFMzAevkqFiqyAFuoK1%2B6qLmBkakb0VhkdAl31S/HJm4ziLkxzRCj0wPee76l1fFL2rcKtT7EgKrIXBp2YBnH4E1Nj11HuayGlt/o8fNevwsujgRzaBbugn" TargetMode="External" Id="rId2521" /><Relationship Type="http://schemas.openxmlformats.org/officeDocument/2006/relationships/hyperlink" Target="https://contrataciondelestado.es/wps/poc?uri=deeplink:detalle_licitacion&amp;idEvl=4jDd2ZU0f2r5Rey58Yagpg%3D%3D" TargetMode="External" Id="rId2522"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2523" /><Relationship Type="http://schemas.openxmlformats.org/officeDocument/2006/relationships/hyperlink" Target="https://contrataciondelestado.es/wps/poc?uri=deeplink:detalle_licitacion&amp;idEvl=PEeOxC2o%2BTx%2BF6L2uCfUWg%3D%3D" TargetMode="External" Id="rId2524"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2525" /><Relationship Type="http://schemas.openxmlformats.org/officeDocument/2006/relationships/hyperlink" Target="https://contrataciondelestado.es/wps/poc?uri=deeplink:detalle_licitacion&amp;idEvl=6MG%2BndouiaJrhBlEHQFSKA%3D%3D" TargetMode="External" Id="rId2526"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2527" /><Relationship Type="http://schemas.openxmlformats.org/officeDocument/2006/relationships/hyperlink" Target="https://contrataciondelestado.es/wps/poc?uri=deeplink:detalle_licitacion&amp;idEvl=2YQO4PmhbTf5Rey58Yagpg%3D%3D" TargetMode="External" Id="rId2528" /><Relationship Type="http://schemas.openxmlformats.org/officeDocument/2006/relationships/hyperlink" Target="https://contrataciondelestado.es/FileSystem/servlet/GetDocumentByIdServlet?cifrado=QUC1GjXXSiLkydRHJBmbpw%3D%3D&amp;DocumentIdParam=PlN91KpxD2YI7dAQcFCRAV8zzJnZJ7yZNj41Xt1BjhJORPAuvTGEY83TllAp0/FE5Dyy1Rs8ngAevnRwTGyIzAjaHwFjiGUarps6lC9uiYH3GVhXrFFqN7yFncy7YfRK" TargetMode="External" Id="rId2529" /><Relationship Type="http://schemas.openxmlformats.org/officeDocument/2006/relationships/hyperlink" Target="https://contrataciondelestado.es/wps/poc?uri=deeplink:detalle_licitacion&amp;idEvl=NhUjwcj1LkPkY6rls5tG9A%3D%3D" TargetMode="External" Id="rId2530"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2531" /><Relationship Type="http://schemas.openxmlformats.org/officeDocument/2006/relationships/hyperlink" Target="https://contrataciondelestado.es/wps/poc?uri=deeplink:detalle_licitacion&amp;idEvl=KbsbD2zm6oWdkQsA7ROvsg%3D%3D" TargetMode="External" Id="rId2532"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2533" /><Relationship Type="http://schemas.openxmlformats.org/officeDocument/2006/relationships/hyperlink" Target="https://contrataciondelestado.es/wps/poc?uri=deeplink:detalle_licitacion&amp;idEvl=etMpS3tWl8prSd8H4b2soA%3D%3D" TargetMode="External" Id="rId2534" /><Relationship Type="http://schemas.openxmlformats.org/officeDocument/2006/relationships/hyperlink" Target="https://contrataciondelestado.es/FileSystem/servlet/GetDocumentByIdServlet?cifrado=QUC1GjXXSiLkydRHJBmbpw%3D%3D&amp;DocumentIdParam=mWYExmK%2BXJzUQVBq4cetIpXcSzK5fhNugSTIHCPKWUP9k3XrZsxAaSptp1/vNaYTNFJ1PMPmbZZwCu3JmB9qgP/SxxyMyWZtyi%2B1oQMvAilt/o8fNevwsujgRzaBbugn" TargetMode="External" Id="rId2535" /><Relationship Type="http://schemas.openxmlformats.org/officeDocument/2006/relationships/hyperlink" Target="https://contrataciondelestado.es/wps/poc?uri=deeplink:detalle_licitacion&amp;idEvl=vp74JXB%2Fhp7jHF5qKI4aaw%3D%3D" TargetMode="External" Id="rId2536" /><Relationship Type="http://schemas.openxmlformats.org/officeDocument/2006/relationships/hyperlink" Target="https://contrataciondelestado.es/wps/poc?uri=deeplink:detalle_licitacion&amp;idEvl=Er8SGKhaA4l%2FR5QFTlaM4A%3D%3D" TargetMode="External" Id="rId2537" /><Relationship Type="http://schemas.openxmlformats.org/officeDocument/2006/relationships/hyperlink" Target="https://contrataciondelestado.es/FileSystem/servlet/GetDocumentByIdServlet?cifrado=QUC1GjXXSiLkydRHJBmbpw%3D%3D&amp;DocumentIdParam=Rbmt17UQwLUVN/dCVyvvIL6ZMz1WeFol7xrs/PzhdOM8pvdGY0zadgEpQ3lzJMCtO3P1/t6xXpwtvAwqfvm5JZ65qDhdTStWDSJyffZUtyb3GVhXrFFqN7yFncy7YfRK" TargetMode="External" Id="rId2538" /><Relationship Type="http://schemas.openxmlformats.org/officeDocument/2006/relationships/hyperlink" Target="https://contrataciondelestado.es/wps/poc?uri=deeplink:detalle_licitacion&amp;idEvl=OiuovvO7xehWhbmkna2nXQ%3D%3D" TargetMode="External" Id="rId2539" /><Relationship Type="http://schemas.openxmlformats.org/officeDocument/2006/relationships/hyperlink" Target="https://contrataciondelestado.es/wps/poc?uri=deeplink:detalle_licitacion&amp;idEvl=3DizzLAwLydPpzdqOdhuWg%3D%3D" TargetMode="External" Id="rId2540" /><Relationship Type="http://schemas.openxmlformats.org/officeDocument/2006/relationships/hyperlink" Target="https://contrataciondelestado.es/FileSystem/servlet/GetDocumentByIdServlet?cifrado=QUC1GjXXSiLkydRHJBmbpw%3D%3D&amp;DocumentIdParam=pu6ke1lcIevP/m6wH95P%2BsA9ZBpn0rIbjuL3%2BOT2/wNOlfm9NeBtBrOMw6hlEO8BDMttOMk5X4tFwUOW/vlAMofMQvaqMJmAEj7JsZsgxFj3GVhXrFFqN7yFncy7YfRK" TargetMode="External" Id="rId2541" /><Relationship Type="http://schemas.openxmlformats.org/officeDocument/2006/relationships/hyperlink" Target="https://contrataciondelestado.es/wps/poc?uri=deeplink:detalle_licitacion&amp;idEvl=g4fnwbDYKFCLAncw3qdZkA%3D%3D" TargetMode="External" Id="rId2542"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2543" /><Relationship Type="http://schemas.openxmlformats.org/officeDocument/2006/relationships/hyperlink" Target="https://contrataciondelestado.es/wps/poc?uri=deeplink:detalle_licitacion&amp;idEvl=hmAf2yIKcMLua%2Fi14w%2FPLA%3D%3D" TargetMode="External" Id="rId2544" /><Relationship Type="http://schemas.openxmlformats.org/officeDocument/2006/relationships/hyperlink" Target="https://contrataciondelestado.es/wps/poc?uri=deeplink:detalle_licitacion&amp;idEvl=RMFwsUWQ2s%2F10HRJw8TEnQ%3D%3D" TargetMode="External" Id="rId2545" /><Relationship Type="http://schemas.openxmlformats.org/officeDocument/2006/relationships/hyperlink" Target="https://contrataciondelestado.es/FileSystem/servlet/GetDocumentByIdServlet?cifrado=QUC1GjXXSiLkydRHJBmbpw%3D%3D&amp;DocumentIdParam=16A22WwLjd1jul9IO01FQJCAHu%2BttqMJigIfdIqZ1yuOCQeCXc3vQbnzSgGHhIzCX%2Bo8vp8WEeEX63VUINXT5rjdTaj/tJ7bu7Il8ZFELGRJOVDbGCDM%2BMigrvuVS7Rv" TargetMode="External" Id="rId2546" /><Relationship Type="http://schemas.openxmlformats.org/officeDocument/2006/relationships/hyperlink" Target="https://contrataciondelestado.es/wps/poc?uri=deeplink:detalle_licitacion&amp;idEvl=X%2B3Gh%2FTcalD5Rey58Yagpg%3D%3D" TargetMode="External" Id="rId2547" /><Relationship Type="http://schemas.openxmlformats.org/officeDocument/2006/relationships/hyperlink" Target="https://contrataciondelestado.es/FileSystem/servlet/GetDocumentByIdServlet?DocumentIdParam=3megUpfS4gJDyoPgkKAbrXO8Cxr0h48oLMwhtOGdDWLlQYLi5qEe4N8sPRjMn%2BNQ51qYllznKpphjY8LjBpNarpJVuzlTQ7VQo%2Bk%2BhDMWfJt/o8fNevwsujgRzaBbugn&amp;cifrado=QUC1GjXXSiLkydRHJBmbpw%3D%3D" TargetMode="External" Id="rId2548" /><Relationship Type="http://schemas.openxmlformats.org/officeDocument/2006/relationships/hyperlink" Target="https://contrataciondelestado.es/wps/poc?uri=deeplink:detalle_licitacion&amp;idEvl=tMkoJQ8nkom8ebB%2FXTwy0A%3D%3D" TargetMode="External" Id="rId2549" /><Relationship Type="http://schemas.openxmlformats.org/officeDocument/2006/relationships/hyperlink" Target="https://contrataciondelestado.es/FileSystem/servlet/GetDocumentByIdServlet?cifrado=QUC1GjXXSiLkydRHJBmbpw%3D%3D&amp;DocumentIdParam=FmvOI8FrY5Ng3GWLUVAtvU%2BEVYJvVFijs2ma/xdRl1MPYfHyCrQX9mpnvwudoyLVdBRgoorIKhlfXxuOiQqZxeGsYPIiLpsIQO%2BQfzpIfMhJOVDbGCDM%2BMigrvuVS7Rv" TargetMode="External" Id="rId2550" /><Relationship Type="http://schemas.openxmlformats.org/officeDocument/2006/relationships/hyperlink" Target="https://contrataciondelestado.es/wps/poc?uri=deeplink:detalle_licitacion&amp;idEvl=9wBkG36kX3cZDGvgaZEVxQ%3D%3D" TargetMode="External" Id="rId2551"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2552" /><Relationship Type="http://schemas.openxmlformats.org/officeDocument/2006/relationships/hyperlink" Target="https://contrataciondelestado.es/wps/poc?uri=deeplink:detalle_licitacion&amp;idEvl=xzphEwMjvPE%2FbjW6njtWLw%3D%3D" TargetMode="External" Id="rId2553" /><Relationship Type="http://schemas.openxmlformats.org/officeDocument/2006/relationships/hyperlink" Target="https://contrataciondelestado.es/FileSystem/servlet/GetDocumentByIdServlet?cifrado=QUC1GjXXSiLkydRHJBmbpw%3D%3D&amp;DocumentIdParam=Y1PD7T9wJXAhMwI1SJjYhQWl9NX9lBPcyqWpiHTTm2RgeXryXh972JbqyrRrrS1yudcZSJB7M3kAS%2Bm%2BtQc6n1qczlvLcDsSS3K5hjOcNHF45ClyWkoJ44mKM70IFcOu" TargetMode="External" Id="rId2554" /><Relationship Type="http://schemas.openxmlformats.org/officeDocument/2006/relationships/hyperlink" Target="https://contrataciondelestado.es/wps/poc?uri=deeplink:detalle_licitacion&amp;idEvl=Cw7TwRl9gXwzjChw4z%2FXvw%3D%3D" TargetMode="External" Id="rId2555" /><Relationship Type="http://schemas.openxmlformats.org/officeDocument/2006/relationships/hyperlink" Target="https://contrataciondelestado.es/FileSystem/servlet/GetDocumentByIdServlet?cifrado=QUC1GjXXSiLkydRHJBmbpw%3D%3D&amp;DocumentIdParam=Syu1OPjxFPdfPBzzCIbkQROaW/JENKHms5Xhi9qY4yhZwCkv03JrT6mSvWYNIeph2HRBhgQ%2BUnSENWWiErZtTRnboPkaor%2BfJ7KoaeyyrejDdQD9RyhUmzT4jZ2In4zL" TargetMode="External" Id="rId2556" /><Relationship Type="http://schemas.openxmlformats.org/officeDocument/2006/relationships/hyperlink" Target="https://contrataciondelestado.es/wps/poc?uri=deeplink:detalle_licitacion&amp;idEvl=gq9h68gvFFY7u6%2B%2FR7DUoA%3D%3D" TargetMode="External" Id="rId2557" /><Relationship Type="http://schemas.openxmlformats.org/officeDocument/2006/relationships/hyperlink" Target="https://contrataciondelestado.es/FileSystem/servlet/GetDocumentByIdServlet?cifrado=QUC1GjXXSiLkydRHJBmbpw%3D%3D&amp;DocumentIdParam=OjrjeGxvSLdyubwRY5SsEZbfz5u7V/v8/YLAxZtMwRtTcPwfo5iCm/g7LuT83a%2BAbSCVKYWHS7MYj%2Bkcny0mugPHrxJvODO5NcuH4OlpUkXDdQD9RyhUmzT4jZ2In4zL" TargetMode="External" Id="rId2558" /><Relationship Type="http://schemas.openxmlformats.org/officeDocument/2006/relationships/hyperlink" Target="https://contrataciondelestado.es/wps/poc?uri=deeplink:detalle_licitacion&amp;idEvl=MZH7J7tnXHc7%2B9FIQYNjeQ%3D%3D" TargetMode="External" Id="rId2559"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2560" /><Relationship Type="http://schemas.openxmlformats.org/officeDocument/2006/relationships/hyperlink" Target="https://contrataciondelestado.es/wps/poc?uri=deeplink:detalle_licitacion&amp;idEvl=ee5cnzHwoBs%2B1TMyIiZmzw%3D%3D" TargetMode="External" Id="rId2561" /><Relationship Type="http://schemas.openxmlformats.org/officeDocument/2006/relationships/hyperlink" Target="https://contrataciondelestado.es/FileSystem/servlet/GetDocumentByIdServlet?cifrado=QUC1GjXXSiLkydRHJBmbpw%3D%3D&amp;DocumentIdParam=4bWqnRyBKbYzQCQUTjUr7iX1oSJWdFyP8e/q%2BPMxzH9OEAyJs8k04CDbv2fmruQ7JnCFXKAnXzveyB7uz1FDwVHUf3ypwser3yBhlDJ0T9Vt/o8fNevwsujgRzaBbugn" TargetMode="External" Id="rId2562" /><Relationship Type="http://schemas.openxmlformats.org/officeDocument/2006/relationships/hyperlink" Target="https://contrataciondelestado.es/wps/poc?uri=deeplink:detalle_licitacion&amp;idEvl=nJIeYdruKuucTfjQf3USOg%3D%3D" TargetMode="External" Id="rId2563" /><Relationship Type="http://schemas.openxmlformats.org/officeDocument/2006/relationships/hyperlink" Target="https://contrataciondelestado.es/FileSystem/servlet/GetDocumentByIdServlet?cifrado=QUC1GjXXSiLkydRHJBmbpw%3D%3D&amp;DocumentIdParam=kOzZ6wg9X9YDhgORihgrHz%2BnqNXzr9FMqlBrJt3bN/7HbKX8eBL6KMqKC2qcqW7ym3gDv1pcp6IFbEPzoI71OBdQmvir/xmaT3ZqQ2%2B4DEB7QB3HKyQaFUExmUVQCerk" TargetMode="External" Id="rId2564" /><Relationship Type="http://schemas.openxmlformats.org/officeDocument/2006/relationships/hyperlink" Target="https://contrataciondelestado.es/wps/poc?uri=deeplink:detalle_licitacion&amp;idEvl=Jk9TAkCaPGQkJPJS%2BPS9vg%3D%3D" TargetMode="External" Id="rId2565" /><Relationship Type="http://schemas.openxmlformats.org/officeDocument/2006/relationships/hyperlink" Target="https://contrataciondelestado.es/FileSystem/servlet/GetDocumentByIdServlet?cifrado=QUC1GjXXSiLkydRHJBmbpw%3D%3D&amp;DocumentIdParam=lPC5hPSrU88j47FyZXXQvGSPUGMibrHTzK5CBqebZ8lN5Qzi/73/rOe4bEhGGmL3qoFNRRhpFcTIt%2BXs%2Bae9DI1I/6l2bJSCAmFq0PiLOPht/o8fNevwsujgRzaBbugn" TargetMode="External" Id="rId2566" /><Relationship Type="http://schemas.openxmlformats.org/officeDocument/2006/relationships/hyperlink" Target="https://contrataciondelestado.es/wps/poc?uri=deeplink:detalle_licitacion&amp;idEvl=RFTMg%2Bl%2FmmAl5NjlNci%2BtA%3D%3D" TargetMode="External" Id="rId2567" /><Relationship Type="http://schemas.openxmlformats.org/officeDocument/2006/relationships/hyperlink" Target="https://contrataciondelestado.es/FileSystem/servlet/GetDocumentByIdServlet?cifrado=QUC1GjXXSiLkydRHJBmbpw%3D%3D&amp;DocumentIdParam=ByffbFthw/F6yU7WOoJT9bAEEA9ZAmLl5vI5xl2NcaGOzP//Ni9cL%2BArbTrRLI06CIhwsGva35y2hdD230d7SaIRmNUfEQRXk5QJQiSLzg0//q7NB2iMZvNyf0xrJmjt" TargetMode="External" Id="rId2568" /><Relationship Type="http://schemas.openxmlformats.org/officeDocument/2006/relationships/hyperlink" Target="https://contrataciondelestado.es/wps/poc?uri=deeplink:detalle_licitacion&amp;idEvl=wihiC4A%2FnxYadbH3CysQuQ%3D%3D" TargetMode="External" Id="rId2569" /><Relationship Type="http://schemas.openxmlformats.org/officeDocument/2006/relationships/hyperlink" Target="https://contrataciondelestado.es/FileSystem/servlet/GetDocumentByIdServlet?DocumentIdParam=OGvYxROYHhS3KpDqRazJNefciGVtVpoFFjOpHJdT1zd2d0hnYXOrPWMf6TTERxOY7EJ2XsqeAVBTGXOIJP5y77mCkMrtVpHhnD5c7VHsJdfVTD3T98KC0nSgQFM0q%2B5s&amp;cifrado=QUC1GjXXSiLkydRHJBmbpw%3D%3D" TargetMode="External" Id="rId2570" /><Relationship Type="http://schemas.openxmlformats.org/officeDocument/2006/relationships/hyperlink" Target="https://contrataciondelestado.es/wps/poc?uri=deeplink:detalle_licitacion&amp;idEvl=2WBEMrTSfj%2F%2B3JAijKO%2Bkg%3D%3D" TargetMode="External" Id="rId2571" /><Relationship Type="http://schemas.openxmlformats.org/officeDocument/2006/relationships/hyperlink" Target="https://contrataciondelestado.es/FileSystem/servlet/GetDocumentByIdServlet?cifrado=QUC1GjXXSiLkydRHJBmbpw%3D%3D&amp;DocumentIdParam=24OQ9UuA6%2B/GvgMNpXQF0YP0vxqvhEXquQwc8q8b3rofc1y4CacgdLBDs6YOYnyWrQePn8%2BmOTIbh7iOSxTnG//%2BVOz9jGCMKCBKVOctzx/6CYyL7SIrUOBFfNf52ZqA" TargetMode="External" Id="rId2572" /><Relationship Type="http://schemas.openxmlformats.org/officeDocument/2006/relationships/hyperlink" Target="https://contrataciondelestado.es/wps/poc?uri=deeplink:detalle_licitacion&amp;idEvl=s6SPnT5ofKCP%2Bo96UAV7cQ%3D%3D" TargetMode="External" Id="rId2573" /><Relationship Type="http://schemas.openxmlformats.org/officeDocument/2006/relationships/hyperlink" Target="https://contrataciondelestado.es/FileSystem/servlet/GetDocumentByIdServlet?cifrado=QUC1GjXXSiLkydRHJBmbpw%3D%3D&amp;DocumentIdParam=ejeSAHOXupoJTi1WdjcnDtCv5PY1hroI/XzNtioqqVEq2FI7ndHToExuXhsFsO3eFqMOXI7%2BF1UPzJrMySguTNqdGHXy6MIVI8kN3%2BXaS0Vt/o8fNevwsujgRzaBbugn" TargetMode="External" Id="rId2574" /><Relationship Type="http://schemas.openxmlformats.org/officeDocument/2006/relationships/hyperlink" Target="https://contrataciondelestado.es/wps/poc?uri=deeplink:detalle_licitacion&amp;idEvl=Z96yQtK6OjsmMOlAXxDEjw%3D%3D" TargetMode="External" Id="rId2575" /><Relationship Type="http://schemas.openxmlformats.org/officeDocument/2006/relationships/hyperlink" Target="https://contrataciondelestado.es/FileSystem/servlet/GetDocumentByIdServlet?cifrado=QUC1GjXXSiLkydRHJBmbpw%3D%3D&amp;DocumentIdParam=xdDC9/MoVICEEdCuhYl3oD69Y9t2bacMh6w0q7XLMANN4zR7NqUkhNS9JVZczXbloOfoU4aheO7UXvPzDDfmAsAilKj7WdnBb6RyiMy8/YVJOVDbGCDM%2BMigrvuVS7Rv" TargetMode="External" Id="rId2576" /><Relationship Type="http://schemas.openxmlformats.org/officeDocument/2006/relationships/hyperlink" Target="https://contrataciondelestado.es/wps/poc?uri=deeplink:detalle_licitacion&amp;idEvl=83Xca%2Fl6aZjmnwcj%2BxbdTg%3D%3D" TargetMode="External" Id="rId2577" /><Relationship Type="http://schemas.openxmlformats.org/officeDocument/2006/relationships/hyperlink" Target="https://contrataciondelestado.es/FileSystem/servlet/GetDocumentByIdServlet?cifrado=QUC1GjXXSiLkydRHJBmbpw%3D%3D&amp;DocumentIdParam=gbhM2vhuij6Yf3nOkHwDtP24CTYtJNxIFJfNNFV/AMrfsg/EmnUBuyhN8/ucNETFCdfWkvpafg44q/HlK1wRZP/VSFQsdtf1qbt2mOKYN7qHAj0WEJrB5sP7amrh2jBD" TargetMode="External" Id="rId2578" /><Relationship Type="http://schemas.openxmlformats.org/officeDocument/2006/relationships/hyperlink" Target="https://contrataciondelestado.es/wps/poc?uri=deeplink:detalle_licitacion&amp;idEvl=CerQ9laN%2FBUXhk1FZxEyvw%3D%3D" TargetMode="External" Id="rId2579" /><Relationship Type="http://schemas.openxmlformats.org/officeDocument/2006/relationships/hyperlink" Target="https://contrataciondelestado.es/FileSystem/servlet/GetDocumentByIdServlet?cifrado=QUC1GjXXSiLkydRHJBmbpw%3D%3D&amp;DocumentIdParam=hK2HPj%2BcBj8l05iVYgxPdpy6PfjmlldsL53d7A%2BRhCwjR0yA/uAGEsUVTDHmmxvQuU9ejIuyFxvLElI/AOgPS7IxqZWVv96nEMG1lNEBhs0C1/zDIE0Kw/PWNnLS0Z0z" TargetMode="External" Id="rId2580" /><Relationship Type="http://schemas.openxmlformats.org/officeDocument/2006/relationships/hyperlink" Target="https://contrataciondelestado.es/wps/poc?uri=deeplink:detalle_licitacion&amp;idEvl=0OBW4qJT2G04NavIWzMcHA%3D%3D" TargetMode="External" Id="rId2581" /><Relationship Type="http://schemas.openxmlformats.org/officeDocument/2006/relationships/hyperlink" Target="https://contrataciondelestado.es/FileSystem/servlet/GetDocumentByIdServlet?cifrado=QUC1GjXXSiLkydRHJBmbpw%3D%3D&amp;DocumentIdParam=aher60p5R8WOZ71sjETxyZLqW7DoklHSmzDRd7Jwc%2BO%2BekkC9vm%2BU8Imnfj5dbeMpaht/muKwE//encRBi0CIZ7AJDFmwmIE3u0rAml1N5k//q7NB2iMZvNyf0xrJmjt" TargetMode="External" Id="rId2582" /><Relationship Type="http://schemas.openxmlformats.org/officeDocument/2006/relationships/hyperlink" Target="https://contrataciondelestado.es/wps/poc?uri=deeplink:detalle_licitacion&amp;idEvl=as0u1SrK6vngL1BHd3qjQA%3D%3D" TargetMode="External" Id="rId2583" /><Relationship Type="http://schemas.openxmlformats.org/officeDocument/2006/relationships/hyperlink" Target="https://contrataciondelestado.es/FileSystem/servlet/GetDocumentByIdServlet?cifrado=QUC1GjXXSiLkydRHJBmbpw%3D%3D&amp;DocumentIdParam=dE7XGp9tI9LZAOuAvLnT2f8otyB5HHYWaXvmk0PwHeVyTQuTPPragLDKccrtZeu2xHLFXv8IqY0QTcXqcBY0KVfEjkMZaQAy2tR/I2hfVSrVTD3T98KC0nSgQFM0q%2B5s" TargetMode="External" Id="rId2584" /><Relationship Type="http://schemas.openxmlformats.org/officeDocument/2006/relationships/hyperlink" Target="https://contrataciondelestado.es/wps/poc?uri=deeplink:detalle_licitacion&amp;idEvl=TSZ3CItxyMFVq4S9zvaQpQ%3D%3D" TargetMode="External" Id="rId2585" /><Relationship Type="http://schemas.openxmlformats.org/officeDocument/2006/relationships/hyperlink" Target="https://contrataciondelestado.es/FileSystem/servlet/GetDocumentByIdServlet?cifrado=QUC1GjXXSiLkydRHJBmbpw%3D%3D&amp;DocumentIdParam=cqaKhlfXY6IUvHhdXdnbvosUvZRyca7rm7wacH0KgCI98blGneRAYbPxH5pnHPqUNb6NFo/TxB37WaZsvoBdtm5/uFKr0MWP%2B3HzIzhFc%2Bd45ClyWkoJ44mKM70IFcOu" TargetMode="External" Id="rId2586" /><Relationship Type="http://schemas.openxmlformats.org/officeDocument/2006/relationships/hyperlink" Target="https://contrataciondelestado.es/wps/poc?uri=deeplink:detalle_licitacion&amp;idEvl=DPlRu%2FN0YFDN3k3tjedSGw%3D%3D" TargetMode="External" Id="rId2587" /><Relationship Type="http://schemas.openxmlformats.org/officeDocument/2006/relationships/hyperlink" Target="https://contrataciondelestado.es/FileSystem/servlet/GetDocumentByIdServlet?cifrado=QUC1GjXXSiLkydRHJBmbpw%3D%3D&amp;DocumentIdParam=VZfixEqvGZiO7eeYt3rZ1MRwITXSSDWTB3f1SCeImV7HUnXND6n5uJ9GKSOqrvRsiKJ9LiDU%2BXZRVHigsSiRAAw0/R4HNy25MgunQzIN5YV7QB3HKyQaFUExmUVQCerk" TargetMode="External" Id="rId2588" /><Relationship Type="http://schemas.openxmlformats.org/officeDocument/2006/relationships/hyperlink" Target="https://contrataciondelestado.es/wps/poc?uri=deeplink:detalle_licitacion&amp;idEvl=QDlvKuIOi%2BA2wEhQbcAqug%3D%3D" TargetMode="External" Id="rId2589" /><Relationship Type="http://schemas.openxmlformats.org/officeDocument/2006/relationships/hyperlink" Target="https://contrataciondelestado.es/FileSystem/servlet/GetDocumentByIdServlet?cifrado=QUC1GjXXSiLkydRHJBmbpw%3D%3D&amp;DocumentIdParam=cgii6KVY6xlWl%2BsHzL2wVYqXoc4HZNoeINX9I19nztUIK41%2BH6eGjGhuTf/paRe5l1N19QN3hcXldpiSgNi0hc3YFC9PrbUfLWDi2svS7C545ClyWkoJ44mKM70IFcOu" TargetMode="External" Id="rId2590" /><Relationship Type="http://schemas.openxmlformats.org/officeDocument/2006/relationships/hyperlink" Target="https://contrataciondelestado.es/wps/poc?uri=deeplink:detalle_licitacion&amp;idEvl=AosmgVs8FCtSYrkJkLlFdw%3D%3D" TargetMode="External" Id="rId2591" /><Relationship Type="http://schemas.openxmlformats.org/officeDocument/2006/relationships/hyperlink" Target="https://contrataciondelestado.es/FileSystem/servlet/GetDocumentByIdServlet?cifrado=QUC1GjXXSiLkydRHJBmbpw%3D%3D&amp;DocumentIdParam=fCB1ebW51o2x5VUmmC5tOZYhSn%2BiOCN/BeLekS3isEXrj3yRMAyiTHwM1JFoM5mgeyN9MySk00wTILS%2Bt7xNSuhLxeMU9LXGn91kTDO/JPYZyAJWGsSt0OzTSTyw9JAs" TargetMode="External" Id="rId2592" /><Relationship Type="http://schemas.openxmlformats.org/officeDocument/2006/relationships/hyperlink" Target="https://contrataciondelestado.es/wps/poc?uri=deeplink:detalle_licitacion&amp;idEvl=ONdxaoz1IC84NavIWzMcHA%3D%3D" TargetMode="External" Id="rId2593" /><Relationship Type="http://schemas.openxmlformats.org/officeDocument/2006/relationships/hyperlink" Target="https://contrataciondelestado.es/FileSystem/servlet/GetDocumentByIdServlet?cifrado=QUC1GjXXSiLkydRHJBmbpw%3D%3D&amp;DocumentIdParam=cYs1OqbINtqw4JpqlbOB6mvKvF%2Ba1TxtJ0O02y617ptV/D6SpvshboN7I7dnGpDjQIKgKqw5beecP5YZPhZfZRDufLj/ece6vidK%2BQXLqlh45ClyWkoJ44mKM70IFcOu" TargetMode="External" Id="rId2594" /><Relationship Type="http://schemas.openxmlformats.org/officeDocument/2006/relationships/hyperlink" Target="https://contrataciondelestado.es/wps/poc?uri=deeplink:detalle_licitacion&amp;idEvl=ydRWoumk5HKFQ%2FlhRK79lA%3D%3D" TargetMode="External" Id="rId2595" /><Relationship Type="http://schemas.openxmlformats.org/officeDocument/2006/relationships/hyperlink" Target="https://contrataciondelestado.es/FileSystem/servlet/GetDocumentByIdServlet?cifrado=QUC1GjXXSiLkydRHJBmbpw%3D%3D&amp;DocumentIdParam=TEcuYdvmxxRggYwRJFp0CSG9PNrhvKmLwRGz/PXY5Z5ictWa5/dHqllIdxO7Miy6NFzl%2BQy8b9PIn7s1YFIsJDDX946PywAtQp%2BBwUmvJux7QB3HKyQaFUExmUVQCerk" TargetMode="External" Id="rId2596" /><Relationship Type="http://schemas.openxmlformats.org/officeDocument/2006/relationships/hyperlink" Target="https://contrataciondelestado.es/wps/poc?uri=deeplink:detalle_licitacion&amp;idEvl=qYdQ2UNJlyWopEMYCmrbmw%3D%3D" TargetMode="External" Id="rId2597" /><Relationship Type="http://schemas.openxmlformats.org/officeDocument/2006/relationships/hyperlink" Target="https://contrataciondelestado.es/FileSystem/servlet/GetDocumentByIdServlet?cifrado=QUC1GjXXSiLkydRHJBmbpw%3D%3D&amp;DocumentIdParam=G6TtM3zlVLh4iBt0rco2I5YCl6DnsWRDItMTIcknE3AGyzhE9hqF97zZnUfi/ixPf1oMCpkq397n4ekdidUVOQ1geUESGKJSYQayH0CLcJTfdyQgZAdTm3EfcUAC7CJ6" TargetMode="External" Id="rId2598" /><Relationship Type="http://schemas.openxmlformats.org/officeDocument/2006/relationships/hyperlink" Target="https://contrataciondelestado.es/wps/poc?uri=deeplink:detalle_licitacion&amp;idEvl=L6hOwBseujd9PLkba5eRog%3D%3D" TargetMode="External" Id="rId2599" /><Relationship Type="http://schemas.openxmlformats.org/officeDocument/2006/relationships/hyperlink" Target="https://contrataciondelestado.es/FileSystem/servlet/GetDocumentByIdServlet?cifrado=QUC1GjXXSiLkydRHJBmbpw%3D%3D&amp;DocumentIdParam=q2JL61rnrUyeMfkrZnCgryAIUUwrnVO%2BoF6ntepRES1%2BMBrTVpWaqAfyXW9pSqJ/o12dEYIG2i5RZcXPgQKUa47MY8k9koQ2INTY8fZeICr6CYyL7SIrUOBFfNf52ZqA" TargetMode="External" Id="rId2600" /><Relationship Type="http://schemas.openxmlformats.org/officeDocument/2006/relationships/hyperlink" Target="https://contrataciondelestado.es/wps/poc?uri=deeplink:detalle_licitacion&amp;idEvl=w1t7So2fk2RPpzdqOdhuWg%3D%3D" TargetMode="External" Id="rId2601" /><Relationship Type="http://schemas.openxmlformats.org/officeDocument/2006/relationships/hyperlink" Target="https://contrataciondelestado.es/FileSystem/servlet/GetDocumentByIdServlet?cifrado=QUC1GjXXSiLkydRHJBmbpw%3D%3D&amp;DocumentIdParam=3ZXjyXajisQB1f1OIjq9idHQpQ/6OhQqzX0jdgUSIllpvKrufDBbRTwCNB%2BrMskcvBw8Szioc4dZ9e%2BrmQ9IQK/rlRbpQshsq6opgfm9tIUC1/zDIE0Kw/PWNnLS0Z0z" TargetMode="External" Id="rId2602" /><Relationship Type="http://schemas.openxmlformats.org/officeDocument/2006/relationships/hyperlink" Target="https://contrataciondelestado.es/wps/poc?uri=deeplink:detalle_licitacion&amp;idEvl=pSdA05lbz3Jt5r0ngvMetA%3D%3D" TargetMode="External" Id="rId2603" /><Relationship Type="http://schemas.openxmlformats.org/officeDocument/2006/relationships/hyperlink" Target="https://contrataciondelestado.es/FileSystem/servlet/GetDocumentByIdServlet?cifrado=QUC1GjXXSiLkydRHJBmbpw%3D%3D&amp;DocumentIdParam=uCOX0UjUjlqhf3QpWVxXi1JVp1BC5UkuVmuhTeG3KX2hqxQUOEBKIGgA49Rt7gFdR%2BbO71WzKECJ/0qCsXiDOhkg0FVVN059WR4VIAHMWPeCx2e6p7hqtlp2aFupgHMr" TargetMode="External" Id="rId2604" /><Relationship Type="http://schemas.openxmlformats.org/officeDocument/2006/relationships/hyperlink" Target="https://contrataciondelestado.es/wps/poc?uri=deeplink:detalle_licitacion&amp;idEvl=ABSgem6i7LZVkTabT%2FRM8A%3D%3D" TargetMode="External" Id="rId2605" /><Relationship Type="http://schemas.openxmlformats.org/officeDocument/2006/relationships/hyperlink" Target="https://contrataciondelestado.es/FileSystem/servlet/GetDocumentByIdServlet?cifrado=QUC1GjXXSiLkydRHJBmbpw%3D%3D&amp;DocumentIdParam=knwZfqKJCSOReSDCsS8ASK%2BsZxINwRoCEC5KONNKZ007T3RaotksFebDOfnNezbuzpyE9msbY71KiLjqyTBPdwvE9UrM2EZy2Cs%2BYuFbgAiHAj0WEJrB5sP7amrh2jBD" TargetMode="External" Id="rId2606" /><Relationship Type="http://schemas.openxmlformats.org/officeDocument/2006/relationships/hyperlink" Target="https://contrataciondelestado.es/wps/poc?uri=deeplink:detalle_licitacion&amp;idEvl=WKxl4n9ShGrVGIpKDxgsAQ%3D%3D" TargetMode="External" Id="rId2607" /><Relationship Type="http://schemas.openxmlformats.org/officeDocument/2006/relationships/hyperlink" Target="https://contrataciondelestado.es/wps/poc?uri=deeplink:detalle_licitacion&amp;idEvl=EZpBt5Qp9zvs%2BnLj3vAg5A%3D%3D" TargetMode="External" Id="rId2608" /><Relationship Type="http://schemas.openxmlformats.org/officeDocument/2006/relationships/hyperlink" Target="https://contrataciondelestado.es/FileSystem/servlet/GetDocumentByIdServlet?cifrado=QUC1GjXXSiLkydRHJBmbpw%3D%3D&amp;DocumentIdParam=pMVECn1EAvhvAyI3TxF5f44jxrON6MQxSreAFd0Yrpqp0xqc%2BgDKO/BgskmASN1lq61cawqP5u6FWjFj9XDESottofoufYhZ%2BVvHDLJXwNA//q7NB2iMZvNyf0xrJmjt" TargetMode="External" Id="rId2609" /><Relationship Type="http://schemas.openxmlformats.org/officeDocument/2006/relationships/hyperlink" Target="https://contrataciondelestado.es/wps/poc?uri=deeplink:detalle_licitacion&amp;idEvl=h1hNlJd1CAtQFSeKCRun4Q%3D%3D" TargetMode="External" Id="rId2610" /><Relationship Type="http://schemas.openxmlformats.org/officeDocument/2006/relationships/hyperlink" Target="https://contrataciondelestado.es/FileSystem/servlet/GetDocumentByIdServlet?cifrado=QUC1GjXXSiLkydRHJBmbpw%3D%3D&amp;DocumentIdParam=1H%2BYHuxv9MmVKeMmKJTQyOift1NPP3UJp21iWEVkVv3vrHQOmAxPJ3fOjc6u3U%2BdUKTr/ALQjoq35mKFmYo3XCahHg4WtHQd02dkB%2Bf03VQC1/zDIE0Kw/PWNnLS0Z0z" TargetMode="External" Id="rId2611" /><Relationship Type="http://schemas.openxmlformats.org/officeDocument/2006/relationships/hyperlink" Target="https://contrataciondelestado.es/wps/poc?uri=deeplink:detalle_licitacion&amp;idEvl=IwYt08KPtCi7JOCXkOhcDg%3D%3D" TargetMode="External" Id="rId2612"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2613" /><Relationship Type="http://schemas.openxmlformats.org/officeDocument/2006/relationships/hyperlink" Target="https://contrataciondelestado.es/wps/poc?uri=deeplink:detalle_licitacion&amp;idEvl=uwuuHdm2V3Z9PLkba5eRog%3D%3D" TargetMode="External" Id="rId2614"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2615" /><Relationship Type="http://schemas.openxmlformats.org/officeDocument/2006/relationships/hyperlink" Target="https://contrataciondelestado.es/wps/poc?uri=deeplink:detalle_licitacion&amp;idEvl=CVlzrPSyb26cTfjQf3USOg%3D%3D" TargetMode="External" Id="rId2616" /><Relationship Type="http://schemas.openxmlformats.org/officeDocument/2006/relationships/hyperlink" Target="https://contrataciondelestado.es/wps/wcm/connect/PLACE_es/Site/area/docAccCmpnt?srv=cmpnt&amp;cmpntname=GetDocumentsById&amp;source=library&amp;DocumentIdParam=5a51fb9d-8447-403d-804b-c8fbd4cf315f" TargetMode="External" Id="rId2617" /><Relationship Type="http://schemas.openxmlformats.org/officeDocument/2006/relationships/hyperlink" Target="https://contrataciondelestado.es/wps/poc?uri=deeplink:detalle_licitacion&amp;idEvl=rwhsNA1c2cB%2FP7lJ7Fu0SA%3D%3D" TargetMode="External" Id="rId2618"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2619" /><Relationship Type="http://schemas.openxmlformats.org/officeDocument/2006/relationships/hyperlink" Target="https://contrataciondelestado.es/wps/poc?uri=deeplink:detalle_licitacion&amp;idEvl=oKeaX1q7DYXCfVQHDepjGQ%3D%3D" TargetMode="External" Id="rId2620" /><Relationship Type="http://schemas.openxmlformats.org/officeDocument/2006/relationships/hyperlink" Target="https://contrataciondelestado.es/FileSystem/servlet/GetDocumentByIdServlet?cifrado=QUC1GjXXSiLkydRHJBmbpw%3D%3D&amp;DocumentIdParam=fv2csC1ATD/cETRRm0cRY8c%2BCnT%2BTG054HCp47afSFPOflgzKAeYPMbCOvE/P/MCG36AlvYgoo1oAmN1YEsSlcMHRxoawa3UP00T1el9Q53fdyQgZAdTm3EfcUAC7CJ6" TargetMode="External" Id="rId2621" /><Relationship Type="http://schemas.openxmlformats.org/officeDocument/2006/relationships/hyperlink" Target="https://contrataciondelestado.es/wps/poc?uri=deeplink:detalle_licitacion&amp;idEvl=47FkCao0SxydkQsA7ROvsg%3D%3D" TargetMode="External" Id="rId2622"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2623" /><Relationship Type="http://schemas.openxmlformats.org/officeDocument/2006/relationships/hyperlink" Target="https://contrataciondelestado.es/wps/poc?uri=deeplink:detalle_licitacion&amp;idEvl=yxLbMc2LQ0CP%2Bo96UAV7cQ%3D%3D" TargetMode="External" Id="rId2624"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2625" /><Relationship Type="http://schemas.openxmlformats.org/officeDocument/2006/relationships/hyperlink" Target="https://contrataciondelestado.es/wps/poc?uri=deeplink:detalle_licitacion&amp;idEvl=6MZ0kFZqu2p9Zh%2FyRJgM8w%3D%3D" TargetMode="External" Id="rId2626" /><Relationship Type="http://schemas.openxmlformats.org/officeDocument/2006/relationships/hyperlink" Target="https://contrataciondelestado.es/FileSystem/servlet/GetDocumentByIdServlet?cifrado=QUC1GjXXSiLkydRHJBmbpw%3D%3D&amp;DocumentIdParam=RyVB83GCFV20u3SLnY4FWqaWy%2BrvW13txziucMsDn/Xn3a/TypatcwyXSCU7pDVqZ2mZl%2Bex7lmucEffNv999m/k%2B78RvNvknBgRlpYLT5U//q7NB2iMZvNyf0xrJmjt" TargetMode="External" Id="rId2627" /><Relationship Type="http://schemas.openxmlformats.org/officeDocument/2006/relationships/hyperlink" Target="https://contrataciondelestado.es/wps/poc?uri=deeplink:detalle_licitacion&amp;idEvl=J5dFkEJFfLxQFSeKCRun4Q%3D%3D" TargetMode="External" Id="rId2628"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2629" /><Relationship Type="http://schemas.openxmlformats.org/officeDocument/2006/relationships/hyperlink" Target="https://contrataciondelestado.es/wps/poc?uri=deeplink:detalle_licitacion&amp;idEvl=q5Vvs%2BsCtosS7pcxhTeWOg%3D%3D" TargetMode="External" Id="rId2630" /><Relationship Type="http://schemas.openxmlformats.org/officeDocument/2006/relationships/hyperlink" Target="https://contrataciondelestado.es/FileSystem/servlet/GetDocumentByIdServlet?cifrado=QUC1GjXXSiLkydRHJBmbpw%3D%3D&amp;DocumentIdParam=57TmaF3w9kL0Ke8hY4jTGZaIyNPZlK7QsVyHSJN%2B9Gn%2BJff0CYJRnfvU2IXYdlQyhyv0iZCHeN7yUeSE7zI/m%2BNH3nRhFcYOkace/u0NEZB45ClyWkoJ44mKM70IFcOu" TargetMode="External" Id="rId2631" /><Relationship Type="http://schemas.openxmlformats.org/officeDocument/2006/relationships/hyperlink" Target="https://contrataciondelestado.es/wps/poc?uri=deeplink:detalle_licitacion&amp;idEvl=BaILYloe850wYTJJ03sHog%3D%3D" TargetMode="External" Id="rId2632" /><Relationship Type="http://schemas.openxmlformats.org/officeDocument/2006/relationships/hyperlink" Target="https://contrataciondelestado.es/FileSystem/servlet/GetDocumentByIdServlet?cifrado=QUC1GjXXSiLkydRHJBmbpw%3D%3D&amp;DocumentIdParam=n44AYdR2WuAnD91Dz/ZmKtEp7L0US5VS/BfRSGag6BNbOX88pQXbDKGKu6Emvon4xvRtyF4gjps4h6O9b2Kn9jBC2egVCoH7myOXri6/wyCHAj0WEJrB5sP7amrh2jBD" TargetMode="External" Id="rId2633" /><Relationship Type="http://schemas.openxmlformats.org/officeDocument/2006/relationships/hyperlink" Target="https://contrataciondelestado.es/wps/poc?uri=deeplink:detalle_licitacion&amp;idEvl=%2FjRjPAtwt7AQyBAnWzHfCg%3D%3D" TargetMode="External" Id="rId2634" /><Relationship Type="http://schemas.openxmlformats.org/officeDocument/2006/relationships/hyperlink" Target="https://contrataciondelestado.es/FileSystem/servlet/GetDocumentByIdServlet?cifrado=QUC1GjXXSiLkydRHJBmbpw%3D%3D&amp;DocumentIdParam=whygy/FLN2pC4SMW%2Baihab9eC2VNODmv/TSOClv64JlUg6%2BJIr5XsQMVIGFOTLhvwugYbMIZzHQl70Mdi4EMHOON/CWOR6SnvubHqYaEUvX3GVhXrFFqN7yFncy7YfRK" TargetMode="External" Id="rId2635" /><Relationship Type="http://schemas.openxmlformats.org/officeDocument/2006/relationships/hyperlink" Target="https://contrataciondelestado.es/wps/poc?uri=deeplink:detalle_licitacion&amp;idEvl=OSDWA9pVaDpVYjgxA4nMUw%3D%3D" TargetMode="External" Id="rId2636" /><Relationship Type="http://schemas.openxmlformats.org/officeDocument/2006/relationships/hyperlink" Target="https://contrataciondelestado.es/FileSystem/servlet/GetDocumentByIdServlet?cifrado=QUC1GjXXSiLkydRHJBmbpw%3D%3D&amp;DocumentIdParam=kQ2YBv8zMh/uLBj0I7zUEFXtYT89UwQhU7T5EjMAlBGc9yOjES79cXRlTr8dinxI8iJIuxH4KBfG4Y0NEBouUMRsYCwNbSqI3yZIUd7l0tTfdyQgZAdTm3EfcUAC7CJ6" TargetMode="External" Id="rId2637" /><Relationship Type="http://schemas.openxmlformats.org/officeDocument/2006/relationships/hyperlink" Target="https://contrataciondelestado.es/wps/poc?uri=deeplink:detalle_licitacion&amp;idEvl=hME4u6Dmu7I%2Bk2oCbDosIw%3D%3D" TargetMode="External" Id="rId2638" /><Relationship Type="http://schemas.openxmlformats.org/officeDocument/2006/relationships/hyperlink" Target="https://contrataciondelestado.es/FileSystem/servlet/GetDocumentByIdServlet?cifrado=QUC1GjXXSiLkydRHJBmbpw%3D%3D&amp;DocumentIdParam=2GH4Yuh9TzHUQkWhSTuXydkXXCZV1wUf3BoTDt/eB6YxjzuxMGEGN3tJtVz4AVYEl0bua9AJDwS58z0SlbOpEmLpJc%2B%2BL74A6rANIta7jGBt/o8fNevwsujgRzaBbugn" TargetMode="External" Id="rId2639" /><Relationship Type="http://schemas.openxmlformats.org/officeDocument/2006/relationships/hyperlink" Target="https://contrataciondelestado.es/wps/poc?uri=deeplink:detalle_licitacion&amp;idEvl=6O18MEMPR0OdkQsA7ROvsg%3D%3D" TargetMode="External" Id="rId2640" /><Relationship Type="http://schemas.openxmlformats.org/officeDocument/2006/relationships/hyperlink" Target="https://contrataciondelestado.es/FileSystem/servlet/GetDocumentByIdServlet?cifrado=QUC1GjXXSiLkydRHJBmbpw%3D%3D&amp;DocumentIdParam=knbo6fk4E1QMEni%2BoBKFSe4zFb3OHutm/GO7cvRwDnYF/Notemzz88JzkyBAx8uHKo366g6bK9%2B3nFarOBke7toumbIzFdo0FmPn6cbCeRX3GVhXrFFqN7yFncy7YfRK" TargetMode="External" Id="rId2641" /><Relationship Type="http://schemas.openxmlformats.org/officeDocument/2006/relationships/hyperlink" Target="https://contrataciondelestado.es/wps/poc?uri=deeplink:detalle_licitacion&amp;idEvl=7fUAiBOYYpsaF6cS8TCh%2FA%3D%3D" TargetMode="External" Id="rId2642"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2643" /><Relationship Type="http://schemas.openxmlformats.org/officeDocument/2006/relationships/hyperlink" Target="https://contrataciondelestado.es/wps/poc?uri=deeplink:detalle_licitacion&amp;idEvl=mVdXuNqXHm02wEhQbcAqug%3D%3D" TargetMode="External" Id="rId2644" /><Relationship Type="http://schemas.openxmlformats.org/officeDocument/2006/relationships/hyperlink" Target="https://contrataciondelestado.es/FileSystem/servlet/GetDocumentByIdServlet?cifrado=QUC1GjXXSiLkydRHJBmbpw%3D%3D&amp;DocumentIdParam=zb0OHq2HQQ9I2UMe11YmYlDZ5SDoVlpFRNejjBLg7GAqFTaxIrq22n9ltn8smZQ/ce0DAwhUZIIBzeDqVSTfqhnq1wqE6fMxsF69dzzVUS9JOVDbGCDM%2BMigrvuVS7Rv" TargetMode="External" Id="rId2645" /><Relationship Type="http://schemas.openxmlformats.org/officeDocument/2006/relationships/hyperlink" Target="https://contrataciondelestado.es/wps/poc?uri=deeplink:detalle_licitacion&amp;idEvl=Dm6qVhLDoWycCF8sV%2BqtYA%3D%3D" TargetMode="External" Id="rId2646"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2647" /><Relationship Type="http://schemas.openxmlformats.org/officeDocument/2006/relationships/hyperlink" Target="https://contrataciondelestado.es/wps/poc?uri=deeplink:detalle_licitacion&amp;idEvl=TYOPJm4ng9h9PLkba5eRog%3D%3D" TargetMode="External" Id="rId2648" /><Relationship Type="http://schemas.openxmlformats.org/officeDocument/2006/relationships/hyperlink" Target="https://contrataciondelestado.es/FileSystem/servlet/GetDocumentByIdServlet?cifrado=QUC1GjXXSiLkydRHJBmbpw%3D%3D&amp;DocumentIdParam=6YYYdRvtHENycq6WHjsqgah8RrH1xurqWZ0YTzwkRXHhCJ%2BcJFs1rajmrNp/57UXTPtaaN0sScXEX%2BLQnR98dVctkY5%2BXRNNvhYUZMEYrvSCx2e6p7hqtlp2aFupgHMr" TargetMode="External" Id="rId2649" /><Relationship Type="http://schemas.openxmlformats.org/officeDocument/2006/relationships/hyperlink" Target="https://contrataciondelestado.es/wps/poc?uri=deeplink:detalle_licitacion&amp;idEvl=SgQ0NWYpIi%2BsNfRW6APEDw%3D%3D" TargetMode="External" Id="rId2650" /><Relationship Type="http://schemas.openxmlformats.org/officeDocument/2006/relationships/hyperlink" Target="https://contrataciondelestado.es/FileSystem/servlet/GetDocumentByIdServlet?cifrado=QUC1GjXXSiLkydRHJBmbpw%3D%3D&amp;DocumentIdParam=Y0yE2CVf/qM5h8qHjrfBmlcaFi4h8yJXUjr3ysAXFsBTcjB5gOSf6XWjYYHIIJFJeifHlqmNJaqsM3NVhGPWguBSypvPBMAu5ebuTQYBN/XDdQD9RyhUmzT4jZ2In4zL" TargetMode="External" Id="rId2651" /><Relationship Type="http://schemas.openxmlformats.org/officeDocument/2006/relationships/hyperlink" Target="https://contrataciondelestado.es/wps/poc?uri=deeplink:detalle_licitacion&amp;idEvl=r0YnGGMT4cbua%2Fi14w%2FPLA%3D%3D" TargetMode="External" Id="rId2652" /><Relationship Type="http://schemas.openxmlformats.org/officeDocument/2006/relationships/hyperlink" Target="https://contrataciondelestado.es/FileSystem/servlet/GetDocumentByIdServlet?cifrado=QUC1GjXXSiLkydRHJBmbpw%3D%3D&amp;DocumentIdParam=k/DBPFy3cNclWWbv601Zn9l%2BlQoF2uUGP%2BisJkFxy4Uu8Q0b8r9UI8raqEtPFrgyMkRwIGs2y8QS1%2B0HUluVta6b8VjqfCmYRv9wxCj1Esv3GVhXrFFqN7yFncy7YfRK" TargetMode="External" Id="rId2653" /><Relationship Type="http://schemas.openxmlformats.org/officeDocument/2006/relationships/hyperlink" Target="https://contrataciondelestado.es/wps/poc?uri=deeplink:detalle_licitacion&amp;idEvl=bCtIhmjrqy7E6P%2FuLemXRw%3D%3D" TargetMode="External" Id="rId2654" /><Relationship Type="http://schemas.openxmlformats.org/officeDocument/2006/relationships/hyperlink" Target="https://contrataciondelestado.es/FileSystem/servlet/GetDocumentByIdServlet?cifrado=QUC1GjXXSiLkydRHJBmbpw%3D%3D&amp;DocumentIdParam=BjGPPJVMaLhuuVM05xcLlHTxxr/J3wdWqgTruuKhMV70vB6/Cd38zCkZCc0iJFEPo03szFnNHzpd4elJOWYc2pB9JuatkpSEh5rQWtbN5ybVTD3T98KC0nSgQFM0q%2B5s" TargetMode="External" Id="rId2655" /><Relationship Type="http://schemas.openxmlformats.org/officeDocument/2006/relationships/hyperlink" Target="https://contrataciondelestado.es/wps/poc?uri=deeplink:detalle_licitacion&amp;idEvl=4IoxDsPd6ONPpzdqOdhuWg%3D%3D" TargetMode="External" Id="rId2656" /><Relationship Type="http://schemas.openxmlformats.org/officeDocument/2006/relationships/hyperlink" Target="https://contrataciondelestado.es/FileSystem/servlet/GetDocumentByIdServlet?cifrado=QUC1GjXXSiLkydRHJBmbpw%3D%3D&amp;DocumentIdParam=npGLXibGXSm0gKEj7%2BupwXx01znlzWIHXDwP25SQLbhMtYGnTqeAIWEO2ajfamfdMxkogDlWwU73tCoyg/xl3PWx5gYu/xMcGO%2BBNKbhvfh45ClyWkoJ44mKM70IFcOu" TargetMode="External" Id="rId2657" /><Relationship Type="http://schemas.openxmlformats.org/officeDocument/2006/relationships/hyperlink" Target="https://contrataciondelestado.es/wps/poc?uri=deeplink:detalle_licitacion&amp;idEvl=Eg2ENCF2aSuIzo3LHNPGcQ%3D%3D" TargetMode="External" Id="rId2658" /><Relationship Type="http://schemas.openxmlformats.org/officeDocument/2006/relationships/hyperlink" Target="https://contrataciondelestado.es/FileSystem/servlet/GetDocumentByIdServlet?cifrado=QUC1GjXXSiLkydRHJBmbpw%3D%3D&amp;DocumentIdParam=%2BvIUPvluChGeSeoSOkpjFcy%2B5QE8abodup6mNzhL%2Bk7sobJjl9hQc4DxGL3eZrc0QWjG%2Brxnk5zl9qNE/KQJxFxK%2BLRHdPa7olUCFmysduFJOVDbGCDM%2BMigrvuVS7Rv" TargetMode="External" Id="rId2659" /><Relationship Type="http://schemas.openxmlformats.org/officeDocument/2006/relationships/hyperlink" Target="https://contrataciondelestado.es/wps/poc?uri=deeplink:detalle_licitacion&amp;idEvl=RBGp8tMABhM%2Bk2oCbDosIw%3D%3D" TargetMode="External" Id="rId2660" /><Relationship Type="http://schemas.openxmlformats.org/officeDocument/2006/relationships/hyperlink" Target="https://contrataciondelestado.es/FileSystem/servlet/GetDocumentByIdServlet?cifrado=QUC1GjXXSiLkydRHJBmbpw%3D%3D&amp;DocumentIdParam=/fwnC9iZmVm2l/1fdM/2mr/oLobq61qa567s7TP2xHFsrKOc8h3ytrQEOPenNphJwDwnrLwcUtW7Z%2B/vS1sZdfdKV0FpKwcyoyRDei6bmriCx2e6p7hqtlp2aFupgHMr" TargetMode="External" Id="rId2661" /><Relationship Type="http://schemas.openxmlformats.org/officeDocument/2006/relationships/hyperlink" Target="https://contrataciondelestado.es/wps/poc?uri=deeplink:detalle_licitacion&amp;idEvl=WHALGmGEDpVVkTabT%2FRM8A%3D%3D" TargetMode="External" Id="rId2662" /><Relationship Type="http://schemas.openxmlformats.org/officeDocument/2006/relationships/hyperlink" Target="https://contrataciondelestado.es/FileSystem/servlet/GetDocumentByIdServlet?cifrado=QUC1GjXXSiLkydRHJBmbpw%3D%3D&amp;DocumentIdParam=tEnJpXJPnLzjQ8ddymr6r3vam3NawOFxSvE5gMUnl6NQzgm8zdnl8BBH8YZk64wrKPm7cJY3ROh/94mMVm2mdcSX%2BhuM8ncR9toGEhjZA6Vt/o8fNevwsujgRzaBbugn" TargetMode="External" Id="rId2663" /><Relationship Type="http://schemas.openxmlformats.org/officeDocument/2006/relationships/hyperlink" Target="https://contrataciondelestado.es/wps/poc?uri=deeplink:detalle_licitacion&amp;idEvl=8GcvqRdL2aZ4zIRvjBVCSw%3D%3D" TargetMode="External" Id="rId2664" /><Relationship Type="http://schemas.openxmlformats.org/officeDocument/2006/relationships/hyperlink" Target="https://contrataciondelestado.es/FileSystem/servlet/GetDocumentByIdServlet?cifrado=QUC1GjXXSiLkydRHJBmbpw%3D%3D&amp;DocumentIdParam=LqkNJQNfzWhG5Pf7CFezwsr7DOUN9/Xp4IO7vJHtN6x2BDp8qLHUGjfe2QcI/yGra5kphf/BUrFVjkqfXnlgYMBhlmhq8X6BefXtZBhCyFdJOVDbGCDM%2BMigrvuVS7Rv" TargetMode="External" Id="rId2665" /><Relationship Type="http://schemas.openxmlformats.org/officeDocument/2006/relationships/hyperlink" Target="https://contrataciondelestado.es/wps/poc?uri=deeplink:detalle_licitacion&amp;idEvl=WxQAZjENNsfIGlsa0Wad%2Bw%3D%3D" TargetMode="External" Id="rId2666" /><Relationship Type="http://schemas.openxmlformats.org/officeDocument/2006/relationships/hyperlink" Target="https://contrataciondelestado.es/FileSystem/servlet/GetDocumentByIdServlet?cifrado=QUC1GjXXSiLkydRHJBmbpw%3D%3D&amp;DocumentIdParam=syMA5722wPfMJCiG2N/qHop3c9RpgS4MKCMMDhcgBA8%2BM9pq9oplEtmbv3k4yDx1hKeMRCmX0/sG7FpL2x5dlfS1ZCKjjApK%2BUnHU1MTJfB45ClyWkoJ44mKM70IFcOu" TargetMode="External" Id="rId2667" /><Relationship Type="http://schemas.openxmlformats.org/officeDocument/2006/relationships/hyperlink" Target="https://contrataciondelestado.es/wps/poc?uri=deeplink:detalle_licitacion&amp;idEvl=ejM9s7f9nzTyoM4us5k4vw%3D%3D" TargetMode="External" Id="rId2668" /><Relationship Type="http://schemas.openxmlformats.org/officeDocument/2006/relationships/hyperlink" Target="https://contrataciondelestado.es/FileSystem/servlet/GetDocumentByIdServlet?cifrado=QUC1GjXXSiLkydRHJBmbpw%3D%3D&amp;DocumentIdParam=W%2BvKz6lNbb3skKOeeNAgffqLKkfqK%2BHfj49n5LBW3KH5FnRmUgRuShWN6NN87uKKX%2BT7Ywze8oNRucG3JTvi1vhXgR6peeaGq864fMBmD0k//q7NB2iMZvNyf0xrJmjt" TargetMode="External" Id="rId2669" /><Relationship Type="http://schemas.openxmlformats.org/officeDocument/2006/relationships/hyperlink" Target="https://contrataciondelestado.es/wps/poc?uri=deeplink:detalle_licitacion&amp;idEvl=XzTL1b2VHY436J9Lctlsuw%3D%3D" TargetMode="External" Id="rId2670" /><Relationship Type="http://schemas.openxmlformats.org/officeDocument/2006/relationships/hyperlink" Target="https://contrataciondelestado.es/FileSystem/servlet/GetDocumentByIdServlet?cifrado=QUC1GjXXSiLkydRHJBmbpw%3D%3D&amp;DocumentIdParam=Q9RudKj4HF1JD8vuX/TBTaptaCai4N/HsW3v4k8XKyKJuff10hIy6PvjAz%2BWHgLcgpUcOEZo46cjXkeC7TpSnK3ebr/fXhVH10fQAwZQjrxJOVDbGCDM%2BMigrvuVS7Rv" TargetMode="External" Id="rId2671" /><Relationship Type="http://schemas.openxmlformats.org/officeDocument/2006/relationships/hyperlink" Target="https://contrataciondelestado.es/wps/poc?uri=deeplink:detalle_licitacion&amp;idEvl=Ut3sPY37wnuExvMJXBMHHQ%3D%3D" TargetMode="External" Id="rId2672"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2673" /><Relationship Type="http://schemas.openxmlformats.org/officeDocument/2006/relationships/hyperlink" Target="https://contrataciondelestado.es/wps/poc?uri=deeplink:detalle_licitacion&amp;idEvl=O5sGau7lSHD10HRJw8TEnQ%3D%3D" TargetMode="External" Id="rId2674"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2675" /><Relationship Type="http://schemas.openxmlformats.org/officeDocument/2006/relationships/hyperlink" Target="https://contrataciondelestado.es/wps/poc?uri=deeplink:detalle_licitacion&amp;idEvl=2R%2F4oWRryv7XOjazN1Dw9Q%3D%3D" TargetMode="External" Id="rId2676" /><Relationship Type="http://schemas.openxmlformats.org/officeDocument/2006/relationships/hyperlink" Target="https://contrataciondelestado.es/FileSystem/servlet/GetDocumentByIdServlet?cifrado=QUC1GjXXSiLkydRHJBmbpw%3D%3D&amp;DocumentIdParam=OAvEOh7mRpih2IUuwtUhnuqMDovP/1cV/mbegFZIKPdLmW7cReT7mABgFdT4cKjNa9y/OarF8CTCdALY3z7SXTriUliiaCI8eIHZ45qnTox45ClyWkoJ44mKM70IFcOu" TargetMode="External" Id="rId2677" /><Relationship Type="http://schemas.openxmlformats.org/officeDocument/2006/relationships/hyperlink" Target="https://contrataciondelestado.es/wps/poc?uri=deeplink:detalle_licitacion&amp;idEvl=zcdj9UejJoSTylGzYmBF9Q%3D%3D" TargetMode="External" Id="rId2678"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2679" /><Relationship Type="http://schemas.openxmlformats.org/officeDocument/2006/relationships/hyperlink" Target="https://contrataciondelestado.es/wps/poc?uri=deeplink:detalle_licitacion&amp;idEvl=cwOrF9KKtRjs%2BnLj3vAg5A%3D%3D" TargetMode="External" Id="rId2680" /><Relationship Type="http://schemas.openxmlformats.org/officeDocument/2006/relationships/hyperlink" Target="https://contrataciondelestado.es/FileSystem/servlet/GetDocumentByIdServlet?cifrado=QUC1GjXXSiLkydRHJBmbpw%3D%3D&amp;DocumentIdParam=Ohg5VeVQzAbpMzElIC3DppjlWmRdSbDiXj8T67pOXy9mKfzLGKlU3zlQH%2BrDiwWMzdqysytLSzBAQuc9nYTpGJtiFQoGJSCozMMLPcM799x45ClyWkoJ44mKM70IFcOu" TargetMode="External" Id="rId2681" /><Relationship Type="http://schemas.openxmlformats.org/officeDocument/2006/relationships/hyperlink" Target="https://contrataciondelestado.es/wps/poc?uri=deeplink:detalle_licitacion&amp;idEvl=SiiDimwTB7Ul5NjlNci%2BtA%3D%3D" TargetMode="External" Id="rId2682" /><Relationship Type="http://schemas.openxmlformats.org/officeDocument/2006/relationships/hyperlink" Target="https://contrataciondelestado.es/FileSystem/servlet/GetDocumentByIdServlet?cifrado=QUC1GjXXSiLkydRHJBmbpw%3D%3D&amp;DocumentIdParam=7gPR/YULMJDpzKgSY4FEkzINQby0fI7lI4ru0oCV%2BYfo3zZ4zVUPQZejj1RFcEI7NqzNiAgA3lM0rjoK67odEBQK1MaDULKrxOQzORi2qXuHAj0WEJrB5sP7amrh2jBD" TargetMode="External" Id="rId2683" /><Relationship Type="http://schemas.openxmlformats.org/officeDocument/2006/relationships/hyperlink" Target="https://contrataciondelestado.es/wps/poc?uri=deeplink:detalle_licitacion&amp;idEvl=e6xuGP3acOa8ebB%2FXTwy0A%3D%3D" TargetMode="External" Id="rId2684" /><Relationship Type="http://schemas.openxmlformats.org/officeDocument/2006/relationships/hyperlink" Target="https://contrataciondelestado.es/wps/wcm/connect/PLACE_es/Site/area/docAccCmpnt?srv=cmpnt&amp;cmpntname=GetDocumentsById&amp;source=library&amp;DocumentIdParam=641df5e8-1852-4b5b-b492-9ae3bcbeb682" TargetMode="External" Id="rId2685" /><Relationship Type="http://schemas.openxmlformats.org/officeDocument/2006/relationships/hyperlink" Target="https://contrataciondelestado.es/wps/poc?uri=deeplink:detalle_licitacion&amp;idEvl=G1mLa7jzSyPECtSnloz%2BZQ%3D%3D" TargetMode="External" Id="rId2686"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2687" /><Relationship Type="http://schemas.openxmlformats.org/officeDocument/2006/relationships/hyperlink" Target="https://contrataciondelestado.es/wps/poc?uri=deeplink:detalle_licitacion&amp;idEvl=sCRawiNHKK8zjChw4z%2FXvw%3D%3D" TargetMode="External" Id="rId2688"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2689" /><Relationship Type="http://schemas.openxmlformats.org/officeDocument/2006/relationships/hyperlink" Target="https://contrataciondelestado.es/wps/poc?uri=deeplink:detalle_licitacion&amp;idEvl=%2FSbfQlst8IUQyBAnWzHfCg%3D%3D" TargetMode="External" Id="rId2690" /><Relationship Type="http://schemas.openxmlformats.org/officeDocument/2006/relationships/hyperlink" Target="https://contrataciondelestado.es/wps/wcm/connect/PLACE_es/Site/area/docAccCmpnt?srv=cmpnt&amp;cmpntname=GetDocumentsById&amp;source=library&amp;DocumentIdParam=7369d3c3-a96b-440b-85ac-ce9c5429d821" TargetMode="External" Id="rId2691" /><Relationship Type="http://schemas.openxmlformats.org/officeDocument/2006/relationships/hyperlink" Target="https://contrataciondelestado.es/wps/poc?uri=deeplink:detalle_licitacion&amp;idEvl=1AcibQy%2FEPAl5NjlNci%2BtA%3D%3D" TargetMode="External" Id="rId2692" /><Relationship Type="http://schemas.openxmlformats.org/officeDocument/2006/relationships/hyperlink" Target="https://contrataciondelestado.es/FileSystem/servlet/GetDocumentByIdServlet?cifrado=QUC1GjXXSiLkydRHJBmbpw%3D%3D&amp;DocumentIdParam=n7UnA0h9AUtYOr6Uox2NyLOyKh5LysqOP08EeLKwJXxnq7fCRT1ELAnwF5pWxiSCm0wPi48Q83S6CNY1flalLRK2J8h3wWICR77GCjkdHJvVTD3T98KC0nSgQFM0q%2B5s" TargetMode="External" Id="rId2693" /><Relationship Type="http://schemas.openxmlformats.org/officeDocument/2006/relationships/hyperlink" Target="https://contrataciondelestado.es/wps/poc?uri=deeplink:detalle_licitacion&amp;idEvl=YyeCo1EsCvrXOjazN1Dw9Q%3D%3D" TargetMode="External" Id="rId2694" /><Relationship Type="http://schemas.openxmlformats.org/officeDocument/2006/relationships/hyperlink" Target="https://contrataciondelestado.es/FileSystem/servlet/GetDocumentByIdServlet?cifrado=QUC1GjXXSiLkydRHJBmbpw%3D%3D&amp;DocumentIdParam=v6HZpceUHsPz%2BPQMch5nYchUBVvR4D3xYyCPMXHDzOVHlwo0uWPtxZMWF7SGgCJZSMyd5hejjcu%2B59IyOuVFEL5D815qVHnS7ha34/qe3WU//q7NB2iMZvNyf0xrJmjt" TargetMode="External" Id="rId2695" /><Relationship Type="http://schemas.openxmlformats.org/officeDocument/2006/relationships/hyperlink" Target="https://contrataciondelestado.es/wps/poc?uri=deeplink:detalle_licitacion&amp;idEvl=bSaK1RHlNuM4NavIWzMcHA%3D%3D" TargetMode="External" Id="rId2696" /><Relationship Type="http://schemas.openxmlformats.org/officeDocument/2006/relationships/hyperlink" Target="https://contrataciondelestado.es/FileSystem/servlet/GetDocumentByIdServlet?DocumentIdParam=ThkvhdQgxOvKIYyydHmCfQnZuZTdW5AKju/Q0poSny7IfHEyfbwg/uprG%2BkTkKyZn9NoVKrXWB0O0d2Q2AfpqT92yQvVLCLcs7Mnoawfzwh7QB3HKyQaFUExmUVQCerk&amp;cifrado=QUC1GjXXSiLkydRHJBmbpw%3D%3D" TargetMode="External" Id="rId2697" /><Relationship Type="http://schemas.openxmlformats.org/officeDocument/2006/relationships/hyperlink" Target="https://contrataciondelestado.es/wps/poc?uri=deeplink:detalle_licitacion&amp;idEvl=8w9pNy7FDWqP%2Bo96UAV7cQ%3D%3D" TargetMode="External" Id="rId2698" /><Relationship Type="http://schemas.openxmlformats.org/officeDocument/2006/relationships/hyperlink" Target="https://contrataciondelestado.es/FileSystem/servlet/GetDocumentByIdServlet?cifrado=QUC1GjXXSiLkydRHJBmbpw%3D%3D&amp;DocumentIdParam=ZhYRLAAE20E1Np1VZpskabT66McUyhCEWk3eOPYwzuKb1wCrKdbHkYwWba43kUxsqFxULQ1kVOUPOTBn0f6Xwdj5%2B24JSaQkLVnPmLFGRhx45ClyWkoJ44mKM70IFcOu" TargetMode="External" Id="rId2699" /><Relationship Type="http://schemas.openxmlformats.org/officeDocument/2006/relationships/hyperlink" Target="https://contrataciondelestado.es/wps/poc?uri=deeplink:detalle_licitacion&amp;idEvl=zWBWL0QMS4AaF6cS8TCh%2FA%3D%3D" TargetMode="External" Id="rId2700" /><Relationship Type="http://schemas.openxmlformats.org/officeDocument/2006/relationships/hyperlink" Target="https://contrataciondelestado.es/FileSystem/servlet/GetDocumentByIdServlet?cifrado=QUC1GjXXSiLkydRHJBmbpw%3D%3D&amp;DocumentIdParam=ewnwbOYwCrmD4ZOYXJyK0qA%2BNpvIGbowW6t833IQx77qEo0Mx6ggQryODBzqszoXy7iSsB4g3scDzMv9zu/xRiWrb4%2BNTqLS0DZ0VDmaSIt7QB3HKyQaFUExmUVQCerk" TargetMode="External" Id="rId2701" /><Relationship Type="http://schemas.openxmlformats.org/officeDocument/2006/relationships/hyperlink" Target="https://contrataciondelestado.es/wps/poc?uri=deeplink:detalle_licitacion&amp;idEvl=Okbu90fqMgQS7pcxhTeWOg%3D%3D" TargetMode="External" Id="rId2702" /><Relationship Type="http://schemas.openxmlformats.org/officeDocument/2006/relationships/hyperlink" Target="https://contrataciondelestado.es/wps/poc?uri=deeplink:detalle_licitacion&amp;idEvl=Kr7UkThlFrH%2B3JAijKO%2Bkg%3D%3D" TargetMode="External" Id="rId2703"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2704" /><Relationship Type="http://schemas.openxmlformats.org/officeDocument/2006/relationships/hyperlink" Target="https://contrataciondelestado.es/wps/poc?uri=deeplink:detalle_licitacion&amp;idEvl=vpqdesaM%2B6jjHF5qKI4aaw%3D%3D" TargetMode="External" Id="rId2705" /><Relationship Type="http://schemas.openxmlformats.org/officeDocument/2006/relationships/hyperlink" Target="https://contrataciondelestado.es/FileSystem/servlet/GetDocumentByIdServlet?cifrado=QUC1GjXXSiLkydRHJBmbpw%3D%3D&amp;DocumentIdParam=83oVTpRmxiO/2TL2JyZDXkKMWj6BeYozYwv2ScOSAAR6Ec/k31jd89RvIotPbU5Ynr%2BjBe93/0ngKB%2B5rDaJQa6YuGdewbMK7/uquTWmKpaB0nvVKRzfe4rpHcnlPhSZ" TargetMode="External" Id="rId2706" /><Relationship Type="http://schemas.openxmlformats.org/officeDocument/2006/relationships/hyperlink" Target="https://contrataciondelestado.es/wps/poc?uri=deeplink:detalle_licitacion&amp;idEvl=%2FwRBcdr0vrM36J9Lctlsuw%3D%3D" TargetMode="External" Id="rId2707" /><Relationship Type="http://schemas.openxmlformats.org/officeDocument/2006/relationships/hyperlink" Target="https://contrataciondelestado.es/FileSystem/servlet/GetDocumentByIdServlet?cifrado=QUC1GjXXSiLkydRHJBmbpw%3D%3D&amp;DocumentIdParam=GBEiv1dTRfmHN9POHogOZ1B7T35it1ZkbAEDX%2BN86tUSvBHFuvUH/DQq19l7TbicPcLUhzzzaM/FZEEhjmwMrIb7F6EwZJGmCJhswiwnvwZ7QB3HKyQaFUExmUVQCerk" TargetMode="External" Id="rId2708" /><Relationship Type="http://schemas.openxmlformats.org/officeDocument/2006/relationships/hyperlink" Target="https://contrataciondelestado.es/wps/poc?uri=deeplink:detalle_licitacion&amp;idEvl=mxzWf0g8U0OsNfRW6APEDw%3D%3D" TargetMode="External" Id="rId2709"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2710" /><Relationship Type="http://schemas.openxmlformats.org/officeDocument/2006/relationships/hyperlink" Target="https://contrataciondelestado.es/wps/poc?uri=deeplink:detalle_licitacion&amp;idEvl=kfEmUSrycM2P%2Bo96UAV7cQ%3D%3D" TargetMode="External" Id="rId2711" /><Relationship Type="http://schemas.openxmlformats.org/officeDocument/2006/relationships/hyperlink" Target="https://contrataciondelestado.es/FileSystem/servlet/GetDocumentByIdServlet?cifrado=QUC1GjXXSiLkydRHJBmbpw%3D%3D&amp;DocumentIdParam=NBF9sBzztURZPKggmXRAhyFZK/WjmFWzg5oCv6yLBhpLSBI8Xgez6CyiBlK1VEEIGKKQQTf8RjkmiTDHk24l/EbSOf60yK/BGpzJ5W7XniXDdQD9RyhUmzT4jZ2In4zL" TargetMode="External" Id="rId2712" /><Relationship Type="http://schemas.openxmlformats.org/officeDocument/2006/relationships/hyperlink" Target="https://contrataciondelestado.es/wps/poc?uri=deeplink:detalle_licitacion&amp;idEvl=GV9o1X9TYRJ4zIRvjBVCSw%3D%3D" TargetMode="External" Id="rId2713" /><Relationship Type="http://schemas.openxmlformats.org/officeDocument/2006/relationships/hyperlink" Target="https://contrataciondelestado.es/FileSystem/servlet/GetDocumentByIdServlet?cifrado=QUC1GjXXSiLkydRHJBmbpw%3D%3D&amp;DocumentIdParam=Dg1QrP8VtyF76ndnASg5vW9NEUibYWnfhSixi0bKzBjt4j1f2dJhrT94zXXQP6mhoW6AEllS4NQsXdx4LGCMr1rXX/82yEqRZ3VJXb60kJw//q7NB2iMZvNyf0xrJmjt" TargetMode="External" Id="rId2714" /><Relationship Type="http://schemas.openxmlformats.org/officeDocument/2006/relationships/hyperlink" Target="https://contrataciondelestado.es/wps/poc?uri=deeplink:detalle_licitacion&amp;idEvl=UmkJG20qxaz9pbnDwlaUlg%3D%3D" TargetMode="External" Id="rId2715"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2716" /><Relationship Type="http://schemas.openxmlformats.org/officeDocument/2006/relationships/hyperlink" Target="https://contrataciondelestado.es/wps/poc?uri=deeplink:detalle_licitacion&amp;idEvl=lfwQCoXWXUGS81gZFETWmA%3D%3D" TargetMode="External" Id="rId2717" /><Relationship Type="http://schemas.openxmlformats.org/officeDocument/2006/relationships/hyperlink" Target="https://contrataciondelestado.es/FileSystem/servlet/GetDocumentByIdServlet?cifrado=QUC1GjXXSiLkydRHJBmbpw%3D%3D&amp;DocumentIdParam=9MbfdbwjbiYGZn6AhkGJbyleB0Mq2M%2BmGGrSXnaS/4JcBlot/%2BwLyrOfWFise8DYdxt%2BcgLIPuCucIBBLL9g9L%2BDE1/Os23kxFQeuyiQh04ZyAJWGsSt0OzTSTyw9JAs" TargetMode="External" Id="rId2718" /><Relationship Type="http://schemas.openxmlformats.org/officeDocument/2006/relationships/hyperlink" Target="https://contrataciondelestado.es/wps/poc?uri=deeplink:detalle_licitacion&amp;idEvl=sTIExdjRos2Izo3LHNPGcQ%3D%3D" TargetMode="External" Id="rId2719" /><Relationship Type="http://schemas.openxmlformats.org/officeDocument/2006/relationships/hyperlink" Target="https://contrataciondelestado.es/wps/poc?uri=deeplink:detalle_licitacion&amp;idEvl=CYvuPpc7Ej%2FjHF5qKI4aaw%3D%3D" TargetMode="External" Id="rId2720" /><Relationship Type="http://schemas.openxmlformats.org/officeDocument/2006/relationships/hyperlink" Target="https://contrataciondelestado.es/wps/poc?uri=deeplink:detalle_licitacion&amp;idEvl=JV53lVzvmugIYE3ZiZ%2BxmQ%3D%3D" TargetMode="External" Id="rId2721" /><Relationship Type="http://schemas.openxmlformats.org/officeDocument/2006/relationships/hyperlink" Target="https://contrataciondelestado.es/FileSystem/servlet/GetDocumentByIdServlet?cifrado=QUC1GjXXSiLkydRHJBmbpw%3D%3D&amp;DocumentIdParam=IucCXx80xLCCiciz7DrrOLGybK29lONeE2qn1GV5nYILLf/mhQ8xSWoROFcEAxMCa0MQf7cK23ybtnoM3OSYqJcgALENDGXEgMNkAbt%2B5b545ClyWkoJ44mKM70IFcOu" TargetMode="External" Id="rId2722" /><Relationship Type="http://schemas.openxmlformats.org/officeDocument/2006/relationships/hyperlink" Target="https://contrataciondelestado.es/wps/poc?uri=deeplink:detalle_licitacion&amp;idEvl=ErjW46SZDdYkJPJS%2BPS9vg%3D%3D" TargetMode="External" Id="rId2723" /><Relationship Type="http://schemas.openxmlformats.org/officeDocument/2006/relationships/hyperlink" Target="https://contrataciondelestado.es/FileSystem/servlet/GetDocumentByIdServlet?cifrado=QUC1GjXXSiLkydRHJBmbpw%3D%3D&amp;DocumentIdParam=2mcb8v4/LsF9jc8Mg6Qd1hMsK8dLgki%2B4wfTWZg/ou/P0hNNMhqdFvyq3AHy7gAdX1wEq4gBwVztUQ/bL3TornyrxEMkYIdZShcg268je657QB3HKyQaFUExmUVQCerk" TargetMode="External" Id="rId2724" /><Relationship Type="http://schemas.openxmlformats.org/officeDocument/2006/relationships/hyperlink" Target="https://contrataciondelestado.es/wps/poc?uri=deeplink:detalle_licitacion&amp;idEvl=JEmQZ%2BeRL32P66GS%2BONYvQ%3D%3D" TargetMode="External" Id="rId2725" /><Relationship Type="http://schemas.openxmlformats.org/officeDocument/2006/relationships/hyperlink" Target="https://contrataciondelestado.es/FileSystem/servlet/GetDocumentByIdServlet?cifrado=QUC1GjXXSiLkydRHJBmbpw%3D%3D&amp;DocumentIdParam=%2BMV1uZeQtUFIbySWr6eEiY73Z7Mw%2BbIEAe2yV%2Bceggx9rAtFzqICEdd3/pqNFPvO9qLuEYVBktfdoaq/09Nkf3NGqHDqvkZ8OzsNgvHZ6hqCx2e6p7hqtlp2aFupgHMr" TargetMode="External" Id="rId2726" /><Relationship Type="http://schemas.openxmlformats.org/officeDocument/2006/relationships/hyperlink" Target="https://contrataciondelestado.es/wps/poc?uri=deeplink:detalle_licitacion&amp;idEvl=QLSVTSlFHpR6nTs9LZ9RhQ%3D%3D" TargetMode="External" Id="rId2727"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2728" /><Relationship Type="http://schemas.openxmlformats.org/officeDocument/2006/relationships/hyperlink" Target="https://contrataciondelestado.es/wps/poc?uri=deeplink:detalle_licitacion&amp;idEvl=6bWvZPg4zt02wEhQbcAqug%3D%3D" TargetMode="External" Id="rId2729" /><Relationship Type="http://schemas.openxmlformats.org/officeDocument/2006/relationships/hyperlink" Target="https://contrataciondelestado.es/FileSystem/servlet/GetDocumentByIdServlet?cifrado=QUC1GjXXSiLkydRHJBmbpw%3D%3D&amp;DocumentIdParam=B%2BlYJbok0Bz4CthTuazR%2BUp2l0XfVYgyJbPYgGSNcXNAs9HTr721svdip7gqJAH9S8VGY4jlvtWvhSLJeggwvWrDKf9iXyeLj3dAvXhXBp0C1/zDIE0Kw/PWNnLS0Z0z" TargetMode="External" Id="rId2730" /><Relationship Type="http://schemas.openxmlformats.org/officeDocument/2006/relationships/hyperlink" Target="https://contrataciondelestado.es/wps/poc?uri=deeplink:detalle_licitacion&amp;idEvl=vTLwvsm%2BE6O2gkLQ8TeYKA%3D%3D" TargetMode="External" Id="rId2731" /><Relationship Type="http://schemas.openxmlformats.org/officeDocument/2006/relationships/hyperlink" Target="https://contrataciondelestado.es/FileSystem/servlet/GetDocumentByIdServlet?cifrado=QUC1GjXXSiLkydRHJBmbpw%3D%3D&amp;DocumentIdParam=KAEQcz9O9GnQuMt%2BbSyx6u3z%2BrkyNp2E%2B9l7FX8kJLKyTVsCOkWuqVLiN68llZnKL16hNzA1LD8PHthwzDBEFGWczyizXVcYmhMiUtZ9HSG1aXEvq3KHa/AEHgtDrQw0" TargetMode="External" Id="rId2732" /><Relationship Type="http://schemas.openxmlformats.org/officeDocument/2006/relationships/hyperlink" Target="https://contrataciondelestado.es/wps/poc?uri=deeplink:detalle_licitacion&amp;idEvl=eIi4dqBhnMoXhk1FZxEyvw%3D%3D" TargetMode="External" Id="rId2733" /><Relationship Type="http://schemas.openxmlformats.org/officeDocument/2006/relationships/hyperlink" Target="https://contrataciondelestado.es/FileSystem/servlet/GetDocumentByIdServlet?cifrado=QUC1GjXXSiLkydRHJBmbpw%3D%3D&amp;DocumentIdParam=wRA0lfsCH5Q/CwkinAmzefkYXrPj7O9bDok4qWYKXgwSAAvgj//Ouo3mellRsrScA0Rj4OhKQoeE1VB7N9BHSOohRn13tnWIpsJ1r8lh/jvDdQD9RyhUmzT4jZ2In4zL" TargetMode="External" Id="rId2734" /><Relationship Type="http://schemas.openxmlformats.org/officeDocument/2006/relationships/hyperlink" Target="https://contrataciondelestado.es/wps/poc?uri=deeplink:detalle_licitacion&amp;idEvl=eBKev387l1HVGIpKDxgsAQ%3D%3D" TargetMode="External" Id="rId2735"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2736" /><Relationship Type="http://schemas.openxmlformats.org/officeDocument/2006/relationships/hyperlink" Target="https://contrataciondelestado.es/wps/poc?uri=deeplink:detalle_licitacion&amp;idEvl=od2txDmRGYpJ8Trn0ZPzLw%3D%3D" TargetMode="External" Id="rId2737"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2738" /><Relationship Type="http://schemas.openxmlformats.org/officeDocument/2006/relationships/hyperlink" Target="https://contrataciondelestado.es/wps/poc?uri=deeplink:detalle_licitacion&amp;idEvl=rMPSkaZMOJGzz8fXU2i3eQ%3D%3D" TargetMode="External" Id="rId2739" /><Relationship Type="http://schemas.openxmlformats.org/officeDocument/2006/relationships/hyperlink" Target="https://contrataciondelestado.es/FileSystem/servlet/GetDocumentByIdServlet?cifrado=QUC1GjXXSiLkydRHJBmbpw%3D%3D&amp;DocumentIdParam=0%2BmxyVs0t70JXfVZF%2BVq0i26umoGFCooXCRIsW8VhjZOyaxBZ/h0Uo%2BUZtGNLO3y3utno0H5r1ERYFC0Vj0GLoABNxDL8StWMYzZmKIrnZ4//q7NB2iMZvNyf0xrJmjt" TargetMode="External" Id="rId2740" /><Relationship Type="http://schemas.openxmlformats.org/officeDocument/2006/relationships/hyperlink" Target="https://contrataciondelestado.es/wps/poc?uri=deeplink:detalle_licitacion&amp;idEvl=hkVnNQnEfwP9pbnDwlaUlg%3D%3D" TargetMode="External" Id="rId2741"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2742" /><Relationship Type="http://schemas.openxmlformats.org/officeDocument/2006/relationships/hyperlink" Target="https://contrataciondelestado.es/wps/poc?uri=deeplink:detalle_licitacion&amp;idEvl=FZ14Fn%2FToZuAAM7L03kM8A%3D%3D" TargetMode="External" Id="rId2743"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2744" /><Relationship Type="http://schemas.openxmlformats.org/officeDocument/2006/relationships/hyperlink" Target="https://contrataciondelestado.es/wps/poc?uri=deeplink:detalle_licitacion&amp;idEvl=kNYm4P3Fg0%2B2gkLQ8TeYKA%3D%3D" TargetMode="External" Id="rId2745"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2746" /><Relationship Type="http://schemas.openxmlformats.org/officeDocument/2006/relationships/hyperlink" Target="https://contrataciondelestado.es/wps/poc?uri=deeplink:detalle_licitacion&amp;idEvl=UhjnYWFKFRfECtSnloz%2BZQ%3D%3D" TargetMode="External" Id="rId2747" /><Relationship Type="http://schemas.openxmlformats.org/officeDocument/2006/relationships/hyperlink" Target="https://contrataciondelestado.es/FileSystem/servlet/GetDocumentByIdServlet?cifrado=QUC1GjXXSiLkydRHJBmbpw%3D%3D&amp;DocumentIdParam=ILIyokYIIatMQPxF8wBAyPX96FzB0Klry3WoUxDkJ1RVZaS3n1yj0EVPlV8s0nJ9AnC/pbEZeg0BSFCqH9c5n%2BtCmN4q%2By18B5wTZrSuZWuCx2e6p7hqtlp2aFupgHMr" TargetMode="External" Id="rId2748" /><Relationship Type="http://schemas.openxmlformats.org/officeDocument/2006/relationships/hyperlink" Target="https://contrataciondelestado.es/wps/poc?uri=deeplink:detalle_licitacion&amp;idEvl=0MaHpUk2MtAS7pcxhTeWOg%3D%3D" TargetMode="External" Id="rId2749" /><Relationship Type="http://schemas.openxmlformats.org/officeDocument/2006/relationships/hyperlink" Target="https://contrataciondelestado.es/FileSystem/servlet/GetDocumentByIdServlet?cifrado=QUC1GjXXSiLkydRHJBmbpw%3D%3D&amp;DocumentIdParam=6QwORiL8YWZmzU2OyfexO1pYJrOxtzvz/FYnoUnLdaqM8Opop%2BQ9Fk7osYiF5wcFNIJ%2Bvir01prbXdJurE5ntnF6WlZLxnZNcT4EmRsJzq61aXEvq3KHa/AEHgtDrQw0" TargetMode="External" Id="rId2750" /><Relationship Type="http://schemas.openxmlformats.org/officeDocument/2006/relationships/hyperlink" Target="https://contrataciondelestado.es/wps/poc?uri=deeplink:detalle_licitacion&amp;idEvl=Lqqkgxv%2FU%2F9t5r0ngvMetA%3D%3D" TargetMode="External" Id="rId2751"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2752" /><Relationship Type="http://schemas.openxmlformats.org/officeDocument/2006/relationships/hyperlink" Target="https://contrataciondelestado.es/wps/poc?uri=deeplink:detalle_licitacion&amp;idEvl=FAVCBPyAMXIkJPJS%2BPS9vg%3D%3D" TargetMode="External" Id="rId2753"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2754" /><Relationship Type="http://schemas.openxmlformats.org/officeDocument/2006/relationships/hyperlink" Target="https://contrataciondelestado.es/wps/poc?uri=deeplink:detalle_licitacion&amp;idEvl=f5N%2FKhgEWXPpxJFXpLZ%2B2A%3D%3D" TargetMode="External" Id="rId2755" /><Relationship Type="http://schemas.openxmlformats.org/officeDocument/2006/relationships/hyperlink" Target="https://contrataciondelestado.es/FileSystem/servlet/GetDocumentByIdServlet?cifrado=QUC1GjXXSiLkydRHJBmbpw%3D%3D&amp;DocumentIdParam=Pw1RmxoRMDcCanSS%2BtCgzJlnN9s4h93IlYjoaSyHmgHZ9bkvTvgFp9kkt1eXVmtWFWxNAjbD3dIvu/e96bjcVJQcWuZJNuefRRXgGXSPNyHfdyQgZAdTm3EfcUAC7CJ6" TargetMode="External" Id="rId2756" /><Relationship Type="http://schemas.openxmlformats.org/officeDocument/2006/relationships/hyperlink" Target="https://contrataciondelestado.es/wps/poc?uri=deeplink:detalle_licitacion&amp;idEvl=GFCJPN1yJFol5NjlNci%2BtA%3D%3D" TargetMode="External" Id="rId2757"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2758" /><Relationship Type="http://schemas.openxmlformats.org/officeDocument/2006/relationships/hyperlink" Target="https://contrataciondelestado.es/wps/poc?uri=deeplink:detalle_licitacion&amp;idEvl=bLoMUlpvgqHL1rX3q%2FMAPA%3D%3D" TargetMode="External" Id="rId2759" /><Relationship Type="http://schemas.openxmlformats.org/officeDocument/2006/relationships/hyperlink" Target="https://contrataciondelestado.es/FileSystem/servlet/GetDocumentByIdServlet?cifrado=QUC1GjXXSiLkydRHJBmbpw%3D%3D&amp;DocumentIdParam=CPDVB48xB2rtg4/mI/hhtq6/QjYa4OUvc7mUxCXf40sKJXW%2Bw3N7L%2BgQtd1CTYykIVBOkV5S6VSZAyYU39VUdt7K5/DgJ/6t2j8x6BKTQUH6CYyL7SIrUOBFfNf52ZqA" TargetMode="External" Id="rId2760" /><Relationship Type="http://schemas.openxmlformats.org/officeDocument/2006/relationships/hyperlink" Target="https://contrataciondelestado.es/wps/poc?uri=deeplink:detalle_licitacion&amp;idEvl=dAyk%2FS3k%2FRoZDGvgaZEVxQ%3D%3D" TargetMode="External" Id="rId2761" /><Relationship Type="http://schemas.openxmlformats.org/officeDocument/2006/relationships/hyperlink" Target="https://contrataciondelestado.es/FileSystem/servlet/GetDocumentByIdServlet?cifrado=QUC1GjXXSiLkydRHJBmbpw%3D%3D&amp;DocumentIdParam=3BjFbvv4BYsZVOUxPm9BdIhKS00F%2B%2BS34nOKi6USbPoEIsfBXm6unSkyBbZIyXTkfYbGXNWqusAiPppZbM2Djq06BNhXbYNeJ3gzZ0vP2mt7QB3HKyQaFUExmUVQCerk" TargetMode="External" Id="rId2762" /><Relationship Type="http://schemas.openxmlformats.org/officeDocument/2006/relationships/hyperlink" Target="https://contrataciondelestado.es/wps/poc?uri=deeplink:detalle_licitacion&amp;idEvl=MojrloyX1Ql6nTs9LZ9RhQ%3D%3D" TargetMode="External" Id="rId2763" /><Relationship Type="http://schemas.openxmlformats.org/officeDocument/2006/relationships/hyperlink" Target="https://contrataciondelestado.es/FileSystem/servlet/GetDocumentByIdServlet?cifrado=QUC1GjXXSiLkydRHJBmbpw%3D%3D&amp;DocumentIdParam=iBDKUxWq4c/9jKlEJNBQOiHXwAGhVAiXNfC9v5fjzc1w2RAWJ0dEty0mCQnPFC/kXx2swQXHNWo/0owPbIPHz%2B8Rp%2BkgjWvz3U8oIg5x0rgZyAJWGsSt0OzTSTyw9JAs" TargetMode="External" Id="rId2764" /><Relationship Type="http://schemas.openxmlformats.org/officeDocument/2006/relationships/hyperlink" Target="https://contrataciondelestado.es/wps/poc?uri=deeplink:detalle_licitacion&amp;idEvl=0%2FY4ao%2F2BGBVkTabT%2FRM8A%3D%3D" TargetMode="External" Id="rId2765" /><Relationship Type="http://schemas.openxmlformats.org/officeDocument/2006/relationships/hyperlink" Target="https://contrataciondelestado.es/FileSystem/servlet/GetDocumentByIdServlet?cifrado=QUC1GjXXSiLkydRHJBmbpw%3D%3D&amp;DocumentIdParam=k9JnHNurdbtWaH%2BI2%2Blrh1cyPgxSGDcN3RAKQGidqpHxnAZNSX5bBzTenZCPADhMA02sInY4Zsn/AB56PCdb66g9BGG/vkmI27WfuccY26I//q7NB2iMZvNyf0xrJmjt" TargetMode="External" Id="rId2766" /><Relationship Type="http://schemas.openxmlformats.org/officeDocument/2006/relationships/hyperlink" Target="https://contrataciondelestado.es/wps/poc?uri=deeplink:detalle_licitacion&amp;idEvl=c0TKNjbUlFxeKgd8LfVV9g%3D%3D" TargetMode="External" Id="rId2767" /><Relationship Type="http://schemas.openxmlformats.org/officeDocument/2006/relationships/hyperlink" Target="https://contrataciondelestado.es/wps/poc?uri=deeplink:detalle_licitacion&amp;idEvl=pwtwoOOJAtVVkTabT%2FRM8A%3D%3D" TargetMode="External" Id="rId2768"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2769" /><Relationship Type="http://schemas.openxmlformats.org/officeDocument/2006/relationships/hyperlink" Target="https://contrataciondelestado.es/wps/poc?uri=deeplink:detalle_licitacion&amp;idEvl=J5UKFxKyUn7ua%2Fi14w%2FPLA%3D%3D" TargetMode="External" Id="rId2770" /><Relationship Type="http://schemas.openxmlformats.org/officeDocument/2006/relationships/hyperlink" Target="https://contrataciondelestado.es/FileSystem/servlet/GetDocumentByIdServlet?cifrado=QUC1GjXXSiLkydRHJBmbpw%3D%3D&amp;DocumentIdParam=ZDp4I2Q65SyEHCs2Z2C1p60BKHkWgIDclKS4znGBpDXF7vjCfuBZokHTVYAPHL96jDJhbVnVAdf3VUljvN7uqAOgRkjJzAofN67BNQgT0ze1aXEvq3KHa/AEHgtDrQw0" TargetMode="External" Id="rId2771" /><Relationship Type="http://schemas.openxmlformats.org/officeDocument/2006/relationships/hyperlink" Target="https://contrataciondelestado.es/wps/poc?uri=deeplink:detalle_licitacion&amp;idEvl=NTNdk7z0fRZ70UvEyYJSGw%3D%3D" TargetMode="External" Id="rId2772"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2773" /><Relationship Type="http://schemas.openxmlformats.org/officeDocument/2006/relationships/hyperlink" Target="https://contrataciondelestado.es/wps/poc?uri=deeplink:detalle_licitacion&amp;idEvl=0SFTtoPssHecCF8sV%2BqtYA%3D%3D" TargetMode="External" Id="rId2774"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2775" /><Relationship Type="http://schemas.openxmlformats.org/officeDocument/2006/relationships/hyperlink" Target="https://contrataciondelestado.es/wps/poc?uri=deeplink:detalle_licitacion&amp;idEvl=dHuV9oHu2B%2B9Hd5zqvq9cg%3D%3D" TargetMode="External" Id="rId2776" /><Relationship Type="http://schemas.openxmlformats.org/officeDocument/2006/relationships/hyperlink" Target="https://contrataciondelestado.es/FileSystem/servlet/GetDocumentByIdServlet?cifrado=QUC1GjXXSiLkydRHJBmbpw%3D%3D&amp;DocumentIdParam=xCLyg4/vLZqOkTj6bGY9gmL2%2BTM2Zw2xraa7L8i/Lsa17TU/KL4osb/t%2BSi3J30upVz4s0lvPx8JhGdqAtUUXhlGBUsfdhPB0wONhRHD86h7QB3HKyQaFUExmUVQCerk" TargetMode="External" Id="rId2777" /><Relationship Type="http://schemas.openxmlformats.org/officeDocument/2006/relationships/hyperlink" Target="https://contrataciondelestado.es/wps/poc?uri=deeplink:detalle_licitacion&amp;idEvl=KLRka786VPYUqXM96WStVA%3D%3D" TargetMode="External" Id="rId2778" /><Relationship Type="http://schemas.openxmlformats.org/officeDocument/2006/relationships/hyperlink" Target="https://contrataciondelestado.es/FileSystem/servlet/GetDocumentByIdServlet?cifrado=QUC1GjXXSiLkydRHJBmbpw%3D%3D&amp;DocumentIdParam=KUgrB0W0jCkpfy0b7Z8Yz7muEYlvv8ZxeFmPytDIOh%2BW1p4abkFh6rjeD8UfOJ1%2B8vKz9jz%2B/3ie37BAqMYxD0zWN%2BJRJQtXZe5GSllQxgeCx2e6p7hqtlp2aFupgHMr" TargetMode="External" Id="rId2779" /><Relationship Type="http://schemas.openxmlformats.org/officeDocument/2006/relationships/hyperlink" Target="https://contrataciondelestado.es/wps/poc?uri=deeplink:detalle_licitacion&amp;idEvl=QdyeMdddW3BVkTabT%2FRM8A%3D%3D" TargetMode="External" Id="rId2780" /><Relationship Type="http://schemas.openxmlformats.org/officeDocument/2006/relationships/hyperlink" Target="https://contrataciondelestado.es/FileSystem/servlet/GetDocumentByIdServlet?cifrado=QUC1GjXXSiLkydRHJBmbpw%3D%3D&amp;DocumentIdParam=XiPJcRTTTfjfzemrW9qZkyjFAESzPyfWFit5139bYqWnwDrnik9pfRNwbE8jbxW9xjcXrAdoGvvH/RUtJeRyOm2GkLOxGSFHkFt1zN76yA145ClyWkoJ44mKM70IFcOu" TargetMode="External" Id="rId2781" /><Relationship Type="http://schemas.openxmlformats.org/officeDocument/2006/relationships/hyperlink" Target="https://contrataciondelestado.es/wps/poc?uri=deeplink:detalle_licitacion&amp;idEvl=9rbTTZaoPcs4NavIWzMcHA%3D%3D" TargetMode="External" Id="rId2782" /><Relationship Type="http://schemas.openxmlformats.org/officeDocument/2006/relationships/hyperlink" Target="https://contrataciondelestado.es/FileSystem/servlet/GetDocumentByIdServlet?cifrado=QUC1GjXXSiLkydRHJBmbpw%3D%3D&amp;DocumentIdParam=TFunwTPjTgAewV4BwdIWjcn6v4%2BsXkLsVsrl649giomQxCWzd7WQsPu0Oenzz3r2teiJG9CNjcpSopxXKcoNsQkdNxH6ulKukjk4W3nb1FFt/o8fNevwsujgRzaBbugn" TargetMode="External" Id="rId2783" /><Relationship Type="http://schemas.openxmlformats.org/officeDocument/2006/relationships/hyperlink" Target="https://contrataciondelestado.es/wps/poc?uri=deeplink:detalle_licitacion&amp;idEvl=%2F2Y2IQqfabhVYjgxA4nMUw%3D%3D" TargetMode="External" Id="rId2784" /><Relationship Type="http://schemas.openxmlformats.org/officeDocument/2006/relationships/hyperlink" Target="https://contrataciondelestado.es/FileSystem/servlet/GetDocumentByIdServlet?cifrado=QUC1GjXXSiLkydRHJBmbpw%3D%3D&amp;DocumentIdParam=rycX6DZCYyPPuvs9vQTEeGbpRGt6R1%2BgT%2BUD9WiZLSWDD1c8R52HOh69Bat3tjXDnUP9KQniuesP39aYiBWhVUlGO6l72tvzCNrfGGUqL73DdQD9RyhUmzT4jZ2In4zL" TargetMode="External" Id="rId2785" /><Relationship Type="http://schemas.openxmlformats.org/officeDocument/2006/relationships/hyperlink" Target="https://contrataciondelestado.es/wps/poc?uri=deeplink:detalle_licitacion&amp;idEvl=qu4ezZIJRaNxseVhcqrkhw%3D%3D" TargetMode="External" Id="rId2786" /><Relationship Type="http://schemas.openxmlformats.org/officeDocument/2006/relationships/hyperlink" Target="https://contrataciondelestado.es/FileSystem/servlet/GetDocumentByIdServlet?cifrado=QUC1GjXXSiLkydRHJBmbpw%3D%3D&amp;DocumentIdParam=OwzKR1DvIUqy%2B1lYKYiVfGUmrEsq5INdY0PD4nib8J71pJbR1pSZqKF3VXAL7O1tRuuAeX%2BlfjmGLabt1V8wdFmDRSrUcJYcInXcOxvNYc4//q7NB2iMZvNyf0xrJmjt" TargetMode="External" Id="rId2787" /><Relationship Type="http://schemas.openxmlformats.org/officeDocument/2006/relationships/hyperlink" Target="https://contrataciondelestado.es/wps/poc?uri=deeplink:detalle_licitacion&amp;idEvl=B1VETa1fqkdeKgd8LfVV9g%3D%3D" TargetMode="External" Id="rId2788"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2789" /><Relationship Type="http://schemas.openxmlformats.org/officeDocument/2006/relationships/hyperlink" Target="https://contrataciondelestado.es/wps/poc?uri=deeplink:detalle_licitacion&amp;idEvl=tLOmoY%2Bz8sW7JOCXkOhcDg%3D%3D" TargetMode="External" Id="rId2790" /><Relationship Type="http://schemas.openxmlformats.org/officeDocument/2006/relationships/hyperlink" Target="https://contrataciondelestado.es/FileSystem/servlet/GetDocumentByIdServlet?cifrado=QUC1GjXXSiLkydRHJBmbpw%3D%3D&amp;DocumentIdParam=kPq3k6QtAo8nZHGT7jq9BOQah9Q9HI4XMJFZ5xiQ%2BvEeCXNWCaOglVY0JCnCUXnF1DHviPgcMend3vUsRhYbmWm/iUtvgdNGn/6qYy/eHJx45ClyWkoJ44mKM70IFcOu" TargetMode="External" Id="rId2791" /><Relationship Type="http://schemas.openxmlformats.org/officeDocument/2006/relationships/hyperlink" Target="https://contrataciondelestado.es/wps/poc?uri=deeplink:detalle_licitacion&amp;idEvl=eHO4VOr2lxB%2FP7lJ7Fu0SA%3D%3D" TargetMode="External" Id="rId2792" /><Relationship Type="http://schemas.openxmlformats.org/officeDocument/2006/relationships/hyperlink" Target="https://contrataciondelestado.es/FileSystem/servlet/GetDocumentByIdServlet?cifrado=QUC1GjXXSiLkydRHJBmbpw%3D%3D&amp;DocumentIdParam=6wt7Qk80iJWpGySgRvVZcCgBk8I5vXNlbLOSewUFEYSRUXppLlK256Vz1oZBF9k23GqXCqIDE2kwnmRgNf1Ph5YXh2zPNngM96BRgsocbBOHAj0WEJrB5sP7amrh2jBD" TargetMode="External" Id="rId2793" /><Relationship Type="http://schemas.openxmlformats.org/officeDocument/2006/relationships/hyperlink" Target="https://contrataciondelestado.es/wps/poc?uri=deeplink:detalle_licitacion&amp;idEvl=c5%2BOq99Ma4B%2BF6L2uCfUWg%3D%3D" TargetMode="External" Id="rId2794" /><Relationship Type="http://schemas.openxmlformats.org/officeDocument/2006/relationships/hyperlink" Target="https://contrataciondelestado.es/FileSystem/servlet/GetDocumentByIdServlet?cifrado=QUC1GjXXSiLkydRHJBmbpw%3D%3D&amp;DocumentIdParam=pPzc/9/hj6arlySgL/V/vy12/jFDMDPeZphpotliTQzG9AZ6vmdIXJVibqoHrfcX0mJ8GTkmYzzd1CiP1wTtzuHF%2BlBVS/H/GAA1zflD0fs//q7NB2iMZvNyf0xrJmjt" TargetMode="External" Id="rId2795" /><Relationship Type="http://schemas.openxmlformats.org/officeDocument/2006/relationships/hyperlink" Target="https://contrataciondelestado.es/wps/poc?uri=deeplink:detalle_licitacion&amp;idEvl=jS0kMJOTapg%2FbjW6njtWLw%3D%3D" TargetMode="External" Id="rId2796"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2797" /><Relationship Type="http://schemas.openxmlformats.org/officeDocument/2006/relationships/hyperlink" Target="https://contrataciondelestado.es/wps/poc?uri=deeplink:detalle_licitacion&amp;idEvl=TKFw%2BHkuukr5Rey58Yagpg%3D%3D" TargetMode="External" Id="rId2798" /><Relationship Type="http://schemas.openxmlformats.org/officeDocument/2006/relationships/hyperlink" Target="https://contrataciondelestado.es/FileSystem/servlet/GetDocumentByIdServlet?cifrado=QUC1GjXXSiLkydRHJBmbpw%3D%3D&amp;DocumentIdParam=X%2BkzxSvmrfvwOQBgPoMhQiEhbtIXJCTOWwRjUbOlLNwBJ%2BqA63v7Tf/kLHJwZxApet2pR/LxZRtxoH15m5P2WjlWfNlUcGntYE6ikiSsUmj6CYyL7SIrUOBFfNf52ZqA" TargetMode="External" Id="rId2799" /><Relationship Type="http://schemas.openxmlformats.org/officeDocument/2006/relationships/hyperlink" Target="https://contrataciondelestado.es/wps/poc?uri=deeplink:detalle_licitacion&amp;idEvl=FcEltUXR6XgzjChw4z%2FXvw%3D%3D" TargetMode="External" Id="rId2800"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2801" /><Relationship Type="http://schemas.openxmlformats.org/officeDocument/2006/relationships/hyperlink" Target="https://contrataciondelestado.es/wps/poc?uri=deeplink:detalle_licitacion&amp;idEvl=ER9gLZGa9%2B6FQ%2FlhRK79lA%3D%3D" TargetMode="External" Id="rId2802"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2803" /><Relationship Type="http://schemas.openxmlformats.org/officeDocument/2006/relationships/hyperlink" Target="https://contrataciondelestado.es/wps/poc?uri=deeplink:detalle_licitacion&amp;idEvl=xT3yqYnJTk5rSd8H4b2soA%3D%3D" TargetMode="External" Id="rId2804"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2805" /><Relationship Type="http://schemas.openxmlformats.org/officeDocument/2006/relationships/hyperlink" Target="https://contrataciondelestado.es/wps/poc?uri=deeplink:detalle_licitacion&amp;idEvl=nPeI4M4zbcjXOjazN1Dw9Q%3D%3D" TargetMode="External" Id="rId2806"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2807" /><Relationship Type="http://schemas.openxmlformats.org/officeDocument/2006/relationships/hyperlink" Target="https://contrataciondelestado.es/wps/poc?uri=deeplink:detalle_licitacion&amp;idEvl=F5uI03PBriyP66GS%2BONYvQ%3D%3D" TargetMode="External" Id="rId2808"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2809" /><Relationship Type="http://schemas.openxmlformats.org/officeDocument/2006/relationships/hyperlink" Target="https://contrataciondelestado.es/wps/poc?uri=deeplink:detalle_licitacion&amp;idEvl=CteVvhZ8MOiGCFcHcNGIlQ%3D%3D" TargetMode="External" Id="rId2810"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2811" /><Relationship Type="http://schemas.openxmlformats.org/officeDocument/2006/relationships/hyperlink" Target="https://contrataciondelestado.es/wps/poc?uri=deeplink:detalle_licitacion&amp;idEvl=VarVBDNovqr%2B3JAijKO%2Bkg%3D%3D" TargetMode="External" Id="rId2812"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2813" /><Relationship Type="http://schemas.openxmlformats.org/officeDocument/2006/relationships/hyperlink" Target="https://contrataciondelestado.es/wps/poc?uri=deeplink:detalle_licitacion&amp;idEvl=DsZFOhOipSs2wEhQbcAqug%3D%3D" TargetMode="External" Id="rId2814"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2815" /><Relationship Type="http://schemas.openxmlformats.org/officeDocument/2006/relationships/hyperlink" Target="https://contrataciondelestado.es/wps/poc?uri=deeplink:detalle_licitacion&amp;idEvl=h9v6qzJPV5cmMOlAXxDEjw%3D%3D" TargetMode="External" Id="rId2816"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2817" /><Relationship Type="http://schemas.openxmlformats.org/officeDocument/2006/relationships/hyperlink" Target="https://contrataciondelestado.es/wps/poc?uri=deeplink:detalle_licitacion&amp;idEvl=b7ppxqHXcGkaF6cS8TCh%2FA%3D%3D" TargetMode="External" Id="rId2818"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2819" /><Relationship Type="http://schemas.openxmlformats.org/officeDocument/2006/relationships/hyperlink" Target="https://contrataciondelestado.es/wps/poc?uri=deeplink:detalle_licitacion&amp;idEvl=v70CObmcVw%2Bzz8fXU2i3eQ%3D%3D" TargetMode="External" Id="rId2820"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2821" /><Relationship Type="http://schemas.openxmlformats.org/officeDocument/2006/relationships/hyperlink" Target="https://contrataciondelestado.es/wps/poc?uri=deeplink:detalle_licitacion&amp;idEvl=OTEvKtlHcanIGlsa0Wad%2Bw%3D%3D" TargetMode="External" Id="rId2822"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2823" /><Relationship Type="http://schemas.openxmlformats.org/officeDocument/2006/relationships/hyperlink" Target="https://contrataciondelestado.es/wps/poc?uri=deeplink:detalle_licitacion&amp;idEvl=lM7oUo9MaSUaF6cS8TCh%2FA%3D%3D" TargetMode="External" Id="rId2824"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2825" /><Relationship Type="http://schemas.openxmlformats.org/officeDocument/2006/relationships/hyperlink" Target="https://contrataciondelestado.es/wps/poc?uri=deeplink:detalle_licitacion&amp;idEvl=x3FPHt2oeZdxseVhcqrkhw%3D%3D" TargetMode="External" Id="rId2826"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2827" /><Relationship Type="http://schemas.openxmlformats.org/officeDocument/2006/relationships/hyperlink" Target="https://contrataciondelestado.es/wps/poc?uri=deeplink:detalle_licitacion&amp;idEvl=Z9PF7iPMc%2FE7%2B9FIQYNjeQ%3D%3D" TargetMode="External" Id="rId2828"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2829" /><Relationship Type="http://schemas.openxmlformats.org/officeDocument/2006/relationships/hyperlink" Target="https://contrataciondelestado.es/wps/poc?uri=deeplink:detalle_licitacion&amp;idEvl=ccPXEIPsUDB4zIRvjBVCSw%3D%3D" TargetMode="External" Id="rId2830"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2831" /><Relationship Type="http://schemas.openxmlformats.org/officeDocument/2006/relationships/hyperlink" Target="https://contrataciondelestado.es/wps/poc?uri=deeplink:detalle_licitacion&amp;idEvl=CoEHWzskbMr%2Fa9DgO%2BoYKQ%3D%3D" TargetMode="External" Id="rId2832"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2833" /><Relationship Type="http://schemas.openxmlformats.org/officeDocument/2006/relationships/hyperlink" Target="https://contrataciondelestado.es/wps/poc?uri=deeplink:detalle_licitacion&amp;idEvl=uKuEy0o1%2FjDCfVQHDepjGQ%3D%3D" TargetMode="External" Id="rId2834"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2835" /><Relationship Type="http://schemas.openxmlformats.org/officeDocument/2006/relationships/hyperlink" Target="https://contrataciondelestado.es/wps/poc?uri=deeplink:detalle_licitacion&amp;idEvl=vQVQfFrmSdGGCFcHcNGIlQ%3D%3D" TargetMode="External" Id="rId2836"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2837" /><Relationship Type="http://schemas.openxmlformats.org/officeDocument/2006/relationships/hyperlink" Target="https://contrataciondelestado.es/wps/poc?uri=deeplink:detalle_licitacion&amp;idEvl=r9GJnBWtsdG2gkLQ8TeYKA%3D%3D" TargetMode="External" Id="rId2838"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2839" /><Relationship Type="http://schemas.openxmlformats.org/officeDocument/2006/relationships/hyperlink" Target="https://contrataciondelestado.es/wps/poc?uri=deeplink:detalle_licitacion&amp;idEvl=JN0PIfi%2FU3DzAq95uGTrDQ%3D%3D" TargetMode="External" Id="rId2840"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2841" /><Relationship Type="http://schemas.openxmlformats.org/officeDocument/2006/relationships/hyperlink" Target="https://contrataciondelestado.es/wps/poc?uri=deeplink:detalle_licitacion&amp;idEvl=jhGatSM5l76qb7rCcv76BA%3D%3D" TargetMode="External" Id="rId2842"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2843" /><Relationship Type="http://schemas.openxmlformats.org/officeDocument/2006/relationships/hyperlink" Target="https://contrataciondelestado.es/wps/poc?uri=deeplink:detalle_licitacion&amp;idEvl=xDUFrYrM%2FxaKeVWTb9Scog%3D%3D" TargetMode="External" Id="rId2844"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2845" /><Relationship Type="http://schemas.openxmlformats.org/officeDocument/2006/relationships/hyperlink" Target="https://contrataciondelestado.es/wps/poc?uri=deeplink:detalle_licitacion&amp;idEvl=%2FGIOVvPjbHCkU02jNGj1Fw%3D%3D" TargetMode="External" Id="rId2846"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2847" /><Relationship Type="http://schemas.openxmlformats.org/officeDocument/2006/relationships/hyperlink" Target="https://contrataciondelestado.es/wps/poc?uri=deeplink:detalle_licitacion&amp;idEvl=AwYekIxdEUEkJPJS%2BPS9vg%3D%3D" TargetMode="External" Id="rId2848"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2849" /><Relationship Type="http://schemas.openxmlformats.org/officeDocument/2006/relationships/hyperlink" Target="https://contrataciondelestado.es/wps/poc?uri=deeplink:detalle_licitacion&amp;idEvl=IO79yqPVq5zjHF5qKI4aaw%3D%3D" TargetMode="External" Id="rId2850"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2851" /><Relationship Type="http://schemas.openxmlformats.org/officeDocument/2006/relationships/hyperlink" Target="https://contrataciondelestado.es/wps/poc?uri=deeplink:detalle_licitacion&amp;idEvl=JUJ5T7FbS8akU02jNGj1Fw%3D%3D" TargetMode="External" Id="rId2852"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2853" /><Relationship Type="http://schemas.openxmlformats.org/officeDocument/2006/relationships/hyperlink" Target="https://contrataciondelestado.es/wps/poc?uri=deeplink:detalle_licitacion&amp;idEvl=CO5g60cAhrNVkTabT%2FRM8A%3D%3D" TargetMode="External" Id="rId2854"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2855" /><Relationship Type="http://schemas.openxmlformats.org/officeDocument/2006/relationships/hyperlink" Target="https://contrataciondelestado.es/wps/poc?uri=deeplink:detalle_licitacion&amp;idEvl=9MXsBLVABnh70UvEyYJSGw%3D%3D" TargetMode="External" Id="rId2856"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2857" /><Relationship Type="http://schemas.openxmlformats.org/officeDocument/2006/relationships/hyperlink" Target="https://contrataciondelestado.es/wps/poc?uri=deeplink:detalle_licitacion&amp;idEvl=6gu87tf19ALIGlsa0Wad%2Bw%3D%3D" TargetMode="External" Id="rId2858"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2859" /><Relationship Type="http://schemas.openxmlformats.org/officeDocument/2006/relationships/hyperlink" Target="https://contrataciondelestado.es/wps/poc?uri=deeplink:detalle_licitacion&amp;idEvl=XGFjlXQrRw%2FkY6rls5tG9A%3D%3D" TargetMode="External" Id="rId2860"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2861" /><Relationship Type="http://schemas.openxmlformats.org/officeDocument/2006/relationships/hyperlink" Target="https://contrataciondelestado.es/wps/poc?uri=deeplink:detalle_licitacion&amp;idEvl=4JvCyFRh4sm2gkLQ8TeYKA%3D%3D" TargetMode="External" Id="rId2862"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2863" /><Relationship Type="http://schemas.openxmlformats.org/officeDocument/2006/relationships/hyperlink" Target="https://contrataciondelestado.es/wps/poc?uri=deeplink:detalle_licitacion&amp;idEvl=deFWKoTsazN%2FR5QFTlaM4A%3D%3D" TargetMode="External" Id="rId2864"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2865" /><Relationship Type="http://schemas.openxmlformats.org/officeDocument/2006/relationships/hyperlink" Target="https://contrataciondelestado.es/wps/poc?uri=deeplink:detalle_licitacion&amp;idEvl=uz3YrEXl2sk%2B1TMyIiZmzw%3D%3D" TargetMode="External" Id="rId2866"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2867" /><Relationship Type="http://schemas.openxmlformats.org/officeDocument/2006/relationships/hyperlink" Target="https://contrataciondelestado.es/wps/poc?uri=deeplink:detalle_licitacion&amp;idEvl=%2BFXYkmZcSTu2gkLQ8TeYKA%3D%3D" TargetMode="External" Id="rId2868"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2869" /><Relationship Type="http://schemas.openxmlformats.org/officeDocument/2006/relationships/hyperlink" Target="https://contrataciondelestado.es/wps/poc?uri=deeplink:detalle_licitacion&amp;idEvl=XXDVauzsEq%2BFlFRHfEzEaw%3D%3D" TargetMode="External" Id="rId2870"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2871" /><Relationship Type="http://schemas.openxmlformats.org/officeDocument/2006/relationships/hyperlink" Target="https://contrataciondelestado.es/wps/poc?uri=deeplink:detalle_licitacion&amp;idEvl=XOmf6pKCBXycCF8sV%2BqtYA%3D%3D" TargetMode="External" Id="rId2872"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2873" /><Relationship Type="http://schemas.openxmlformats.org/officeDocument/2006/relationships/hyperlink" Target="https://contrataciondelestado.es/wps/poc?uri=deeplink:detalle_licitacion&amp;idEvl=zubfnAjzB1y9Hd5zqvq9cg%3D%3D" TargetMode="External" Id="rId2874"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2875" /><Relationship Type="http://schemas.openxmlformats.org/officeDocument/2006/relationships/hyperlink" Target="https://contrataciondelestado.es/wps/poc?uri=deeplink:detalle_licitacion&amp;idEvl=0PhAgVTYczMkJPJS%2BPS9vg%3D%3D" TargetMode="External" Id="rId2876"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2877" /><Relationship Type="http://schemas.openxmlformats.org/officeDocument/2006/relationships/hyperlink" Target="https://contrataciondelestado.es/wps/poc?uri=deeplink:detalle_licitacion&amp;idEvl=3sb8Hw6EHzZt5r0ngvMetA%3D%3D" TargetMode="External" Id="rId2878"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2879" /><Relationship Type="http://schemas.openxmlformats.org/officeDocument/2006/relationships/hyperlink" Target="https://contrataciondelestado.es/wps/poc?uri=deeplink:detalle_licitacion&amp;idEvl=MT8KavYFfWf10HRJw8TEnQ%3D%3D" TargetMode="External" Id="rId2880"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2881" /><Relationship Type="http://schemas.openxmlformats.org/officeDocument/2006/relationships/hyperlink" Target="https://contrataciondelestado.es/wps/poc?uri=deeplink:detalle_licitacion&amp;idEvl=1QpUgbF4h%2FIzjChw4z%2FXvw%3D%3D" TargetMode="External" Id="rId2882"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2883" /><Relationship Type="http://schemas.openxmlformats.org/officeDocument/2006/relationships/hyperlink" Target="https://contrataciondelestado.es/wps/poc?uri=deeplink:detalle_licitacion&amp;idEvl=ILc928TOCvpLAIVZdUs8KA%3D%3D" TargetMode="External" Id="rId2884"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2885" /><Relationship Type="http://schemas.openxmlformats.org/officeDocument/2006/relationships/hyperlink" Target="https://contrataciondelestado.es/wps/poc?uri=deeplink:detalle_licitacion&amp;idEvl=yFbq%2F4Grs3MeIBJRHQiPkQ%3D%3D" TargetMode="External" Id="rId2886"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2887" /><Relationship Type="http://schemas.openxmlformats.org/officeDocument/2006/relationships/hyperlink" Target="https://contrataciondelestado.es/wps/poc?uri=deeplink:detalle_licitacion&amp;idEvl=WKtjqds8AziopEMYCmrbmw%3D%3D" TargetMode="External" Id="rId2888"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2889" /><Relationship Type="http://schemas.openxmlformats.org/officeDocument/2006/relationships/hyperlink" Target="https://contrataciondelestado.es/wps/poc?uri=deeplink:detalle_licitacion&amp;idEvl=2Mf%2FeoNIOaiGCFcHcNGIlQ%3D%3D" TargetMode="External" Id="rId2890"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2891" /><Relationship Type="http://schemas.openxmlformats.org/officeDocument/2006/relationships/hyperlink" Target="https://contrataciondelestado.es/wps/poc?uri=deeplink:detalle_licitacion&amp;idEvl=Inez%2BhqP80RrSd8H4b2soA%3D%3D" TargetMode="External" Id="rId2892"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2893" /><Relationship Type="http://schemas.openxmlformats.org/officeDocument/2006/relationships/hyperlink" Target="https://contrataciondelestado.es/wps/poc?uri=deeplink:detalle_licitacion&amp;idEvl=P4GBHIyE%2BkAwYTJJ03sHog%3D%3D" TargetMode="External" Id="rId2894"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2895" /><Relationship Type="http://schemas.openxmlformats.org/officeDocument/2006/relationships/hyperlink" Target="https://contrataciondelestado.es/wps/poc?uri=deeplink:detalle_licitacion&amp;idEvl=ds04qql6DEqTylGzYmBF9Q%3D%3D" TargetMode="External" Id="rId2896"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2897" /><Relationship Type="http://schemas.openxmlformats.org/officeDocument/2006/relationships/hyperlink" Target="https://contrataciondelestado.es/wps/poc?uri=deeplink:detalle_licitacion&amp;idEvl=ciNcKuogNH4%2Bk2oCbDosIw%3D%3D" TargetMode="External" Id="rId2898"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2899" /><Relationship Type="http://schemas.openxmlformats.org/officeDocument/2006/relationships/hyperlink" Target="https://contrataciondelestado.es/wps/poc?uri=deeplink:detalle_licitacion&amp;idEvl=5ENLM42C%2Bec%2FbjW6njtWLw%3D%3D" TargetMode="External" Id="rId2900"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2901" /><Relationship Type="http://schemas.openxmlformats.org/officeDocument/2006/relationships/hyperlink" Target="https://contrataciondelestado.es/wps/poc?uri=deeplink:detalle_licitacion&amp;idEvl=ItvjtKoc8pvE6P%2FuLemXRw%3D%3D" TargetMode="External" Id="rId2902"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2903" /><Relationship Type="http://schemas.openxmlformats.org/officeDocument/2006/relationships/hyperlink" Target="https://contrataciondelestado.es/wps/poc?uri=deeplink:detalle_licitacion&amp;idEvl=INsuP8TZ9wQXhk1FZxEyvw%3D%3D" TargetMode="External" Id="rId2904"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2905" /><Relationship Type="http://schemas.openxmlformats.org/officeDocument/2006/relationships/hyperlink" Target="https://contrataciondelestado.es/wps/poc?uri=deeplink:detalle_licitacion&amp;idEvl=x%2BjD2mslfxfL1rX3q%2FMAPA%3D%3D" TargetMode="External" Id="rId2906"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2907" /><Relationship Type="http://schemas.openxmlformats.org/officeDocument/2006/relationships/hyperlink" Target="https://contrataciondelestado.es/wps/poc?uri=deeplink:detalle_licitacion&amp;idEvl=0qcuBo8%2FjMo7u6%2B%2FR7DUoA%3D%3D" TargetMode="External" Id="rId2908"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2909" /><Relationship Type="http://schemas.openxmlformats.org/officeDocument/2006/relationships/hyperlink" Target="https://contrataciondelestado.es/wps/poc?uri=deeplink:detalle_licitacion&amp;idEvl=tPatNENN%2BVqcCF8sV%2BqtYA%3D%3D" TargetMode="External" Id="rId2910"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2911" /><Relationship Type="http://schemas.openxmlformats.org/officeDocument/2006/relationships/hyperlink" Target="https://contrataciondelestado.es/wps/poc?uri=deeplink:detalle_licitacion&amp;idEvl=9eAWhj05zJ6HCIsjvJ3rhQ%3D%3D" TargetMode="External" Id="rId2912"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2913" /><Relationship Type="http://schemas.openxmlformats.org/officeDocument/2006/relationships/hyperlink" Target="https://contrataciondelestado.es/wps/poc?uri=deeplink:detalle_licitacion&amp;idEvl=T7tV90x00UzXOjazN1Dw9Q%3D%3D" TargetMode="External" Id="rId2914"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2915" /><Relationship Type="http://schemas.openxmlformats.org/officeDocument/2006/relationships/hyperlink" Target="https://contrataciondelestado.es/wps/poc?uri=deeplink:detalle_licitacion&amp;idEvl=t2xGqkZDsPr%2Fa9DgO%2BoYKQ%3D%3D" TargetMode="External" Id="rId2916"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2917" /><Relationship Type="http://schemas.openxmlformats.org/officeDocument/2006/relationships/hyperlink" Target="https://contrataciondelestado.es/wps/poc?uri=deeplink:detalle_licitacion&amp;idEvl=JOYvBxxXA68aF6cS8TCh%2FA%3D%3D" TargetMode="External" Id="rId2918"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2919" /><Relationship Type="http://schemas.openxmlformats.org/officeDocument/2006/relationships/hyperlink" Target="https://contrataciondelestado.es/wps/poc?uri=deeplink:detalle_licitacion&amp;idEvl=r8ZECqwDeJsUqXM96WStVA%3D%3D" TargetMode="External" Id="rId2920"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2921" /><Relationship Type="http://schemas.openxmlformats.org/officeDocument/2006/relationships/hyperlink" Target="https://contrataciondelestado.es/wps/poc?uri=deeplink:detalle_licitacion&amp;idEvl=Nor%2BsqkJOnmExvMJXBMHHQ%3D%3D" TargetMode="External" Id="rId2922"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2923" /><Relationship Type="http://schemas.openxmlformats.org/officeDocument/2006/relationships/hyperlink" Target="https://contrataciondelestado.es/wps/poc?uri=deeplink:detalle_licitacion&amp;idEvl=jagO6%2Bk%2BpsweIBJRHQiPkQ%3D%3D" TargetMode="External" Id="rId2924"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2925" /><Relationship Type="http://schemas.openxmlformats.org/officeDocument/2006/relationships/hyperlink" Target="https://contrataciondelestado.es/wps/poc?uri=deeplink:detalle_licitacion&amp;idEvl=AiudTCIi5tEl5NjlNci%2BtA%3D%3D" TargetMode="External" Id="rId2926"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2927" /><Relationship Type="http://schemas.openxmlformats.org/officeDocument/2006/relationships/hyperlink" Target="https://contrataciondelestado.es/wps/poc?uri=deeplink:detalle_licitacion&amp;idEvl=xOULlD%2FyuK%2FkY6rls5tG9A%3D%3D" TargetMode="External" Id="rId2928"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2929" /><Relationship Type="http://schemas.openxmlformats.org/officeDocument/2006/relationships/hyperlink" Target="https://contrataciondelestado.es/wps/poc?uri=deeplink:detalle_licitacion&amp;idEvl=L%2B9H71d386MeIBJRHQiPkQ%3D%3D" TargetMode="External" Id="rId2930"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2931" /><Relationship Type="http://schemas.openxmlformats.org/officeDocument/2006/relationships/hyperlink" Target="https://contrataciondelestado.es/wps/poc?uri=deeplink:detalle_licitacion&amp;idEvl=se3UoeFA55YzjChw4z%2FXvw%3D%3D" TargetMode="External" Id="rId2932"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2933" /><Relationship Type="http://schemas.openxmlformats.org/officeDocument/2006/relationships/hyperlink" Target="https://contrataciondelestado.es/wps/poc?uri=deeplink:detalle_licitacion&amp;idEvl=wEykuJKfhgXs%2BnLj3vAg5A%3D%3D" TargetMode="External" Id="rId2934"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2935" /><Relationship Type="http://schemas.openxmlformats.org/officeDocument/2006/relationships/hyperlink" Target="https://contrataciondelestado.es/wps/poc?uri=deeplink:detalle_licitacion&amp;idEvl=KXV5Q%2BC%2Bm9BVq4S9zvaQpQ%3D%3D" TargetMode="External" Id="rId2936"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2937" /><Relationship Type="http://schemas.openxmlformats.org/officeDocument/2006/relationships/hyperlink" Target="https://contrataciondelestado.es/wps/poc?uri=deeplink:detalle_licitacion&amp;idEvl=ANSoETM7H7MIYE3ZiZ%2BxmQ%3D%3D" TargetMode="External" Id="rId2938"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2939" /><Relationship Type="http://schemas.openxmlformats.org/officeDocument/2006/relationships/hyperlink" Target="https://contrataciondelestado.es/wps/poc?uri=deeplink:detalle_licitacion&amp;idEvl=QR840W%2BwtWv%2Fa9DgO%2BoYKQ%3D%3D" TargetMode="External" Id="rId2940"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2941" /><Relationship Type="http://schemas.openxmlformats.org/officeDocument/2006/relationships/hyperlink" Target="https://contrataciondelestado.es/wps/poc?uri=deeplink:detalle_licitacion&amp;idEvl=HpYj3PKwkH8l5NjlNci%2BtA%3D%3D" TargetMode="External" Id="rId2942"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2943" /><Relationship Type="http://schemas.openxmlformats.org/officeDocument/2006/relationships/hyperlink" Target="https://contrataciondelestado.es/wps/poc?uri=deeplink:detalle_licitacion&amp;idEvl=CKpTP%2BnPBmZ9Zh%2FyRJgM8w%3D%3D" TargetMode="External" Id="rId2944"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2945" /><Relationship Type="http://schemas.openxmlformats.org/officeDocument/2006/relationships/hyperlink" Target="https://contrataciondelestado.es/wps/poc?uri=deeplink:detalle_licitacion&amp;idEvl=3WyJrIMnNEvua%2Fi14w%2FPLA%3D%3D" TargetMode="External" Id="rId2946"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2947" /><Relationship Type="http://schemas.openxmlformats.org/officeDocument/2006/relationships/hyperlink" Target="https://contrataciondelestado.es/wps/poc?uri=deeplink:detalle_licitacion&amp;idEvl=KKpAO9EDQmkzjChw4z%2FXvw%3D%3D" TargetMode="External" Id="rId2948"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2949" /><Relationship Type="http://schemas.openxmlformats.org/officeDocument/2006/relationships/hyperlink" Target="https://contrataciondelestado.es/wps/poc?uri=deeplink:detalle_licitacion&amp;idEvl=X7JWMYN0AafIGlsa0Wad%2Bw%3D%3D" TargetMode="External" Id="rId2950"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2951" /><Relationship Type="http://schemas.openxmlformats.org/officeDocument/2006/relationships/hyperlink" Target="https://contrataciondelestado.es/wps/poc?uri=deeplink:detalle_licitacion&amp;idEvl=qth9afnT2sOdkQsA7ROvsg%3D%3D" TargetMode="External" Id="rId2952"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2953" /><Relationship Type="http://schemas.openxmlformats.org/officeDocument/2006/relationships/hyperlink" Target="https://contrataciondelestado.es/wps/poc?uri=deeplink:detalle_licitacion&amp;idEvl=B9Svf9HjW3AZDGvgaZEVxQ%3D%3D" TargetMode="External" Id="rId2954"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2955" /><Relationship Type="http://schemas.openxmlformats.org/officeDocument/2006/relationships/hyperlink" Target="https://contrataciondelestado.es/wps/poc?uri=deeplink:detalle_licitacion&amp;idEvl=CNTnoo6CY2rI8aL3PRS10Q%3D%3D" TargetMode="External" Id="rId2956"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2957" /><Relationship Type="http://schemas.openxmlformats.org/officeDocument/2006/relationships/hyperlink" Target="https://contrataciondelestado.es/wps/poc?uri=deeplink:detalle_licitacion&amp;idEvl=yYPQjO%2FqIeQadbH3CysQuQ%3D%3D" TargetMode="External" Id="rId2958"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2959" /><Relationship Type="http://schemas.openxmlformats.org/officeDocument/2006/relationships/hyperlink" Target="https://contrataciondelestado.es/wps/poc?uri=deeplink:detalle_licitacion&amp;idEvl=5mNjMIk93ogUqXM96WStVA%3D%3D" TargetMode="External" Id="rId2960"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2961" /><Relationship Type="http://schemas.openxmlformats.org/officeDocument/2006/relationships/hyperlink" Target="https://contrataciondelestado.es/wps/poc?uri=deeplink:detalle_licitacion&amp;idEvl=x7cM%2BCGZPp2opEMYCmrbmw%3D%3D" TargetMode="External" Id="rId2962"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2963" /><Relationship Type="http://schemas.openxmlformats.org/officeDocument/2006/relationships/hyperlink" Target="https://contrataciondelestado.es/wps/poc?uri=deeplink:detalle_licitacion&amp;idEvl=NLS%2BSUMVpfmFQ%2FlhRK79lA%3D%3D" TargetMode="External" Id="rId2964"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2965" /><Relationship Type="http://schemas.openxmlformats.org/officeDocument/2006/relationships/hyperlink" Target="https://contrataciondelestado.es/wps/poc?uri=deeplink:detalle_licitacion&amp;idEvl=DUSVXG%2BpwU4%2Bk2oCbDosIw%3D%3D" TargetMode="External" Id="rId2966"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2967" /><Relationship Type="http://schemas.openxmlformats.org/officeDocument/2006/relationships/hyperlink" Target="https://contrataciondelestado.es/wps/poc?uri=deeplink:detalle_licitacion&amp;idEvl=KnY9p8DYXuL9pbnDwlaUlg%3D%3D" TargetMode="External" Id="rId2968"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2969" /><Relationship Type="http://schemas.openxmlformats.org/officeDocument/2006/relationships/hyperlink" Target="https://contrataciondelestado.es/wps/poc?uri=deeplink:detalle_licitacion&amp;idEvl=opf6oGNE2qUl5NjlNci%2BtA%3D%3D" TargetMode="External" Id="rId2970"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2971" /><Relationship Type="http://schemas.openxmlformats.org/officeDocument/2006/relationships/hyperlink" Target="https://contrataciondelestado.es/wps/poc?uri=deeplink:detalle_licitacion&amp;idEvl=yE%2BolyT5PTNPpzdqOdhuWg%3D%3D" TargetMode="External" Id="rId2972"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2973" /><Relationship Type="http://schemas.openxmlformats.org/officeDocument/2006/relationships/hyperlink" Target="https://contrataciondelestado.es/wps/poc?uri=deeplink:detalle_licitacion&amp;idEvl=oZykyHz5K26S81gZFETWmA%3D%3D" TargetMode="External" Id="rId2974"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2975" /><Relationship Type="http://schemas.openxmlformats.org/officeDocument/2006/relationships/hyperlink" Target="https://contrataciondelestado.es/wps/poc?uri=deeplink:detalle_licitacion&amp;idEvl=%2B6hwOHFt1aScCF8sV%2BqtYA%3D%3D" TargetMode="External" Id="rId2976"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2977" /><Relationship Type="http://schemas.openxmlformats.org/officeDocument/2006/relationships/hyperlink" Target="https://contrataciondelestado.es/wps/poc?uri=deeplink:detalle_licitacion&amp;idEvl=hIqwJpV3W4rCfVQHDepjGQ%3D%3D" TargetMode="External" Id="rId2978"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2979" /><Relationship Type="http://schemas.openxmlformats.org/officeDocument/2006/relationships/hyperlink" Target="https://contrataciondelestado.es/wps/poc?uri=deeplink:detalle_licitacion&amp;idEvl=YmdCOi9L%2BOGGCFcHcNGIlQ%3D%3D" TargetMode="External" Id="rId2980"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2981" /><Relationship Type="http://schemas.openxmlformats.org/officeDocument/2006/relationships/hyperlink" Target="https://contrataciondelestado.es/wps/poc?uri=deeplink:detalle_licitacion&amp;idEvl=pnt3afb7EjRrSd8H4b2soA%3D%3D" TargetMode="External" Id="rId2982"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2983" /><Relationship Type="http://schemas.openxmlformats.org/officeDocument/2006/relationships/hyperlink" Target="https://contrataciondelestado.es/wps/poc?uri=deeplink:detalle_licitacion&amp;idEvl=50BvjyQwpB9Vq4S9zvaQpQ%3D%3D" TargetMode="External" Id="rId2984"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2985" /><Relationship Type="http://schemas.openxmlformats.org/officeDocument/2006/relationships/hyperlink" Target="https://contrataciondelestado.es/wps/poc?uri=deeplink:detalle_licitacion&amp;idEvl=Hg1cXZCt5j5%2BF6L2uCfUWg%3D%3D" TargetMode="External" Id="rId2986"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2987" /><Relationship Type="http://schemas.openxmlformats.org/officeDocument/2006/relationships/hyperlink" Target="https://contrataciondelestado.es/wps/poc?uri=deeplink:detalle_licitacion&amp;idEvl=Gj%2Fj8nxrMctq1DdmE7eaXg%3D%3D" TargetMode="External" Id="rId2988"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2989" /><Relationship Type="http://schemas.openxmlformats.org/officeDocument/2006/relationships/hyperlink" Target="https://contrataciondelestado.es/wps/poc?uri=deeplink:detalle_licitacion&amp;idEvl=ZQzoD5bPI5bXOjazN1Dw9Q%3D%3D" TargetMode="External" Id="rId2990"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2991" /><Relationship Type="http://schemas.openxmlformats.org/officeDocument/2006/relationships/hyperlink" Target="https://contrataciondelestado.es/wps/poc?uri=deeplink:detalle_licitacion&amp;idEvl=5DOY5hh8UKykU02jNGj1Fw%3D%3D" TargetMode="External" Id="rId2992"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2993" /><Relationship Type="http://schemas.openxmlformats.org/officeDocument/2006/relationships/hyperlink" Target="https://contrataciondelestado.es/wps/poc?uri=deeplink:detalle_licitacion&amp;idEvl=3EVC%2Bw16IsAkJPJS%2BPS9vg%3D%3D" TargetMode="External" Id="rId2994"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2995" /><Relationship Type="http://schemas.openxmlformats.org/officeDocument/2006/relationships/hyperlink" Target="https://contrataciondelestado.es/wps/poc?uri=deeplink:detalle_licitacion&amp;idEvl=bHwjzkCQ6e%2BIzo3LHNPGcQ%3D%3D" TargetMode="External" Id="rId2996"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2997" /><Relationship Type="http://schemas.openxmlformats.org/officeDocument/2006/relationships/hyperlink" Target="https://contrataciondelestado.es/wps/poc?uri=deeplink:detalle_licitacion&amp;idEvl=FU3l0XS47RU2wEhQbcAqug%3D%3D" TargetMode="External" Id="rId2998"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2999" /><Relationship Type="http://schemas.openxmlformats.org/officeDocument/2006/relationships/hyperlink" Target="https://contrataciondelestado.es/wps/poc?uri=deeplink:detalle_licitacion&amp;idEvl=LyLLwR2wOmA4NavIWzMcHA%3D%3D" TargetMode="External" Id="rId3000"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3001" /><Relationship Type="http://schemas.openxmlformats.org/officeDocument/2006/relationships/hyperlink" Target="https://contrataciondelestado.es/wps/poc?uri=deeplink:detalle_licitacion&amp;idEvl=1OL531dJSsfLIx6q1oPaMg%3D%3D" TargetMode="External" Id="rId3002"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3003" /><Relationship Type="http://schemas.openxmlformats.org/officeDocument/2006/relationships/hyperlink" Target="https://contrataciondelestado.es/wps/poc?uri=deeplink:detalle_licitacion&amp;idEvl=ZEF%2BNv71%2FcXN3k3tjedSGw%3D%3D" TargetMode="External" Id="rId3004"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3005" /><Relationship Type="http://schemas.openxmlformats.org/officeDocument/2006/relationships/hyperlink" Target="https://contrataciondelestado.es/wps/poc?uri=deeplink:detalle_licitacion&amp;idEvl=n8WInzjdL2PLIx6q1oPaMg%3D%3D" TargetMode="External" Id="rId3006"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3007" /><Relationship Type="http://schemas.openxmlformats.org/officeDocument/2006/relationships/hyperlink" Target="https://contrataciondelestado.es/wps/poc?uri=deeplink:detalle_licitacion&amp;idEvl=TqNW%2FPxNacE7%2B9FIQYNjeQ%3D%3D" TargetMode="External" Id="rId3008"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3009" /><Relationship Type="http://schemas.openxmlformats.org/officeDocument/2006/relationships/hyperlink" Target="https://contrataciondelestado.es/wps/poc?uri=deeplink:detalle_licitacion&amp;idEvl=lZm5mMPSh1aS81gZFETWmA%3D%3D" TargetMode="External" Id="rId3010"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3011" /><Relationship Type="http://schemas.openxmlformats.org/officeDocument/2006/relationships/hyperlink" Target="https://contrataciondelestado.es/wps/poc?uri=deeplink:detalle_licitacion&amp;idEvl=kFvRLFr3b0%2FECtSnloz%2BZQ%3D%3D" TargetMode="External" Id="rId3012"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3013" /><Relationship Type="http://schemas.openxmlformats.org/officeDocument/2006/relationships/hyperlink" Target="https://contrataciondelestado.es/wps/poc?uri=deeplink:detalle_licitacion&amp;idEvl=5jtdhiVzeprN3k3tjedSGw%3D%3D" TargetMode="External" Id="rId3014"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3015" /><Relationship Type="http://schemas.openxmlformats.org/officeDocument/2006/relationships/hyperlink" Target="https://contrataciondelestado.es/wps/poc?uri=deeplink:detalle_licitacion&amp;idEvl=LFWbhewS5yT5Rey58Yagpg%3D%3D" TargetMode="External" Id="rId3016"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3017" /><Relationship Type="http://schemas.openxmlformats.org/officeDocument/2006/relationships/hyperlink" Target="https://contrataciondelestado.es/wps/poc?uri=deeplink:detalle_licitacion&amp;idEvl=H93RFF9%2F2dlq1DdmE7eaXg%3D%3D" TargetMode="External" Id="rId3018"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3019" /><Relationship Type="http://schemas.openxmlformats.org/officeDocument/2006/relationships/hyperlink" Target="https://contrataciondelestado.es/wps/poc?uri=deeplink:detalle_licitacion&amp;idEvl=7tNpshwHz2wtm4eBPtV6eQ%3D%3D" TargetMode="External" Id="rId3020"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3021" /><Relationship Type="http://schemas.openxmlformats.org/officeDocument/2006/relationships/hyperlink" Target="https://contrataciondelestado.es/wps/poc?uri=deeplink:detalle_licitacion&amp;idEvl=sTHGcLcWlaCOUi78BmzhOQ%3D%3D" TargetMode="External" Id="rId3022"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3023" /><Relationship Type="http://schemas.openxmlformats.org/officeDocument/2006/relationships/hyperlink" Target="https://contrataciondelestado.es/wps/poc?uri=deeplink:detalle_licitacion&amp;idEvl=J0O%2B9zWkNfeKeVWTb9Scog%3D%3D" TargetMode="External" Id="rId3024"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3025" /><Relationship Type="http://schemas.openxmlformats.org/officeDocument/2006/relationships/hyperlink" Target="https://contrataciondelestado.es/wps/poc?uri=deeplink:detalle_licitacion&amp;idEvl=a7e7k8jIjMzLIx6q1oPaMg%3D%3D" TargetMode="External" Id="rId3026"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3027" /><Relationship Type="http://schemas.openxmlformats.org/officeDocument/2006/relationships/hyperlink" Target="https://contrataciondelestado.es/wps/poc?uri=deeplink:detalle_licitacion&amp;idEvl=geaWBSdXhc%2B9Hd5zqvq9cg%3D%3D" TargetMode="External" Id="rId3028"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3029" /><Relationship Type="http://schemas.openxmlformats.org/officeDocument/2006/relationships/hyperlink" Target="https://contrataciondelestado.es/wps/poc?uri=deeplink:detalle_licitacion&amp;idEvl=Qbzjcewh68hQFSeKCRun4Q%3D%3D" TargetMode="External" Id="rId3030" /><Relationship Type="http://schemas.openxmlformats.org/officeDocument/2006/relationships/hyperlink" Target="https://contrataciondelestado.es/wps/poc?uri=deeplink:detalle_licitacion&amp;idEvl=oVrjEuSAJ%2Ftt5r0ngvMetA%3D%3D" TargetMode="External" Id="rId3031"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3032" /><Relationship Type="http://schemas.openxmlformats.org/officeDocument/2006/relationships/hyperlink" Target="https://contrataciondelestado.es/wps/poc?uri=deeplink:detalle_licitacion&amp;idEvl=%2FVjxxFcy5JHN3k3tjedSGw%3D%3D" TargetMode="External" Id="rId3033"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3034" /><Relationship Type="http://schemas.openxmlformats.org/officeDocument/2006/relationships/hyperlink" Target="https://contrataciondelestado.es/wps/poc?uri=deeplink:detalle_licitacion&amp;idEvl=FviNQSTAAGnnSoTX3z%2F7wA%3D%3D" TargetMode="External" Id="rId3035"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3036" /><Relationship Type="http://schemas.openxmlformats.org/officeDocument/2006/relationships/hyperlink" Target="https://contrataciondelestado.es/wps/poc?uri=deeplink:detalle_licitacion&amp;idEvl=vS4JbbcN12wXhk1FZxEyvw%3D%3D" TargetMode="External" Id="rId3037"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3038" /><Relationship Type="http://schemas.openxmlformats.org/officeDocument/2006/relationships/hyperlink" Target="https://contrataciondelestado.es/wps/poc?uri=deeplink:detalle_licitacion&amp;idEvl=mf1bc4aRDXnLIx6q1oPaMg%3D%3D" TargetMode="External" Id="rId3039"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3040" /><Relationship Type="http://schemas.openxmlformats.org/officeDocument/2006/relationships/hyperlink" Target="https://contrataciondelestado.es/wps/poc?uri=deeplink:detalle_licitacion&amp;idEvl=yd3JTkTpYtZ9PLkba5eRog%3D%3D" TargetMode="External" Id="rId3041"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3042" /><Relationship Type="http://schemas.openxmlformats.org/officeDocument/2006/relationships/hyperlink" Target="https://contrataciondelestado.es/wps/poc?uri=deeplink:detalle_licitacion&amp;idEvl=hfIYWg3xoL0IYE3ZiZ%2BxmQ%3D%3D" TargetMode="External" Id="rId3043"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3044" /><Relationship Type="http://schemas.openxmlformats.org/officeDocument/2006/relationships/hyperlink" Target="https://contrataciondelestado.es/wps/poc?uri=deeplink:detalle_licitacion&amp;idEvl=nuUCyza7kdcadbH3CysQuQ%3D%3D" TargetMode="External" Id="rId3045"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3046" /><Relationship Type="http://schemas.openxmlformats.org/officeDocument/2006/relationships/hyperlink" Target="https://contrataciondelestado.es/wps/poc?uri=deeplink:detalle_licitacion&amp;idEvl=e7iM0rtC49wl5NjlNci%2BtA%3D%3D" TargetMode="External" Id="rId3047"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3048" /><Relationship Type="http://schemas.openxmlformats.org/officeDocument/2006/relationships/hyperlink" Target="https://contrataciondelestado.es/wps/poc?uri=deeplink:detalle_licitacion&amp;idEvl=OssyHRKD4wSTylGzYmBF9Q%3D%3D" TargetMode="External" Id="rId3049"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3050" /><Relationship Type="http://schemas.openxmlformats.org/officeDocument/2006/relationships/hyperlink" Target="https://contrataciondelestado.es/wps/poc?uri=deeplink:detalle_licitacion&amp;idEvl=6e7b5NskBwK2gkLQ8TeYKA%3D%3D" TargetMode="External" Id="rId3051"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3052" /><Relationship Type="http://schemas.openxmlformats.org/officeDocument/2006/relationships/hyperlink" Target="https://contrataciondelestado.es/wps/poc?uri=deeplink:detalle_licitacion&amp;idEvl=MWuKP9IHnhjLIx6q1oPaMg%3D%3D" TargetMode="External" Id="rId3053"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3054" /><Relationship Type="http://schemas.openxmlformats.org/officeDocument/2006/relationships/hyperlink" Target="https://contrataciondelestado.es/wps/poc?uri=deeplink:detalle_licitacion&amp;idEvl=HspvsNIRVvIQyBAnWzHfCg%3D%3D" TargetMode="External" Id="rId3055"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3056" /><Relationship Type="http://schemas.openxmlformats.org/officeDocument/2006/relationships/hyperlink" Target="https://contrataciondelestado.es/wps/poc?uri=deeplink:detalle_licitacion&amp;idEvl=jrxNsLMcUUw%2B1TMyIiZmzw%3D%3D" TargetMode="External" Id="rId3057"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3058" /><Relationship Type="http://schemas.openxmlformats.org/officeDocument/2006/relationships/hyperlink" Target="https://contrataciondelestado.es/wps/poc?uri=deeplink:detalle_licitacion&amp;idEvl=pKb9raoHBwrzAq95uGTrDQ%3D%3D" TargetMode="External" Id="rId3059"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3060" /><Relationship Type="http://schemas.openxmlformats.org/officeDocument/2006/relationships/hyperlink" Target="https://contrataciondelestado.es/wps/poc?uri=deeplink:detalle_licitacion&amp;idEvl=x%2BtWzaKQRWlVq4S9zvaQpQ%3D%3D" TargetMode="External" Id="rId3061"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3062" /><Relationship Type="http://schemas.openxmlformats.org/officeDocument/2006/relationships/hyperlink" Target="https://contrataciondelestado.es/wps/poc?uri=deeplink:detalle_licitacion&amp;idEvl=9OqkWFMmntc%2B1TMyIiZmzw%3D%3D" TargetMode="External" Id="rId3063"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3064" /><Relationship Type="http://schemas.openxmlformats.org/officeDocument/2006/relationships/hyperlink" Target="https://contrataciondelestado.es/wps/poc?uri=deeplink:detalle_licitacion&amp;idEvl=PChg%2BCKjFXOOUi78BmzhOQ%3D%3D" TargetMode="External" Id="rId3065"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3066" /><Relationship Type="http://schemas.openxmlformats.org/officeDocument/2006/relationships/hyperlink" Target="https://contrataciondelestado.es/wps/poc?uri=deeplink:detalle_licitacion&amp;idEvl=uAccvpWIHypWhbmkna2nXQ%3D%3D" TargetMode="External" Id="rId3067"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3068" /><Relationship Type="http://schemas.openxmlformats.org/officeDocument/2006/relationships/hyperlink" Target="https://contrataciondelestado.es/wps/poc?uri=deeplink:detalle_licitacion&amp;idEvl=YlKAwDTQEi%2B2gkLQ8TeYKA%3D%3D" TargetMode="External" Id="rId3069"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3070" /><Relationship Type="http://schemas.openxmlformats.org/officeDocument/2006/relationships/hyperlink" Target="https://contrataciondelestado.es/wps/poc?uri=deeplink:detalle_licitacion&amp;idEvl=OZM%2Fp9QKMwIkJPJS%2BPS9vg%3D%3D" TargetMode="External" Id="rId3071"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3072" /><Relationship Type="http://schemas.openxmlformats.org/officeDocument/2006/relationships/hyperlink" Target="https://contrataciondelestado.es/wps/poc?uri=deeplink:detalle_licitacion&amp;idEvl=UIalDUca%2Bwx4zIRvjBVCSw%3D%3D" TargetMode="External" Id="rId3073"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3074" /><Relationship Type="http://schemas.openxmlformats.org/officeDocument/2006/relationships/hyperlink" Target="https://contrataciondelestado.es/wps/poc?uri=deeplink:detalle_licitacion&amp;idEvl=R5qiXYufqSctm4eBPtV6eQ%3D%3D" TargetMode="External" Id="rId3075"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3076" /><Relationship Type="http://schemas.openxmlformats.org/officeDocument/2006/relationships/hyperlink" Target="https://contrataciondelestado.es/wps/poc?uri=deeplink:detalle_licitacion&amp;idEvl=yCzCMVWYJH43vLk2DU2Ddg%3D%3D" TargetMode="External" Id="rId3077" /><Relationship Type="http://schemas.openxmlformats.org/officeDocument/2006/relationships/hyperlink" Target="https://contrataciondelestado.es/wps/poc?uri=deeplink:detalle_licitacion&amp;idEvl=HSWt1mn1KSgQyBAnWzHfCg%3D%3D" TargetMode="External" Id="rId3078"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3079" /><Relationship Type="http://schemas.openxmlformats.org/officeDocument/2006/relationships/hyperlink" Target="https://contrataciondelestado.es/wps/poc?uri=deeplink:detalle_licitacion&amp;idEvl=gb0qo3MEguF9Zh%2FyRJgM8w%3D%3D" TargetMode="External" Id="rId3080"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3081" /><Relationship Type="http://schemas.openxmlformats.org/officeDocument/2006/relationships/hyperlink" Target="https://contrataciondelestado.es/wps/poc?uri=deeplink:detalle_licitacion&amp;idEvl=BbyRdPbdrNVPpzdqOdhuWg%3D%3D" TargetMode="External" Id="rId3082" /><Relationship Type="http://schemas.openxmlformats.org/officeDocument/2006/relationships/hyperlink" Target="https://contrataciondelestado.es/wps/poc?uri=deeplink:detalle_licitacion&amp;idEvl=3Cq27b1GidXjHF5qKI4aaw%3D%3D" TargetMode="External" Id="rId3083"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3084" /><Relationship Type="http://schemas.openxmlformats.org/officeDocument/2006/relationships/hyperlink" Target="https://contrataciondelestado.es/wps/poc?uri=deeplink:detalle_licitacion&amp;idEvl=694kvRXCPBmFQ%2FlhRK79lA%3D%3D" TargetMode="External" Id="rId3085"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3086" /><Relationship Type="http://schemas.openxmlformats.org/officeDocument/2006/relationships/hyperlink" Target="https://contrataciondelestado.es/wps/poc?uri=deeplink:detalle_licitacion&amp;idEvl=PQRweQrdByGKeVWTb9Scog%3D%3D" TargetMode="External" Id="rId3087"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3088" /><Relationship Type="http://schemas.openxmlformats.org/officeDocument/2006/relationships/hyperlink" Target="https://contrataciondelestado.es/wps/poc?uri=deeplink:detalle_licitacion&amp;idEvl=%2F1bBIt%2F8wRlJ8Trn0ZPzLw%3D%3D" TargetMode="External" Id="rId3089"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3090" /><Relationship Type="http://schemas.openxmlformats.org/officeDocument/2006/relationships/hyperlink" Target="https://contrataciondelestado.es/wps/poc?uri=deeplink:detalle_licitacion&amp;idEvl=p3nSL0kjEDoadbH3CysQuQ%3D%3D" TargetMode="External" Id="rId3091"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3092" /><Relationship Type="http://schemas.openxmlformats.org/officeDocument/2006/relationships/hyperlink" Target="https://contrataciondelestado.es/wps/poc?uri=deeplink:detalle_licitacion&amp;idEvl=KG2rTIhhZUkZDGvgaZEVxQ%3D%3D" TargetMode="External" Id="rId3093"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3094" /><Relationship Type="http://schemas.openxmlformats.org/officeDocument/2006/relationships/hyperlink" Target="https://contrataciondelestado.es/wps/poc?uri=deeplink:detalle_licitacion&amp;idEvl=PXccbwUM7hT10HRJw8TEnQ%3D%3D" TargetMode="External" Id="rId3095"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3096" /><Relationship Type="http://schemas.openxmlformats.org/officeDocument/2006/relationships/hyperlink" Target="https://contrataciondelestado.es/wps/poc?uri=deeplink:detalle_licitacion&amp;idEvl=Opnepgj74rWzz8fXU2i3eQ%3D%3D" TargetMode="External" Id="rId3097"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3098" /><Relationship Type="http://schemas.openxmlformats.org/officeDocument/2006/relationships/hyperlink" Target="https://contrataciondelestado.es/wps/poc?uri=deeplink:detalle_licitacion&amp;idEvl=gl9Q%2FOyVxpvCfVQHDepjGQ%3D%3D" TargetMode="External" Id="rId3099"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3100" /><Relationship Type="http://schemas.openxmlformats.org/officeDocument/2006/relationships/hyperlink" Target="https://contrataciondelestado.es/wps/poc?uri=deeplink:detalle_licitacion&amp;idEvl=%2FEb1Luj8AhqAAM7L03kM8A%3D%3D" TargetMode="External" Id="rId3101"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3102" /><Relationship Type="http://schemas.openxmlformats.org/officeDocument/2006/relationships/hyperlink" Target="https://contrataciondelestado.es/wps/poc?uri=deeplink:detalle_licitacion&amp;idEvl=Dhe4UVgrmH%2FIGlsa0Wad%2Bw%3D%3D" TargetMode="External" Id="rId3103"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3104" /><Relationship Type="http://schemas.openxmlformats.org/officeDocument/2006/relationships/hyperlink" Target="https://contrataciondelestado.es/wps/poc?uri=deeplink:detalle_licitacion&amp;idEvl=WKndKZfW0pTI8aL3PRS10Q%3D%3D" TargetMode="External" Id="rId3105"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3106" /><Relationship Type="http://schemas.openxmlformats.org/officeDocument/2006/relationships/hyperlink" Target="https://contrataciondelestado.es/wps/poc?uri=deeplink:detalle_licitacion&amp;idEvl=8uflHYnZX7l9Zh%2FyRJgM8w%3D%3D" TargetMode="External" Id="rId3107"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3108" /><Relationship Type="http://schemas.openxmlformats.org/officeDocument/2006/relationships/hyperlink" Target="https://contrataciondelestado.es/wps/poc?uri=deeplink:detalle_licitacion&amp;idEvl=ljRSpp5IktmFQ%2FlhRK79lA%3D%3D" TargetMode="External" Id="rId3109"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3110" /><Relationship Type="http://schemas.openxmlformats.org/officeDocument/2006/relationships/hyperlink" Target="https://contrataciondelestado.es/wps/poc?uri=deeplink:detalle_licitacion&amp;idEvl=OOwyfZDyT4E2wEhQbcAqug%3D%3D" TargetMode="External" Id="rId3111"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3112" /><Relationship Type="http://schemas.openxmlformats.org/officeDocument/2006/relationships/hyperlink" Target="https://contrataciondelestado.es/wps/poc?uri=deeplink:detalle_licitacion&amp;idEvl=SYV5ewcw2%2BokJPJS%2BPS9vg%3D%3D" TargetMode="External" Id="rId3113"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3114" /><Relationship Type="http://schemas.openxmlformats.org/officeDocument/2006/relationships/hyperlink" Target="https://contrataciondelestado.es/wps/poc?uri=deeplink:detalle_licitacion&amp;idEvl=dJwdgO1GacYzjChw4z%2FXvw%3D%3D" TargetMode="External" Id="rId3115"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3116" /><Relationship Type="http://schemas.openxmlformats.org/officeDocument/2006/relationships/hyperlink" Target="https://contrataciondelestado.es/wps/poc?uri=deeplink:detalle_licitacion&amp;idEvl=KTb2wrCrof%2F%2B3JAijKO%2Bkg%3D%3D" TargetMode="External" Id="rId3117"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3118" /><Relationship Type="http://schemas.openxmlformats.org/officeDocument/2006/relationships/hyperlink" Target="https://contrataciondelestado.es/wps/poc?uri=deeplink:detalle_licitacion&amp;idEvl=piQMaJLFrKFrhBlEHQFSKA%3D%3D" TargetMode="External" Id="rId3119"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3120" /><Relationship Type="http://schemas.openxmlformats.org/officeDocument/2006/relationships/hyperlink" Target="https://contrataciondelestado.es/wps/poc?uri=deeplink:detalle_licitacion&amp;idEvl=Sdy06ig0DtceC9GJQOEBkQ%3D%3D" TargetMode="External" Id="rId3121"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3122" /><Relationship Type="http://schemas.openxmlformats.org/officeDocument/2006/relationships/hyperlink" Target="https://contrataciondelestado.es/wps/poc?uri=deeplink:detalle_licitacion&amp;idEvl=cuCWWqhRuzvmnwcj%2BxbdTg%3D%3D" TargetMode="External" Id="rId3123"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3124" /><Relationship Type="http://schemas.openxmlformats.org/officeDocument/2006/relationships/hyperlink" Target="https://contrataciondelestado.es/wps/poc?uri=deeplink:detalle_licitacion&amp;idEvl=rCZXugBJBg0l5NjlNci%2BtA%3D%3D" TargetMode="External" Id="rId3125"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3126" /><Relationship Type="http://schemas.openxmlformats.org/officeDocument/2006/relationships/hyperlink" Target="https://contrataciondelestado.es/wps/poc?uri=deeplink:detalle_licitacion&amp;idEvl=NZXcKU8A0A7IGlsa0Wad%2Bw%3D%3D" TargetMode="External" Id="rId3127"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3128" /><Relationship Type="http://schemas.openxmlformats.org/officeDocument/2006/relationships/hyperlink" Target="https://contrataciondelestado.es/wps/poc?uri=deeplink:detalle_licitacion&amp;idEvl=m%2BeQxLzq0P5%2FR5QFTlaM4A%3D%3D" TargetMode="External" Id="rId3129"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3130" /><Relationship Type="http://schemas.openxmlformats.org/officeDocument/2006/relationships/hyperlink" Target="https://contrataciondelestado.es/wps/poc?uri=deeplink:detalle_licitacion&amp;idEvl=mfpX67tUswF9PLkba5eRog%3D%3D" TargetMode="External" Id="rId3131"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3132" /><Relationship Type="http://schemas.openxmlformats.org/officeDocument/2006/relationships/hyperlink" Target="https://contrataciondelestado.es/wps/poc?uri=deeplink:detalle_licitacion&amp;idEvl=Y1DjExvRJ056nTs9LZ9RhQ%3D%3D" TargetMode="External" Id="rId3133"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3134" /><Relationship Type="http://schemas.openxmlformats.org/officeDocument/2006/relationships/hyperlink" Target="https://contrataciondelestado.es/wps/poc?uri=deeplink:detalle_licitacion&amp;idEvl=rUGtqXzsmjDXOjazN1Dw9Q%3D%3D" TargetMode="External" Id="rId3135"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3136" /><Relationship Type="http://schemas.openxmlformats.org/officeDocument/2006/relationships/hyperlink" Target="https://contrataciondelestado.es/wps/poc?uri=deeplink:detalle_licitacion&amp;idEvl=sqnj4b6qoR2cCF8sV%2BqtYA%3D%3D" TargetMode="External" Id="rId3137"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3138" /><Relationship Type="http://schemas.openxmlformats.org/officeDocument/2006/relationships/hyperlink" Target="https://contrataciondelestado.es/wps/poc?uri=deeplink:detalle_licitacion&amp;idEvl=d80S3g1uf5C5HQrHoP3G5A%3D%3D" TargetMode="External" Id="rId3139"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3140" /><Relationship Type="http://schemas.openxmlformats.org/officeDocument/2006/relationships/hyperlink" Target="https://contrataciondelestado.es/wps/poc?uri=deeplink:detalle_licitacion&amp;idEvl=vAWtL8PBxqAeC9GJQOEBkQ%3D%3D" TargetMode="External" Id="rId3141"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3142" /><Relationship Type="http://schemas.openxmlformats.org/officeDocument/2006/relationships/hyperlink" Target="https://contrataciondelestado.es/wps/poc?uri=deeplink:detalle_licitacion&amp;idEvl=j%2BYVcI5xBsrE6P%2FuLemXRw%3D%3D" TargetMode="External" Id="rId3143"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3144" /><Relationship Type="http://schemas.openxmlformats.org/officeDocument/2006/relationships/hyperlink" Target="https://contrataciondelestado.es/wps/poc?uri=deeplink:detalle_licitacion&amp;idEvl=7rwCIMNAmgJ4zIRvjBVCSw%3D%3D" TargetMode="External" Id="rId3145"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3146" /><Relationship Type="http://schemas.openxmlformats.org/officeDocument/2006/relationships/hyperlink" Target="https://contrataciondelestado.es/wps/poc?uri=deeplink:detalle_licitacion&amp;idEvl=rlCidys7kT5SYrkJkLlFdw%3D%3D" TargetMode="External" Id="rId3147"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3148" /><Relationship Type="http://schemas.openxmlformats.org/officeDocument/2006/relationships/hyperlink" Target="https://contrataciondelestado.es/wps/poc?uri=deeplink:detalle_licitacion&amp;idEvl=9ubCFyWuKwQmMOlAXxDEjw%3D%3D" TargetMode="External" Id="rId3149"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3150" /><Relationship Type="http://schemas.openxmlformats.org/officeDocument/2006/relationships/hyperlink" Target="https://contrataciondelestado.es/wps/poc?uri=deeplink:detalle_licitacion&amp;idEvl=7tvI3RNBdoJ70UvEyYJSGw%3D%3D" TargetMode="External" Id="rId3151"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3152" /><Relationship Type="http://schemas.openxmlformats.org/officeDocument/2006/relationships/hyperlink" Target="https://contrataciondelestado.es/wps/poc?uri=deeplink:detalle_licitacion&amp;idEvl=AkmziTT2Wyotm4eBPtV6eQ%3D%3D" TargetMode="External" Id="rId3153"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3154" /><Relationship Type="http://schemas.openxmlformats.org/officeDocument/2006/relationships/hyperlink" Target="https://contrataciondelestado.es/wps/poc?uri=deeplink:detalle_licitacion&amp;idEvl=OozDsAmdLF%2BHCIsjvJ3rhQ%3D%3D" TargetMode="External" Id="rId3155"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3156" /><Relationship Type="http://schemas.openxmlformats.org/officeDocument/2006/relationships/hyperlink" Target="https://contrataciondelestado.es/wps/poc?uri=deeplink:detalle_licitacion&amp;idEvl=SaKLIG7TZUYtm4eBPtV6eQ%3D%3D" TargetMode="External" Id="rId3157"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3158" /><Relationship Type="http://schemas.openxmlformats.org/officeDocument/2006/relationships/hyperlink" Target="https://contrataciondelestado.es/wps/poc?uri=deeplink:detalle_licitacion&amp;idEvl=tSgoLuUEh%2FWLAncw3qdZkA%3D%3D" TargetMode="External" Id="rId3159"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3160" /><Relationship Type="http://schemas.openxmlformats.org/officeDocument/2006/relationships/hyperlink" Target="https://contrataciondelestado.es/wps/poc?uri=deeplink:detalle_licitacion&amp;idEvl=d1ag8jA9%2BqWAAM7L03kM8A%3D%3D" TargetMode="External" Id="rId3161"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3162" /><Relationship Type="http://schemas.openxmlformats.org/officeDocument/2006/relationships/hyperlink" Target="https://contrataciondelestado.es/wps/poc?uri=deeplink:detalle_licitacion&amp;idEvl=ZcuzqAJLNACP%2Bo96UAV7cQ%3D%3D" TargetMode="External" Id="rId3163"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3164" /><Relationship Type="http://schemas.openxmlformats.org/officeDocument/2006/relationships/hyperlink" Target="https://contrataciondelestado.es/wps/poc?uri=deeplink:detalle_licitacion&amp;idEvl=yciBeWPH0A%2FgL1BHd3qjQA%3D%3D" TargetMode="External" Id="rId3165"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3166" /><Relationship Type="http://schemas.openxmlformats.org/officeDocument/2006/relationships/hyperlink" Target="https://contrataciondelestado.es/wps/poc?uri=deeplink:detalle_licitacion&amp;idEvl=nUrNn1lYbIVt5r0ngvMetA%3D%3D" TargetMode="External" Id="rId3167"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3168" /><Relationship Type="http://schemas.openxmlformats.org/officeDocument/2006/relationships/hyperlink" Target="https://contrataciondelestado.es/wps/poc?uri=deeplink:detalle_licitacion&amp;idEvl=T7eHdF3Weg%2B9Hd5zqvq9cg%3D%3D" TargetMode="External" Id="rId3169"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3170" /><Relationship Type="http://schemas.openxmlformats.org/officeDocument/2006/relationships/hyperlink" Target="https://contrataciondelestado.es/wps/poc?uri=deeplink:detalle_licitacion&amp;idEvl=hPHdaXcM4T6zz8fXU2i3eQ%3D%3D" TargetMode="External" Id="rId3171"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3172" /><Relationship Type="http://schemas.openxmlformats.org/officeDocument/2006/relationships/hyperlink" Target="https://contrataciondelestado.es/wps/poc?uri=deeplink:detalle_licitacion&amp;idEvl=ohSmQ4QC1gceIBJRHQiPkQ%3D%3D" TargetMode="External" Id="rId3173"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3174" /><Relationship Type="http://schemas.openxmlformats.org/officeDocument/2006/relationships/hyperlink" Target="https://contrataciondelestado.es/wps/poc?uri=deeplink:detalle_licitacion&amp;idEvl=Wrxl0EgFSjK9Hd5zqvq9cg%3D%3D" TargetMode="External" Id="rId3175"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3176" /><Relationship Type="http://schemas.openxmlformats.org/officeDocument/2006/relationships/hyperlink" Target="https://contrataciondelestado.es/wps/poc?uri=deeplink:detalle_licitacion&amp;idEvl=pAIEME7RW4qLAncw3qdZkA%3D%3D" TargetMode="External" Id="rId3177"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3178" /><Relationship Type="http://schemas.openxmlformats.org/officeDocument/2006/relationships/hyperlink" Target="https://contrataciondelestado.es/wps/poc?uri=deeplink:detalle_licitacion&amp;idEvl=cyWmr%2By%2Fi0710HRJw8TEnQ%3D%3D" TargetMode="External" Id="rId3179"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3180" /><Relationship Type="http://schemas.openxmlformats.org/officeDocument/2006/relationships/hyperlink" Target="https://contrataciondelestado.es/wps/poc?uri=deeplink:detalle_licitacion&amp;idEvl=FrBWFEkl8iL9pbnDwlaUlg%3D%3D" TargetMode="External" Id="rId3181"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3182" /><Relationship Type="http://schemas.openxmlformats.org/officeDocument/2006/relationships/hyperlink" Target="https://contrataciondelestado.es/wps/poc?uri=deeplink:detalle_licitacion&amp;idEvl=Ww7vwz6ExHr%2B3JAijKO%2Bkg%3D%3D" TargetMode="External" Id="rId3183"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3184" /><Relationship Type="http://schemas.openxmlformats.org/officeDocument/2006/relationships/hyperlink" Target="https://contrataciondelestado.es/wps/poc?uri=deeplink:detalle_licitacion&amp;idEvl=JGSyn9tK5QnpxJFXpLZ%2B2A%3D%3D" TargetMode="External" Id="rId3185"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3186" /><Relationship Type="http://schemas.openxmlformats.org/officeDocument/2006/relationships/hyperlink" Target="https://contrataciondelestado.es/wps/poc?uri=deeplink:detalle_licitacion&amp;idEvl=JV2Y%2FI7YtNcl5NjlNci%2BtA%3D%3D" TargetMode="External" Id="rId3187"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3188" /><Relationship Type="http://schemas.openxmlformats.org/officeDocument/2006/relationships/hyperlink" Target="https://contrataciondelestado.es/wps/poc?uri=deeplink:detalle_licitacion&amp;idEvl=lBfM56FxMz310HRJw8TEnQ%3D%3D" TargetMode="External" Id="rId3189"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3190" /><Relationship Type="http://schemas.openxmlformats.org/officeDocument/2006/relationships/hyperlink" Target="https://contrataciondelestado.es/wps/poc?uri=deeplink:detalle_licitacion&amp;idEvl=AGS%2BWfY9YGvs%2BnLj3vAg5A%3D%3D" TargetMode="External" Id="rId3191"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3192" /><Relationship Type="http://schemas.openxmlformats.org/officeDocument/2006/relationships/hyperlink" Target="https://contrataciondelestado.es/wps/poc?uri=deeplink:detalle_licitacion&amp;idEvl=vQW6S4bEywSrz3GQd5r6SQ%3D%3D" TargetMode="External" Id="rId3193"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3194" /><Relationship Type="http://schemas.openxmlformats.org/officeDocument/2006/relationships/hyperlink" Target="https://contrataciondelestado.es/wps/poc?uri=deeplink:detalle_licitacion&amp;idEvl=FC6NjBJiH5g36J9Lctlsuw%3D%3D" TargetMode="External" Id="rId3195" /><Relationship Type="http://schemas.openxmlformats.org/officeDocument/2006/relationships/hyperlink" Target="https://contrataciondelestado.es/wps/poc?uri=deeplink:detalle_licitacion&amp;idEvl=CXaik5v%2F%2FGrLIx6q1oPaMg%3D%3D" TargetMode="External" Id="rId3196"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3197" /><Relationship Type="http://schemas.openxmlformats.org/officeDocument/2006/relationships/hyperlink" Target="https://contrataciondelestado.es/wps/poc?uri=deeplink:detalle_licitacion&amp;idEvl=FA3vWLATt8azz8fXU2i3eQ%3D%3D" TargetMode="External" Id="rId3198"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3199" /><Relationship Type="http://schemas.openxmlformats.org/officeDocument/2006/relationships/hyperlink" Target="https://contrataciondelestado.es/wps/poc?uri=deeplink:detalle_licitacion&amp;idEvl=PxwtSfDhw7GIzo3LHNPGcQ%3D%3D" TargetMode="External" Id="rId3200"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3201" /><Relationship Type="http://schemas.openxmlformats.org/officeDocument/2006/relationships/hyperlink" Target="https://contrataciondelestado.es/wps/poc?uri=deeplink:detalle_licitacion&amp;idEvl=UmmFdvb8hGrmnwcj%2BxbdTg%3D%3D" TargetMode="External" Id="rId3202"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3203" /><Relationship Type="http://schemas.openxmlformats.org/officeDocument/2006/relationships/hyperlink" Target="https://contrataciondelestado.es/wps/poc?uri=deeplink:detalle_licitacion&amp;idEvl=%2BBxKwprdo7GTylGzYmBF9Q%3D%3D" TargetMode="External" Id="rId3204"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3205" /><Relationship Type="http://schemas.openxmlformats.org/officeDocument/2006/relationships/hyperlink" Target="https://contrataciondelestado.es/wps/poc?uri=deeplink:detalle_licitacion&amp;idEvl=n5Xl626%2BbwE%2FbjW6njtWLw%3D%3D" TargetMode="External" Id="rId3206"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3207" /><Relationship Type="http://schemas.openxmlformats.org/officeDocument/2006/relationships/hyperlink" Target="https://contrataciondelestado.es/wps/poc?uri=deeplink:detalle_licitacion&amp;idEvl=KoGzOnocmta9Hd5zqvq9cg%3D%3D" TargetMode="External" Id="rId3208"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3209" /><Relationship Type="http://schemas.openxmlformats.org/officeDocument/2006/relationships/hyperlink" Target="https://contrataciondelestado.es/wps/poc?uri=deeplink:detalle_licitacion&amp;idEvl=4kSJW5lFiFlVYjgxA4nMUw%3D%3D" TargetMode="External" Id="rId3210"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3211" /><Relationship Type="http://schemas.openxmlformats.org/officeDocument/2006/relationships/hyperlink" Target="https://contrataciondelestado.es/wps/poc?uri=deeplink:detalle_licitacion&amp;idEvl=inw0ndhCO5aXQV0WE7lYPw%3D%3D" TargetMode="External" Id="rId3212"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3213" /><Relationship Type="http://schemas.openxmlformats.org/officeDocument/2006/relationships/hyperlink" Target="https://contrataciondelestado.es/wps/poc?uri=deeplink:detalle_licitacion&amp;idEvl=y2sOo0Ib7Uc4NavIWzMcHA%3D%3D" TargetMode="External" Id="rId3214"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3215" /><Relationship Type="http://schemas.openxmlformats.org/officeDocument/2006/relationships/hyperlink" Target="https://contrataciondelestado.es/wps/poc?uri=deeplink:detalle_licitacion&amp;idEvl=hcE9I6Q8wRhVq4S9zvaQpQ%3D%3D" TargetMode="External" Id="rId3216"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3217" /><Relationship Type="http://schemas.openxmlformats.org/officeDocument/2006/relationships/hyperlink" Target="https://contrataciondelestado.es/wps/poc?uri=deeplink:detalle_licitacion&amp;idEvl=g8KxJV%2BYRz7CfVQHDepjGQ%3D%3D" TargetMode="External" Id="rId3218"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3219" /><Relationship Type="http://schemas.openxmlformats.org/officeDocument/2006/relationships/hyperlink" Target="https://contrataciondelestado.es/wps/poc?uri=deeplink:detalle_licitacion&amp;idEvl=w03ZYjjW3pNxseVhcqrkhw%3D%3D" TargetMode="External" Id="rId3220"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3221" /><Relationship Type="http://schemas.openxmlformats.org/officeDocument/2006/relationships/hyperlink" Target="https://contrataciondelestado.es/wps/poc?uri=deeplink:detalle_licitacion&amp;idEvl=OX0z3e74oC4ZDGvgaZEVxQ%3D%3D" TargetMode="External" Id="rId3222"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3223" /><Relationship Type="http://schemas.openxmlformats.org/officeDocument/2006/relationships/hyperlink" Target="https://contrataciondelestado.es/wps/poc?uri=deeplink:detalle_licitacion&amp;idEvl=xKQ3XwR8lt2TylGzYmBF9Q%3D%3D" TargetMode="External" Id="rId3224"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3225" /><Relationship Type="http://schemas.openxmlformats.org/officeDocument/2006/relationships/hyperlink" Target="https://contrataciondelestado.es/wps/poc?uri=deeplink:detalle_licitacion&amp;idEvl=tmp%2FWDb6wYfVGIpKDxgsAQ%3D%3D" TargetMode="External" Id="rId3226"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3227" /><Relationship Type="http://schemas.openxmlformats.org/officeDocument/2006/relationships/hyperlink" Target="https://contrataciondelestado.es/wps/poc?uri=deeplink:detalle_licitacion&amp;idEvl=ex5pThvwStFxseVhcqrkhw%3D%3D" TargetMode="External" Id="rId3228"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3229" /><Relationship Type="http://schemas.openxmlformats.org/officeDocument/2006/relationships/hyperlink" Target="https://contrataciondelestado.es/wps/poc?uri=deeplink:detalle_licitacion&amp;idEvl=yIKWbglVHAYkJPJS%2BPS9vg%3D%3D" TargetMode="External" Id="rId3230"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3231" /><Relationship Type="http://schemas.openxmlformats.org/officeDocument/2006/relationships/hyperlink" Target="https://contrataciondelestado.es/wps/poc?uri=deeplink:detalle_licitacion&amp;idEvl=H9JqPzERxOO7JOCXkOhcDg%3D%3D" TargetMode="External" Id="rId3232"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3233" /><Relationship Type="http://schemas.openxmlformats.org/officeDocument/2006/relationships/hyperlink" Target="https://contrataciondelestado.es/wps/poc?uri=deeplink:detalle_licitacion&amp;idEvl=tgDwsGTYAO8eIBJRHQiPkQ%3D%3D" TargetMode="External" Id="rId3234"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3235" /><Relationship Type="http://schemas.openxmlformats.org/officeDocument/2006/relationships/hyperlink" Target="https://contrataciondelestado.es/wps/poc?uri=deeplink:detalle_licitacion&amp;idEvl=juA3nitDfNUSugstABGr5A%3D%3D" TargetMode="External" Id="rId3236"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3237" /><Relationship Type="http://schemas.openxmlformats.org/officeDocument/2006/relationships/hyperlink" Target="https://contrataciondelestado.es/wps/poc?uri=deeplink:detalle_licitacion&amp;idEvl=ncaQor%2BHQFhVYjgxA4nMUw%3D%3D" TargetMode="External" Id="rId3238" /><Relationship Type="http://schemas.openxmlformats.org/officeDocument/2006/relationships/hyperlink" Target="https://contrataciondelestado.es/wps/poc?uri=deeplink:detalle_licitacion&amp;idEvl=zUm0d6%2FXS8ceIBJRHQiPkQ%3D%3D" TargetMode="External" Id="rId3239"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3240" /><Relationship Type="http://schemas.openxmlformats.org/officeDocument/2006/relationships/hyperlink" Target="https://contrataciondelestado.es/wps/poc?uri=deeplink:detalle_licitacion&amp;idEvl=YYVxrRLiDQ%2F9pbnDwlaUlg%3D%3D" TargetMode="External" Id="rId3241"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3242" /><Relationship Type="http://schemas.openxmlformats.org/officeDocument/2006/relationships/hyperlink" Target="https://contrataciondelestado.es/wps/poc?uri=deeplink:detalle_licitacion&amp;idEvl=ho%2FTS0NcFcBVkTabT%2FRM8A%3D%3D" TargetMode="External" Id="rId3243"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3244" /><Relationship Type="http://schemas.openxmlformats.org/officeDocument/2006/relationships/hyperlink" Target="https://contrataciondelestado.es/wps/poc?uri=deeplink:detalle_licitacion&amp;idEvl=c71Yhy4K%2FF436J9Lctlsuw%3D%3D" TargetMode="External" Id="rId3245"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3246" /><Relationship Type="http://schemas.openxmlformats.org/officeDocument/2006/relationships/hyperlink" Target="https://contrataciondelestado.es/wps/poc?uri=deeplink:detalle_licitacion&amp;idEvl=0TF1X0GFm3N%2BF6L2uCfUWg%3D%3D" TargetMode="External" Id="rId3247"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3248" /><Relationship Type="http://schemas.openxmlformats.org/officeDocument/2006/relationships/hyperlink" Target="https://contrataciondelestado.es/wps/poc?uri=deeplink:detalle_licitacion&amp;idEvl=SZl2LtxnbMB9Zh%2FyRJgM8w%3D%3D" TargetMode="External" Id="rId3249"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3250" /><Relationship Type="http://schemas.openxmlformats.org/officeDocument/2006/relationships/hyperlink" Target="https://contrataciondelestado.es/wps/poc?uri=deeplink:detalle_licitacion&amp;idEvl=2giZWkfwCBLVGIpKDxgsAQ%3D%3D" TargetMode="External" Id="rId3251"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3252" /><Relationship Type="http://schemas.openxmlformats.org/officeDocument/2006/relationships/hyperlink" Target="https://contrataciondelestado.es/wps/poc?uri=deeplink:detalle_licitacion&amp;idEvl=j58ZF42XAHhxseVhcqrkhw%3D%3D" TargetMode="External" Id="rId3253"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3254" /><Relationship Type="http://schemas.openxmlformats.org/officeDocument/2006/relationships/hyperlink" Target="https://contrataciondelestado.es/wps/poc?uri=deeplink:detalle_licitacion&amp;idEvl=7FuXNH%2FEi3y5HQrHoP3G5A%3D%3D" TargetMode="External" Id="rId3255"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3256" /><Relationship Type="http://schemas.openxmlformats.org/officeDocument/2006/relationships/hyperlink" Target="https://contrataciondelestado.es/wps/poc?uri=deeplink:detalle_licitacion&amp;idEvl=9pxD01nIKJsUqXM96WStVA%3D%3D" TargetMode="External" Id="rId3257"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3258" /><Relationship Type="http://schemas.openxmlformats.org/officeDocument/2006/relationships/hyperlink" Target="https://contrataciondelestado.es/wps/poc?uri=deeplink:detalle_licitacion&amp;idEvl=L9ReCqYRR1%2BKeVWTb9Scog%3D%3D" TargetMode="External" Id="rId3259" /><Relationship Type="http://schemas.openxmlformats.org/officeDocument/2006/relationships/hyperlink" Target="https://contrataciondelestado.es/wps/poc?uri=deeplink:detalle_licitacion&amp;idEvl=9fqUJRSYgQt70UvEyYJSGw%3D%3D" TargetMode="External" Id="rId3260"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3261" /><Relationship Type="http://schemas.openxmlformats.org/officeDocument/2006/relationships/hyperlink" Target="https://contrataciondelestado.es/wps/poc?uri=deeplink:detalle_licitacion&amp;idEvl=%2FqE9T5PvEV8ZDGvgaZEVxQ%3D%3D" TargetMode="External" Id="rId3262"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3263" /><Relationship Type="http://schemas.openxmlformats.org/officeDocument/2006/relationships/hyperlink" Target="https://contrataciondelestado.es/wps/poc?uri=deeplink:detalle_licitacion&amp;idEvl=sBQc9IoQ2ysS7pcxhTeWOg%3D%3D" TargetMode="External" Id="rId3264"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3265" /><Relationship Type="http://schemas.openxmlformats.org/officeDocument/2006/relationships/hyperlink" Target="https://contrataciondelestado.es/wps/poc?uri=deeplink:detalle_licitacion&amp;idEvl=hT8CHqOAUjuP66GS%2BONYvQ%3D%3D" TargetMode="External" Id="rId3266"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3267" /><Relationship Type="http://schemas.openxmlformats.org/officeDocument/2006/relationships/hyperlink" Target="https://contrataciondelestado.es/wps/poc?uri=deeplink:detalle_licitacion&amp;idEvl=%2Bpg35S2bI9WP66GS%2BONYvQ%3D%3D" TargetMode="External" Id="rId3268"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3269" /><Relationship Type="http://schemas.openxmlformats.org/officeDocument/2006/relationships/hyperlink" Target="https://contrataciondelestado.es/wps/poc?uri=deeplink:detalle_licitacion&amp;idEvl=ywikeNCnSclWhbmkna2nXQ%3D%3D" TargetMode="External" Id="rId3270"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3271" /><Relationship Type="http://schemas.openxmlformats.org/officeDocument/2006/relationships/hyperlink" Target="https://contrataciondelestado.es/wps/poc?uri=deeplink:detalle_licitacion&amp;idEvl=vIoKxtgM%2Be%2BIzo3LHNPGcQ%3D%3D" TargetMode="External" Id="rId3272"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3273" /><Relationship Type="http://schemas.openxmlformats.org/officeDocument/2006/relationships/hyperlink" Target="https://contrataciondelestado.es/wps/poc?uri=deeplink:detalle_licitacion&amp;idEvl=fwSsiaXj%2FNO2gkLQ8TeYKA%3D%3D" TargetMode="External" Id="rId3274"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3275" /><Relationship Type="http://schemas.openxmlformats.org/officeDocument/2006/relationships/hyperlink" Target="https://contrataciondelestado.es/wps/poc?uri=deeplink:detalle_licitacion&amp;idEvl=yUFC3zPYwI0aF6cS8TCh%2FA%3D%3D" TargetMode="External" Id="rId3276"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3277" /><Relationship Type="http://schemas.openxmlformats.org/officeDocument/2006/relationships/hyperlink" Target="https://contrataciondelestado.es/wps/poc?uri=deeplink:detalle_licitacion&amp;idEvl=7RmcFOllGzzmnwcj%2BxbdTg%3D%3D" TargetMode="External" Id="rId3278"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3279" /><Relationship Type="http://schemas.openxmlformats.org/officeDocument/2006/relationships/hyperlink" Target="https://contrataciondelestado.es/wps/poc?uri=deeplink:detalle_licitacion&amp;idEvl=M18PzIX7m2HXOjazN1Dw9Q%3D%3D" TargetMode="External" Id="rId3280"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3281" /><Relationship Type="http://schemas.openxmlformats.org/officeDocument/2006/relationships/hyperlink" Target="https://contrataciondelestado.es/wps/poc?uri=deeplink:detalle_licitacion&amp;idEvl=%2BTJCc%2B4ToYgUqXM96WStVA%3D%3D" TargetMode="External" Id="rId3282"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3283" /><Relationship Type="http://schemas.openxmlformats.org/officeDocument/2006/relationships/hyperlink" Target="https://contrataciondelestado.es/wps/poc?uri=deeplink:detalle_licitacion&amp;idEvl=RqUQmXRwP1fIGlsa0Wad%2Bw%3D%3D" TargetMode="External" Id="rId3284"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3285" /><Relationship Type="http://schemas.openxmlformats.org/officeDocument/2006/relationships/hyperlink" Target="https://contrataciondelestado.es/wps/poc?uri=deeplink:detalle_licitacion&amp;idEvl=TDsWprVukqcUqXM96WStVA%3D%3D" TargetMode="External" Id="rId3286"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3287" /><Relationship Type="http://schemas.openxmlformats.org/officeDocument/2006/relationships/hyperlink" Target="https://contrataciondelestado.es/wps/poc?uri=deeplink:detalle_licitacion&amp;idEvl=JclQ1ymlgOf9pbnDwlaUlg%3D%3D" TargetMode="External" Id="rId3288"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3289" /><Relationship Type="http://schemas.openxmlformats.org/officeDocument/2006/relationships/hyperlink" Target="https://contrataciondelestado.es/wps/poc?uri=deeplink:detalle_licitacion&amp;idEvl=7fWn%2Bd%2ByAU2FlFRHfEzEaw%3D%3D" TargetMode="External" Id="rId3290"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3291" /><Relationship Type="http://schemas.openxmlformats.org/officeDocument/2006/relationships/hyperlink" Target="https://contrataciondelestado.es/wps/poc?uri=deeplink:detalle_licitacion&amp;idEvl=e%2BRKE9OiGx7L1rX3q%2FMAPA%3D%3D" TargetMode="External" Id="rId3292"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3293" /><Relationship Type="http://schemas.openxmlformats.org/officeDocument/2006/relationships/hyperlink" Target="https://contrataciondelestado.es/wps/poc?uri=deeplink:detalle_licitacion&amp;idEvl=S6BNsNx%2FbZmcCF8sV%2BqtYA%3D%3D" TargetMode="External" Id="rId3294"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3295" /><Relationship Type="http://schemas.openxmlformats.org/officeDocument/2006/relationships/hyperlink" Target="https://contrataciondelestado.es/wps/poc?uri=deeplink:detalle_licitacion&amp;idEvl=wX3jIghKBbFq1DdmE7eaXg%3D%3D" TargetMode="External" Id="rId3296"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3297" /><Relationship Type="http://schemas.openxmlformats.org/officeDocument/2006/relationships/hyperlink" Target="https://contrataciondelestado.es/wps/poc?uri=deeplink:detalle_licitacion&amp;idEvl=AAOFqLCCcOnpxJFXpLZ%2B2A%3D%3D" TargetMode="External" Id="rId3298"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3299" /><Relationship Type="http://schemas.openxmlformats.org/officeDocument/2006/relationships/hyperlink" Target="https://contrataciondelestado.es/wps/poc?uri=deeplink:detalle_licitacion&amp;idEvl=369mLkN3dS6sNfRW6APEDw%3D%3D" TargetMode="External" Id="rId3300"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3301" /><Relationship Type="http://schemas.openxmlformats.org/officeDocument/2006/relationships/hyperlink" Target="https://contrataciondelestado.es/wps/poc?uri=deeplink:detalle_licitacion&amp;idEvl=kYSKKOuUwE8aF6cS8TCh%2FA%3D%3D" TargetMode="External" Id="rId3302"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3303" /><Relationship Type="http://schemas.openxmlformats.org/officeDocument/2006/relationships/hyperlink" Target="https://contrataciondelestado.es/wps/poc?uri=deeplink:detalle_licitacion&amp;idEvl=NMH%2BH0yQzKEUqXM96WStVA%3D%3D" TargetMode="External" Id="rId3304"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3305" /><Relationship Type="http://schemas.openxmlformats.org/officeDocument/2006/relationships/hyperlink" Target="https://contrataciondelestado.es/wps/poc?uri=deeplink:detalle_licitacion&amp;idEvl=lwiaaeQFFNycCF8sV%2BqtYA%3D%3D" TargetMode="External" Id="rId3306"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3307" /><Relationship Type="http://schemas.openxmlformats.org/officeDocument/2006/relationships/hyperlink" Target="https://contrataciondelestado.es/wps/poc?uri=deeplink:detalle_licitacion&amp;idEvl=gOpKheyJTtrXOjazN1Dw9Q%3D%3D" TargetMode="External" Id="rId3308"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3309" /><Relationship Type="http://schemas.openxmlformats.org/officeDocument/2006/relationships/hyperlink" Target="https://contrataciondelestado.es/wps/poc?uri=deeplink:detalle_licitacion&amp;idEvl=xrzWVghuxpgaF6cS8TCh%2FA%3D%3D" TargetMode="External" Id="rId3310"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3311" /><Relationship Type="http://schemas.openxmlformats.org/officeDocument/2006/relationships/hyperlink" Target="https://contrataciondelestado.es/wps/poc?uri=deeplink:detalle_licitacion&amp;idEvl=R2VJliRWLe2S81gZFETWmA%3D%3D" TargetMode="External" Id="rId3312"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3313" /><Relationship Type="http://schemas.openxmlformats.org/officeDocument/2006/relationships/hyperlink" Target="https://contrataciondelestado.es/wps/poc?uri=deeplink:detalle_licitacion&amp;idEvl=4pqrkKl%2B0HFrSd8H4b2soA%3D%3D" TargetMode="External" Id="rId3314"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3315" /><Relationship Type="http://schemas.openxmlformats.org/officeDocument/2006/relationships/hyperlink" Target="https://contrataciondelestado.es/wps/poc?uri=deeplink:detalle_licitacion&amp;idEvl=t3UKGjaf8jdVYjgxA4nMUw%3D%3D" TargetMode="External" Id="rId3316"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3317" /><Relationship Type="http://schemas.openxmlformats.org/officeDocument/2006/relationships/hyperlink" Target="https://contrataciondelestado.es/wps/poc?uri=deeplink:detalle_licitacion&amp;idEvl=oW0b9moZu08S7pcxhTeWOg%3D%3D" TargetMode="External" Id="rId3318"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3319" /><Relationship Type="http://schemas.openxmlformats.org/officeDocument/2006/relationships/hyperlink" Target="https://contrataciondelestado.es/wps/poc?uri=deeplink:detalle_licitacion&amp;idEvl=5ji%2B2MI9FIwzjChw4z%2FXvw%3D%3D" TargetMode="External" Id="rId3320"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3321" /><Relationship Type="http://schemas.openxmlformats.org/officeDocument/2006/relationships/hyperlink" Target="https://contrataciondelestado.es/wps/poc?uri=deeplink:detalle_licitacion&amp;idEvl=yAbJE4hQOQjyoM4us5k4vw%3D%3D" TargetMode="External" Id="rId3322"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3323" /><Relationship Type="http://schemas.openxmlformats.org/officeDocument/2006/relationships/hyperlink" Target="https://contrataciondelestado.es/wps/poc?uri=deeplink:detalle_licitacion&amp;idEvl=Ric%2B2JhIhGUaF6cS8TCh%2FA%3D%3D" TargetMode="External" Id="rId3324"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3325" /><Relationship Type="http://schemas.openxmlformats.org/officeDocument/2006/relationships/hyperlink" Target="https://contrataciondelestado.es/wps/poc?uri=deeplink:detalle_licitacion&amp;idEvl=CzvSMHPBpbEl5NjlNci%2BtA%3D%3D" TargetMode="External" Id="rId3326"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3327" /><Relationship Type="http://schemas.openxmlformats.org/officeDocument/2006/relationships/hyperlink" Target="https://contrataciondelestado.es/wps/poc?uri=deeplink:detalle_licitacion&amp;idEvl=HtouEKQBJ1dq1DdmE7eaXg%3D%3D" TargetMode="External" Id="rId3328"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3329" /><Relationship Type="http://schemas.openxmlformats.org/officeDocument/2006/relationships/hyperlink" Target="https://contrataciondelestado.es/wps/poc?uri=deeplink:detalle_licitacion&amp;idEvl=JxeoRffFfhBrSd8H4b2soA%3D%3D" TargetMode="External" Id="rId3330"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3331" /><Relationship Type="http://schemas.openxmlformats.org/officeDocument/2006/relationships/hyperlink" Target="https://contrataciondelestado.es/wps/poc?uri=deeplink:detalle_licitacion&amp;idEvl=0Odm88NhzcuTylGzYmBF9Q%3D%3D" TargetMode="External" Id="rId3332"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3333" /><Relationship Type="http://schemas.openxmlformats.org/officeDocument/2006/relationships/hyperlink" Target="https://contrataciondelestado.es/wps/poc?uri=deeplink:detalle_licitacion&amp;idEvl=z9tMsh%2Fv9RES7pcxhTeWOg%3D%3D" TargetMode="External" Id="rId3334"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3335" /><Relationship Type="http://schemas.openxmlformats.org/officeDocument/2006/relationships/hyperlink" Target="https://contrataciondelestado.es/wps/poc?uri=deeplink:detalle_licitacion&amp;idEvl=Eefd5CSnJFhVYjgxA4nMUw%3D%3D" TargetMode="External" Id="rId3336"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3337" /><Relationship Type="http://schemas.openxmlformats.org/officeDocument/2006/relationships/hyperlink" Target="https://contrataciondelestado.es/wps/poc?uri=deeplink:detalle_licitacion&amp;idEvl=UZYBRDMG%2BI836J9Lctlsuw%3D%3D" TargetMode="External" Id="rId3338"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3339" /><Relationship Type="http://schemas.openxmlformats.org/officeDocument/2006/relationships/hyperlink" Target="https://contrataciondelestado.es/wps/poc?uri=deeplink:detalle_licitacion&amp;idEvl=HlG%2BRpYnl9fmnwcj%2BxbdTg%3D%3D" TargetMode="External" Id="rId3340" /><Relationship Type="http://schemas.openxmlformats.org/officeDocument/2006/relationships/hyperlink" Target="https://contrataciondelestado.es/wps/poc?uri=deeplink:detalle_licitacion&amp;idEvl=9e2wSal9Zhotm4eBPtV6eQ%3D%3D" TargetMode="External" Id="rId3341" /><Relationship Type="http://schemas.openxmlformats.org/officeDocument/2006/relationships/hyperlink" Target="https://contrataciondelestado.es/wps/poc?uri=deeplink:detalle_licitacion&amp;idEvl=3EEosdaKkax%2FP7lJ7Fu0SA%3D%3D" TargetMode="External" Id="rId3342"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3343" /><Relationship Type="http://schemas.openxmlformats.org/officeDocument/2006/relationships/hyperlink" Target="https://contrataciondelestado.es/wps/poc?uri=deeplink:detalle_licitacion&amp;idEvl=kD8ALMrCGubjHF5qKI4aaw%3D%3D" TargetMode="External" Id="rId3344" /><Relationship Type="http://schemas.openxmlformats.org/officeDocument/2006/relationships/hyperlink" Target="https://contrataciondelestado.es/wps/poc?uri=deeplink:detalle_licitacion&amp;idEvl=ARrEM%2F5tuZHs%2BnLj3vAg5A%3D%3D" TargetMode="External" Id="rId3345"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3346" /><Relationship Type="http://schemas.openxmlformats.org/officeDocument/2006/relationships/hyperlink" Target="https://contrataciondelestado.es/wps/poc?uri=deeplink:detalle_licitacion&amp;idEvl=cvm%2BNhSqiiCGCFcHcNGIlQ%3D%3D" TargetMode="External" Id="rId3347"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3348" /><Relationship Type="http://schemas.openxmlformats.org/officeDocument/2006/relationships/hyperlink" Target="https://contrataciondelestado.es/wps/poc?uri=deeplink:detalle_licitacion&amp;idEvl=4wVj%2B0n9Y90%2B1TMyIiZmzw%3D%3D" TargetMode="External" Id="rId3349"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3350" /><Relationship Type="http://schemas.openxmlformats.org/officeDocument/2006/relationships/hyperlink" Target="https://contrataciondelestado.es/wps/poc?uri=deeplink:detalle_licitacion&amp;idEvl=Us83gGQP3qb%2Fa9DgO%2BoYKQ%3D%3D" TargetMode="External" Id="rId3351"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3352" /><Relationship Type="http://schemas.openxmlformats.org/officeDocument/2006/relationships/hyperlink" Target="https://contrataciondelestado.es/wps/poc?uri=deeplink:detalle_licitacion&amp;idEvl=zVD8WVByWaZ%2FP7lJ7Fu0SA%3D%3D" TargetMode="External" Id="rId3353"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3354" /><Relationship Type="http://schemas.openxmlformats.org/officeDocument/2006/relationships/hyperlink" Target="https://contrataciondelestado.es/wps/poc?uri=deeplink:detalle_licitacion&amp;idEvl=IT4vRLUpKJ07u6%2B%2FR7DUoA%3D%3D" TargetMode="External" Id="rId3355"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3356" /><Relationship Type="http://schemas.openxmlformats.org/officeDocument/2006/relationships/hyperlink" Target="https://contrataciondelestado.es/wps/poc?uri=deeplink:detalle_licitacion&amp;idEvl=lLsAhqFoPU6AAM7L03kM8A%3D%3D" TargetMode="External" Id="rId3357"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3358" /><Relationship Type="http://schemas.openxmlformats.org/officeDocument/2006/relationships/hyperlink" Target="https://contrataciondelestado.es/wps/poc?uri=deeplink:detalle_licitacion&amp;idEvl=O7h0OP51aL5t5r0ngvMetA%3D%3D" TargetMode="External" Id="rId3359"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3360" /><Relationship Type="http://schemas.openxmlformats.org/officeDocument/2006/relationships/hyperlink" Target="https://contrataciondelestado.es/wps/poc?uri=deeplink:detalle_licitacion&amp;idEvl=Vj9Ypqj8j46P66GS%2BONYvQ%3D%3D" TargetMode="External" Id="rId3361" /><Relationship Type="http://schemas.openxmlformats.org/officeDocument/2006/relationships/hyperlink" Target="https://contrataciondelestado.es/wps/poc?uri=deeplink:detalle_licitacion&amp;idEvl=iwswG7Razf3ua%2Fi14w%2FPLA%3D%3D" TargetMode="External" Id="rId3362"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3363" /><Relationship Type="http://schemas.openxmlformats.org/officeDocument/2006/relationships/hyperlink" Target="https://contrataciondelestado.es/wps/poc?uri=deeplink:detalle_licitacion&amp;idEvl=dBbYY6HOW17LIx6q1oPaMg%3D%3D" TargetMode="External" Id="rId3364"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3365" /><Relationship Type="http://schemas.openxmlformats.org/officeDocument/2006/relationships/hyperlink" Target="https://contrataciondelestado.es/wps/poc?uri=deeplink:detalle_licitacion&amp;idEvl=PwiYOKoHOW8%2FbjW6njtWLw%3D%3D" TargetMode="External" Id="rId3366"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3367" /><Relationship Type="http://schemas.openxmlformats.org/officeDocument/2006/relationships/hyperlink" Target="https://contrataciondelestado.es/wps/poc?uri=deeplink:detalle_licitacion&amp;idEvl=xdcZCNyFdfnjHF5qKI4aaw%3D%3D" TargetMode="External" Id="rId3368"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3369" /><Relationship Type="http://schemas.openxmlformats.org/officeDocument/2006/relationships/hyperlink" Target="https://contrataciondelestado.es/wps/poc?uri=deeplink:detalle_licitacion&amp;idEvl=DN%2BJvHvcQebE6P%2FuLemXRw%3D%3D" TargetMode="External" Id="rId3370"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3371" /><Relationship Type="http://schemas.openxmlformats.org/officeDocument/2006/relationships/hyperlink" Target="https://contrataciondelestado.es/wps/poc?uri=deeplink:detalle_licitacion&amp;idEvl=SeGaILImDPtQFSeKCRun4Q%3D%3D" TargetMode="External" Id="rId3372"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3373" /><Relationship Type="http://schemas.openxmlformats.org/officeDocument/2006/relationships/hyperlink" Target="https://contrataciondelestado.es/wps/poc?uri=deeplink:detalle_licitacion&amp;idEvl=HLupSxRM2QhrhBlEHQFSKA%3D%3D" TargetMode="External" Id="rId3374"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3375" /><Relationship Type="http://schemas.openxmlformats.org/officeDocument/2006/relationships/hyperlink" Target="https://contrataciondelestado.es/wps/poc?uri=deeplink:detalle_licitacion&amp;idEvl=fNK08PAee9stm4eBPtV6eQ%3D%3D" TargetMode="External" Id="rId3376"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3377" /><Relationship Type="http://schemas.openxmlformats.org/officeDocument/2006/relationships/hyperlink" Target="https://contrataciondelestado.es/wps/poc?uri=deeplink:detalle_licitacion&amp;idEvl=2OrlPddWc56TylGzYmBF9Q%3D%3D" TargetMode="External" Id="rId3378"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3379" /><Relationship Type="http://schemas.openxmlformats.org/officeDocument/2006/relationships/hyperlink" Target="https://contrataciondelestado.es/wps/poc?uri=deeplink:detalle_licitacion&amp;idEvl=G%2FuR1jUgTO83vLk2DU2Ddg%3D%3D" TargetMode="External" Id="rId3380"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3381" /><Relationship Type="http://schemas.openxmlformats.org/officeDocument/2006/relationships/hyperlink" Target="https://contrataciondelestado.es/wps/poc?uri=deeplink:detalle_licitacion&amp;idEvl=K7HiJE4P6NPi0Kd8%2Brcp6w%3D%3D" TargetMode="External" Id="rId3382"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3383" /><Relationship Type="http://schemas.openxmlformats.org/officeDocument/2006/relationships/hyperlink" Target="https://contrataciondelestado.es/wps/poc?uri=deeplink:detalle_licitacion&amp;idEvl=1yk6A%2BAfUtDzAq95uGTrDQ%3D%3D" TargetMode="External" Id="rId3384"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3385" /><Relationship Type="http://schemas.openxmlformats.org/officeDocument/2006/relationships/hyperlink" Target="https://contrataciondelestado.es/wps/poc?uri=deeplink:detalle_licitacion&amp;idEvl=mVq8uFi87t7N3k3tjedSGw%3D%3D" TargetMode="External" Id="rId3386"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3387" /><Relationship Type="http://schemas.openxmlformats.org/officeDocument/2006/relationships/hyperlink" Target="https://contrataciondelestado.es/wps/poc?uri=deeplink:detalle_licitacion&amp;idEvl=msn4vT%2FXUOotm4eBPtV6eQ%3D%3D" TargetMode="External" Id="rId3388"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3389" /><Relationship Type="http://schemas.openxmlformats.org/officeDocument/2006/relationships/hyperlink" Target="https://contrataciondelestado.es/wps/poc?uri=deeplink:detalle_licitacion&amp;idEvl=XNe%2FZY3OLWfL1rX3q%2FMAPA%3D%3D" TargetMode="External" Id="rId3390"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3391" /><Relationship Type="http://schemas.openxmlformats.org/officeDocument/2006/relationships/hyperlink" Target="https://contrataciondelestado.es/wps/poc?uri=deeplink:detalle_licitacion&amp;idEvl=b9aOgEZZoE7%2Fa9DgO%2BoYKQ%3D%3D" TargetMode="External" Id="rId3392"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3393" /><Relationship Type="http://schemas.openxmlformats.org/officeDocument/2006/relationships/hyperlink" Target="https://contrataciondelestado.es/wps/poc?uri=deeplink:detalle_licitacion&amp;idEvl=cTciWhwV8bR70UvEyYJSGw%3D%3D" TargetMode="External" Id="rId3394"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3395" /><Relationship Type="http://schemas.openxmlformats.org/officeDocument/2006/relationships/hyperlink" Target="https://contrataciondelestado.es/wps/poc?uri=deeplink:detalle_licitacion&amp;idEvl=qXbE4a65vaI7u6%2B%2FR7DUoA%3D%3D" TargetMode="External" Id="rId3396" /><Relationship Type="http://schemas.openxmlformats.org/officeDocument/2006/relationships/hyperlink" Target="https://contrataciondelestado.es/wps/poc?uri=deeplink:detalle_licitacion&amp;idEvl=MlU%2Boh3A%2FDNt5r0ngvMetA%3D%3D" TargetMode="External" Id="rId3397"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3398" /><Relationship Type="http://schemas.openxmlformats.org/officeDocument/2006/relationships/hyperlink" Target="https://contrataciondelestado.es/wps/poc?uri=deeplink:detalle_licitacion&amp;idEvl=hyPCgqRznveFQ%2FlhRK79lA%3D%3D" TargetMode="External" Id="rId3399"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3400" /><Relationship Type="http://schemas.openxmlformats.org/officeDocument/2006/relationships/hyperlink" Target="https://contrataciondelestado.es/wps/poc?uri=deeplink:detalle_licitacion&amp;idEvl=vbJH2T9JGtPL1rX3q%2FMAPA%3D%3D" TargetMode="External" Id="rId3401"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3402" /><Relationship Type="http://schemas.openxmlformats.org/officeDocument/2006/relationships/hyperlink" Target="https://contrataciondelestado.es/wps/poc?uri=deeplink:detalle_licitacion&amp;idEvl=YPLo24qZl8jE6P%2FuLemXRw%3D%3D" TargetMode="External" Id="rId3403"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3404" /><Relationship Type="http://schemas.openxmlformats.org/officeDocument/2006/relationships/hyperlink" Target="https://contrataciondelestado.es/wps/poc?uri=deeplink:detalle_licitacion&amp;idEvl=DThsT9N5yPoadbH3CysQuQ%3D%3D" TargetMode="External" Id="rId3405"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3406" /><Relationship Type="http://schemas.openxmlformats.org/officeDocument/2006/relationships/hyperlink" Target="https://contrataciondelestado.es/wps/poc?uri=deeplink:detalle_licitacion&amp;idEvl=R0Bb8SkWeZNq1DdmE7eaXg%3D%3D" TargetMode="External" Id="rId3407"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3408" /><Relationship Type="http://schemas.openxmlformats.org/officeDocument/2006/relationships/hyperlink" Target="https://contrataciondelestado.es/wps/poc?uri=deeplink:detalle_licitacion&amp;idEvl=tKHDOERS%2FfKKeVWTb9Scog%3D%3D" TargetMode="External" Id="rId3409"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3410" /><Relationship Type="http://schemas.openxmlformats.org/officeDocument/2006/relationships/hyperlink" Target="https://contrataciondelestado.es/wps/poc?uri=deeplink:detalle_licitacion&amp;idEvl=Ae73KLuIe%2BN6nTs9LZ9RhQ%3D%3D" TargetMode="External" Id="rId3411"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3412" /><Relationship Type="http://schemas.openxmlformats.org/officeDocument/2006/relationships/hyperlink" Target="https://contrataciondelestado.es/wps/poc?uri=deeplink:detalle_licitacion&amp;idEvl=fkycVsnkQ4k%2Bk2oCbDosIw%3D%3D" TargetMode="External" Id="rId3413"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3414" /><Relationship Type="http://schemas.openxmlformats.org/officeDocument/2006/relationships/hyperlink" Target="https://contrataciondelestado.es/wps/poc?uri=deeplink:detalle_licitacion&amp;idEvl=ujnDWDuOeiqP66GS%2BONYvQ%3D%3D" TargetMode="External" Id="rId3415"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3416" /><Relationship Type="http://schemas.openxmlformats.org/officeDocument/2006/relationships/hyperlink" Target="https://contrataciondelestado.es/wps/poc?uri=deeplink:detalle_licitacion&amp;idEvl=Uoz1N733H2gIYE3ZiZ%2BxmQ%3D%3D" TargetMode="External" Id="rId3417"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3418" /><Relationship Type="http://schemas.openxmlformats.org/officeDocument/2006/relationships/hyperlink" Target="https://contrataciondelestado.es/wps/poc?uri=deeplink:detalle_licitacion&amp;idEvl=yjbHRoEr138QyBAnWzHfCg%3D%3D" TargetMode="External" Id="rId3419"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3420" /><Relationship Type="http://schemas.openxmlformats.org/officeDocument/2006/relationships/hyperlink" Target="https://contrataciondelestado.es/wps/poc?uri=deeplink:detalle_licitacion&amp;idEvl=hFlCrIgyjhWS81gZFETWmA%3D%3D" TargetMode="External" Id="rId3421"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3422" /><Relationship Type="http://schemas.openxmlformats.org/officeDocument/2006/relationships/hyperlink" Target="https://contrataciondelestado.es/wps/poc?uri=deeplink:detalle_licitacion&amp;idEvl=hXakaQtyrNkmMOlAXxDEjw%3D%3D" TargetMode="External" Id="rId3423"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3424" /><Relationship Type="http://schemas.openxmlformats.org/officeDocument/2006/relationships/hyperlink" Target="https://contrataciondelestado.es/wps/poc?uri=deeplink:detalle_licitacion&amp;idEvl=bJ7RafCEkY6cCF8sV%2BqtYA%3D%3D" TargetMode="External" Id="rId3425"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3426" /><Relationship Type="http://schemas.openxmlformats.org/officeDocument/2006/relationships/hyperlink" Target="https://contrataciondelestado.es/wps/poc?uri=deeplink:detalle_licitacion&amp;idEvl=ge8ExxufhqSopEMYCmrbmw%3D%3D" TargetMode="External" Id="rId3427"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3428" /><Relationship Type="http://schemas.openxmlformats.org/officeDocument/2006/relationships/hyperlink" Target="https://contrataciondelestado.es/wps/poc?uri=deeplink:detalle_licitacion&amp;idEvl=YWgQEPL1ekZxseVhcqrkhw%3D%3D" TargetMode="External" Id="rId3429"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3430" /><Relationship Type="http://schemas.openxmlformats.org/officeDocument/2006/relationships/hyperlink" Target="https://contrataciondelestado.es/wps/poc?uri=deeplink:detalle_licitacion&amp;idEvl=ad1g%2Bq9rOCWkU02jNGj1Fw%3D%3D" TargetMode="External" Id="rId3431"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3432" /><Relationship Type="http://schemas.openxmlformats.org/officeDocument/2006/relationships/hyperlink" Target="https://contrataciondelestado.es/wps/poc?uri=deeplink:detalle_licitacion&amp;idEvl=VsbZ9Ys7oH4eC9GJQOEBkQ%3D%3D" TargetMode="External" Id="rId3433"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3434" /><Relationship Type="http://schemas.openxmlformats.org/officeDocument/2006/relationships/hyperlink" Target="https://contrataciondelestado.es/wps/poc?uri=deeplink:detalle_licitacion&amp;idEvl=Vt6pjW7ieHji0Kd8%2Brcp6w%3D%3D" TargetMode="External" Id="rId3435"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3436" /><Relationship Type="http://schemas.openxmlformats.org/officeDocument/2006/relationships/hyperlink" Target="https://contrataciondelestado.es/wps/poc?uri=deeplink:detalle_licitacion&amp;idEvl=dQaQWHUJEmbzAq95uGTrDQ%3D%3D" TargetMode="External" Id="rId3437"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3438" /><Relationship Type="http://schemas.openxmlformats.org/officeDocument/2006/relationships/hyperlink" Target="https://contrataciondelestado.es/wps/poc?uri=deeplink:detalle_licitacion&amp;idEvl=NNpsipETf%2Fx70UvEyYJSGw%3D%3D" TargetMode="External" Id="rId3439"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3440" /><Relationship Type="http://schemas.openxmlformats.org/officeDocument/2006/relationships/hyperlink" Target="https://contrataciondelestado.es/wps/poc?uri=deeplink:detalle_licitacion&amp;idEvl=W%2B3woEfT0bL%2B3JAijKO%2Bkg%3D%3D" TargetMode="External" Id="rId3441"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3442" /><Relationship Type="http://schemas.openxmlformats.org/officeDocument/2006/relationships/hyperlink" Target="https://contrataciondelestado.es/wps/poc?uri=deeplink:detalle_licitacion&amp;idEvl=w6OS8MCYZKd70UvEyYJSGw%3D%3D" TargetMode="External" Id="rId3443"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3444" /><Relationship Type="http://schemas.openxmlformats.org/officeDocument/2006/relationships/hyperlink" Target="https://contrataciondelestado.es/wps/poc?uri=deeplink:detalle_licitacion&amp;idEvl=jBURuIudDdfgL1BHd3qjQA%3D%3D" TargetMode="External" Id="rId3445"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3446" /><Relationship Type="http://schemas.openxmlformats.org/officeDocument/2006/relationships/hyperlink" Target="https://contrataciondelestado.es/wps/poc?uri=deeplink:detalle_licitacion&amp;idEvl=%2Fj%2F19P8TA%2FDXOjazN1Dw9Q%3D%3D" TargetMode="External" Id="rId3447"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3448" /><Relationship Type="http://schemas.openxmlformats.org/officeDocument/2006/relationships/hyperlink" Target="https://contrataciondelestado.es/wps/poc?uri=deeplink:detalle_licitacion&amp;idEvl=aLimt8KmQDQ3vLk2DU2Ddg%3D%3D" TargetMode="External" Id="rId3449"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3450" /><Relationship Type="http://schemas.openxmlformats.org/officeDocument/2006/relationships/hyperlink" Target="https://contrataciondelestado.es/wps/poc?uri=deeplink:detalle_licitacion&amp;idEvl=fCpL7081nsO5HQrHoP3G5A%3D%3D" TargetMode="External" Id="rId3451"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3452" /><Relationship Type="http://schemas.openxmlformats.org/officeDocument/2006/relationships/hyperlink" Target="https://contrataciondelestado.es/wps/poc?uri=deeplink:detalle_licitacion&amp;idEvl=7UapLifuXbzE6P%2FuLemXRw%3D%3D" TargetMode="External" Id="rId3453"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3454" /><Relationship Type="http://schemas.openxmlformats.org/officeDocument/2006/relationships/hyperlink" Target="https://contrataciondelestado.es/wps/poc?uri=deeplink:detalle_licitacion&amp;idEvl=dXOo1Nj4STeopEMYCmrbmw%3D%3D" TargetMode="External" Id="rId3455"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3456" /><Relationship Type="http://schemas.openxmlformats.org/officeDocument/2006/relationships/hyperlink" Target="https://contrataciondelestado.es/wps/poc?uri=deeplink:detalle_licitacion&amp;idEvl=q5l4u%2FlYkV%2F10HRJw8TEnQ%3D%3D" TargetMode="External" Id="rId3457"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3458" /><Relationship Type="http://schemas.openxmlformats.org/officeDocument/2006/relationships/hyperlink" Target="https://contrataciondelestado.es/wps/poc?uri=deeplink:detalle_licitacion&amp;idEvl=thB9%2Fr2CC4qS81gZFETWmA%3D%3D" TargetMode="External" Id="rId3459"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3460" /><Relationship Type="http://schemas.openxmlformats.org/officeDocument/2006/relationships/hyperlink" Target="https://contrataciondelestado.es/wps/poc?uri=deeplink:detalle_licitacion&amp;idEvl=NBisZonF33wzjChw4z%2FXvw%3D%3D" TargetMode="External" Id="rId3461"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3462" /><Relationship Type="http://schemas.openxmlformats.org/officeDocument/2006/relationships/hyperlink" Target="https://contrataciondelestado.es/wps/poc?uri=deeplink:detalle_licitacion&amp;idEvl=%2BErkgO5HAcnyoM4us5k4vw%3D%3D" TargetMode="External" Id="rId3463"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3464" /><Relationship Type="http://schemas.openxmlformats.org/officeDocument/2006/relationships/hyperlink" Target="https://contrataciondelestado.es/wps/poc?uri=deeplink:detalle_licitacion&amp;idEvl=yETWMHlcJJ0QyBAnWzHfCg%3D%3D" TargetMode="External" Id="rId3465"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3466" /><Relationship Type="http://schemas.openxmlformats.org/officeDocument/2006/relationships/hyperlink" Target="https://contrataciondelestado.es/wps/poc?uri=deeplink:detalle_licitacion&amp;idEvl=L0ChsKpcaZfs%2BnLj3vAg5A%3D%3D" TargetMode="External" Id="rId3467"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3468" /><Relationship Type="http://schemas.openxmlformats.org/officeDocument/2006/relationships/hyperlink" Target="https://contrataciondelestado.es/wps/poc?uri=deeplink:detalle_licitacion&amp;idEvl=0m%2BiOOG5dJw36J9Lctlsuw%3D%3D" TargetMode="External" Id="rId3469"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3470" /><Relationship Type="http://schemas.openxmlformats.org/officeDocument/2006/relationships/hyperlink" Target="https://contrataciondelestado.es/wps/poc?uri=deeplink:detalle_licitacion&amp;idEvl=4mb%2BuVvgvmVQFSeKCRun4Q%3D%3D" TargetMode="External" Id="rId3471"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3472" /><Relationship Type="http://schemas.openxmlformats.org/officeDocument/2006/relationships/hyperlink" Target="https://contrataciondelestado.es/wps/poc?uri=deeplink:detalle_licitacion&amp;idEvl=SKd16xhWJC1rhBlEHQFSKA%3D%3D" TargetMode="External" Id="rId3473"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3474" /><Relationship Type="http://schemas.openxmlformats.org/officeDocument/2006/relationships/hyperlink" Target="https://contrataciondelestado.es/wps/poc?uri=deeplink:detalle_licitacion&amp;idEvl=odYgMQCUvR2P%2Bo96UAV7cQ%3D%3D" TargetMode="External" Id="rId3475"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3476" /><Relationship Type="http://schemas.openxmlformats.org/officeDocument/2006/relationships/hyperlink" Target="https://contrataciondelestado.es/wps/poc?uri=deeplink:detalle_licitacion&amp;idEvl=TuwH28gmLd%2BKeVWTb9Scog%3D%3D" TargetMode="External" Id="rId3477"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3478" /><Relationship Type="http://schemas.openxmlformats.org/officeDocument/2006/relationships/hyperlink" Target="https://contrataciondelestado.es/wps/poc?uri=deeplink:detalle_licitacion&amp;idEvl=tnpcb%2B9LXGLgL1BHd3qjQA%3D%3D" TargetMode="External" Id="rId3479"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3480" /><Relationship Type="http://schemas.openxmlformats.org/officeDocument/2006/relationships/hyperlink" Target="https://contrataciondelestado.es/wps/poc?uri=deeplink:detalle_licitacion&amp;idEvl=j33u5F%2BIK4XE6P%2FuLemXRw%3D%3D" TargetMode="External" Id="rId3481"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3482" /><Relationship Type="http://schemas.openxmlformats.org/officeDocument/2006/relationships/hyperlink" Target="https://contrataciondelestado.es/wps/poc?uri=deeplink:detalle_licitacion&amp;idEvl=TPHdaR6odYaS81gZFETWmA%3D%3D" TargetMode="External" Id="rId3483"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3484" /><Relationship Type="http://schemas.openxmlformats.org/officeDocument/2006/relationships/hyperlink" Target="https://contrataciondelestado.es/wps/poc?uri=deeplink:detalle_licitacion&amp;idEvl=NibXcOySXiPLIx6q1oPaMg%3D%3D" TargetMode="External" Id="rId3485"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3486" /><Relationship Type="http://schemas.openxmlformats.org/officeDocument/2006/relationships/hyperlink" Target="https://contrataciondelestado.es/wps/poc?uri=deeplink:detalle_licitacion&amp;idEvl=oqO%2FSxQrdkaAAM7L03kM8A%3D%3D" TargetMode="External" Id="rId3487"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3488" /><Relationship Type="http://schemas.openxmlformats.org/officeDocument/2006/relationships/hyperlink" Target="https://contrataciondelestado.es/wps/poc?uri=deeplink:detalle_licitacion&amp;idEvl=u2QF1AuClDXmnwcj%2BxbdTg%3D%3D" TargetMode="External" Id="rId3489"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3490" /><Relationship Type="http://schemas.openxmlformats.org/officeDocument/2006/relationships/hyperlink" Target="https://contrataciondelestado.es/wps/poc?uri=deeplink:detalle_licitacion&amp;idEvl=y34ySu%2FwvBNVYjgxA4nMUw%3D%3D" TargetMode="External" Id="rId3491"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3492" /><Relationship Type="http://schemas.openxmlformats.org/officeDocument/2006/relationships/hyperlink" Target="https://contrataciondelestado.es/wps/poc?uri=deeplink:detalle_licitacion&amp;idEvl=kJ4H63VAtjuHCIsjvJ3rhQ%3D%3D" TargetMode="External" Id="rId3493"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3494" /><Relationship Type="http://schemas.openxmlformats.org/officeDocument/2006/relationships/hyperlink" Target="https://contrataciondelestado.es/wps/poc?uri=deeplink:detalle_licitacion&amp;idEvl=07QWi0W65iQtm4eBPtV6eQ%3D%3D" TargetMode="External" Id="rId3495"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3496" /><Relationship Type="http://schemas.openxmlformats.org/officeDocument/2006/relationships/hyperlink" Target="https://contrataciondelestado.es/wps/poc?uri=deeplink:detalle_licitacion&amp;idEvl=Id%2Fq7hSVPmQUqXM96WStVA%3D%3D" TargetMode="External" Id="rId3497"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3498" /><Relationship Type="http://schemas.openxmlformats.org/officeDocument/2006/relationships/hyperlink" Target="https://contrataciondelestado.es/wps/poc?uri=deeplink:detalle_licitacion&amp;idEvl=rrnzBj4Ftf%2B5HQrHoP3G5A%3D%3D" TargetMode="External" Id="rId3499"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3500" /><Relationship Type="http://schemas.openxmlformats.org/officeDocument/2006/relationships/hyperlink" Target="https://contrataciondelestado.es/wps/poc?uri=deeplink:detalle_licitacion&amp;idEvl=NWSuAqfVhZcaF6cS8TCh%2FA%3D%3D" TargetMode="External" Id="rId3501" /><Relationship Type="http://schemas.openxmlformats.org/officeDocument/2006/relationships/hyperlink" Target="https://contrataciondelestado.es/wps/poc?uri=deeplink:detalle_licitacion&amp;idEvl=YwAqicOq0zBxseVhcqrkhw%3D%3D" TargetMode="External" Id="rId3502"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3503" /><Relationship Type="http://schemas.openxmlformats.org/officeDocument/2006/relationships/hyperlink" Target="https://contrataciondelestado.es/wps/poc?uri=deeplink:detalle_licitacion&amp;idEvl=8fY0U%2Fq7swOFlFRHfEzEaw%3D%3D" TargetMode="External" Id="rId3504"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3505" /><Relationship Type="http://schemas.openxmlformats.org/officeDocument/2006/relationships/hyperlink" Target="https://contrataciondelestado.es/wps/poc?uri=deeplink:detalle_licitacion&amp;idEvl=8tSROFZiP93yoM4us5k4vw%3D%3D" TargetMode="External" Id="rId3506"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3507" /><Relationship Type="http://schemas.openxmlformats.org/officeDocument/2006/relationships/hyperlink" Target="https://contrataciondelestado.es/wps/poc?uri=deeplink:detalle_licitacion&amp;idEvl=p%2FU3Lbdt3Lo%2FbjW6njtWLw%3D%3D" TargetMode="External" Id="rId3508"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3509" /><Relationship Type="http://schemas.openxmlformats.org/officeDocument/2006/relationships/hyperlink" Target="https://contrataciondelestado.es/wps/poc?uri=deeplink:detalle_licitacion&amp;idEvl=ErlEs1l0q%2FiP%2Bo96UAV7cQ%3D%3D" TargetMode="External" Id="rId3510" /><Relationship Type="http://schemas.openxmlformats.org/officeDocument/2006/relationships/hyperlink" Target="https://contrataciondelestado.es/wps/poc?uri=deeplink:detalle_licitacion&amp;idEvl=rCkPexV5I5GTylGzYmBF9Q%3D%3D" TargetMode="External" Id="rId3511"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3512" /><Relationship Type="http://schemas.openxmlformats.org/officeDocument/2006/relationships/hyperlink" Target="https://contrataciondelestado.es/wps/poc?uri=deeplink:detalle_licitacion&amp;idEvl=OuZ2xRdf1Ic4NavIWzMcHA%3D%3D" TargetMode="External" Id="rId3513"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3514" /><Relationship Type="http://schemas.openxmlformats.org/officeDocument/2006/relationships/hyperlink" Target="https://contrataciondelestado.es/wps/poc?uri=deeplink:detalle_licitacion&amp;idEvl=qHqmG5pITSfLIx6q1oPaMg%3D%3D" TargetMode="External" Id="rId3515"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3516" /><Relationship Type="http://schemas.openxmlformats.org/officeDocument/2006/relationships/hyperlink" Target="https://contrataciondelestado.es/wps/poc?uri=deeplink:detalle_licitacion&amp;idEvl=eCQqoSzZQGE3vLk2DU2Ddg%3D%3D" TargetMode="External" Id="rId3517"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3518" /><Relationship Type="http://schemas.openxmlformats.org/officeDocument/2006/relationships/hyperlink" Target="https://contrataciondelestado.es/wps/poc?uri=deeplink:detalle_licitacion&amp;idEvl=Mf0wBthuD%2BTgL1BHd3qjQA%3D%3D" TargetMode="External" Id="rId3519"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3520" /><Relationship Type="http://schemas.openxmlformats.org/officeDocument/2006/relationships/hyperlink" Target="https://contrataciondelestado.es/wps/poc?uri=deeplink:detalle_licitacion&amp;idEvl=gR4HOZ6%2FX87IGlsa0Wad%2Bw%3D%3D" TargetMode="External" Id="rId3521"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3522" /><Relationship Type="http://schemas.openxmlformats.org/officeDocument/2006/relationships/hyperlink" Target="https://contrataciondelestado.es/wps/poc?uri=deeplink:detalle_licitacion&amp;idEvl=LZuSxj7tjRk%2FbjW6njtWLw%3D%3D" TargetMode="External" Id="rId3523"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3524" /><Relationship Type="http://schemas.openxmlformats.org/officeDocument/2006/relationships/hyperlink" Target="https://contrataciondelestado.es/wps/poc?uri=deeplink:detalle_licitacion&amp;idEvl=31EBFkow9Hgtm4eBPtV6eQ%3D%3D" TargetMode="External" Id="rId3525"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3526" /><Relationship Type="http://schemas.openxmlformats.org/officeDocument/2006/relationships/hyperlink" Target="https://contrataciondelestado.es/wps/poc?uri=deeplink:detalle_licitacion&amp;idEvl=QCazcqh6K52FlFRHfEzEaw%3D%3D" TargetMode="External" Id="rId3527"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3528" /><Relationship Type="http://schemas.openxmlformats.org/officeDocument/2006/relationships/hyperlink" Target="https://contrataciondelestado.es/wps/poc?uri=deeplink:detalle_licitacion&amp;idEvl=Bb%2BUkYIJKo0wYTJJ03sHog%3D%3D" TargetMode="External" Id="rId3529"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3530" /><Relationship Type="http://schemas.openxmlformats.org/officeDocument/2006/relationships/hyperlink" Target="https://contrataciondelestado.es/wps/poc?uri=deeplink:detalle_licitacion&amp;idEvl=NIUsNTAbHLgeIBJRHQiPkQ%3D%3D" TargetMode="External" Id="rId3531"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3532" /><Relationship Type="http://schemas.openxmlformats.org/officeDocument/2006/relationships/hyperlink" Target="https://contrataciondelestado.es/wps/poc?uri=deeplink:detalle_licitacion&amp;idEvl=aneqGVrYhb0ZDGvgaZEVxQ%3D%3D" TargetMode="External" Id="rId3533"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3534" /><Relationship Type="http://schemas.openxmlformats.org/officeDocument/2006/relationships/hyperlink" Target="https://contrataciondelestado.es/wps/poc?uri=deeplink:detalle_licitacion&amp;idEvl=t1R1u29ovgyKeVWTb9Scog%3D%3D" TargetMode="External" Id="rId3535" /><Relationship Type="http://schemas.openxmlformats.org/officeDocument/2006/relationships/hyperlink" Target="https://contrataciondelestado.es/wps/poc?uri=deeplink:detalle_licitacion&amp;idEvl=CHJLck8p8Xq7JOCXkOhcDg%3D%3D" TargetMode="External" Id="rId3536"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3537" /><Relationship Type="http://schemas.openxmlformats.org/officeDocument/2006/relationships/hyperlink" Target="https://contrataciondelestado.es/wps/poc?uri=deeplink:detalle_licitacion&amp;idEvl=K9r9MXRcUefECtSnloz%2BZQ%3D%3D" TargetMode="External" Id="rId3538"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3539" /><Relationship Type="http://schemas.openxmlformats.org/officeDocument/2006/relationships/hyperlink" Target="https://contrataciondelestado.es/wps/poc?uri=deeplink:detalle_licitacion&amp;idEvl=YupFiRhG0h1t5r0ngvMetA%3D%3D" TargetMode="External" Id="rId3540" /><Relationship Type="http://schemas.openxmlformats.org/officeDocument/2006/relationships/hyperlink" Target="https://contrataciondelestado.es/wps/poc?uri=deeplink:detalle_licitacion&amp;idEvl=JprWXZZcqllSYrkJkLlFdw%3D%3D" TargetMode="External" Id="rId3541"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3542" /><Relationship Type="http://schemas.openxmlformats.org/officeDocument/2006/relationships/hyperlink" Target="https://contrataciondelestado.es/wps/poc?uri=deeplink:detalle_licitacion&amp;idEvl=CmtwgbIPtXk7%2B9FIQYNjeQ%3D%3D" TargetMode="External" Id="rId3543"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3544" /><Relationship Type="http://schemas.openxmlformats.org/officeDocument/2006/relationships/hyperlink" Target="https://contrataciondelestado.es/wps/poc?uri=deeplink:detalle_licitacion&amp;idEvl=KqpmkKvWKpH%2B3JAijKO%2Bkg%3D%3D" TargetMode="External" Id="rId3545"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3546" /><Relationship Type="http://schemas.openxmlformats.org/officeDocument/2006/relationships/hyperlink" Target="https://contrataciondelestado.es/wps/poc?uri=deeplink:detalle_licitacion&amp;idEvl=6kLIJj4gev2OUi78BmzhOQ%3D%3D" TargetMode="External" Id="rId3547"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3548" /><Relationship Type="http://schemas.openxmlformats.org/officeDocument/2006/relationships/hyperlink" Target="https://contrataciondelestado.es/wps/poc?uri=deeplink:detalle_licitacion&amp;idEvl=XnF%2FkUbmsrz9pbnDwlaUlg%3D%3D" TargetMode="External" Id="rId3549"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3550" /><Relationship Type="http://schemas.openxmlformats.org/officeDocument/2006/relationships/hyperlink" Target="https://contrataciondelestado.es/wps/poc?uri=deeplink:detalle_licitacion&amp;idEvl=Wntr%2BDEMtzNt5r0ngvMetA%3D%3D" TargetMode="External" Id="rId3551"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3552" /><Relationship Type="http://schemas.openxmlformats.org/officeDocument/2006/relationships/hyperlink" Target="https://contrataciondelestado.es/wps/poc?uri=deeplink:detalle_licitacion&amp;idEvl=uXjIxm5fvRDs%2BnLj3vAg5A%3D%3D" TargetMode="External" Id="rId3553"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3554" /><Relationship Type="http://schemas.openxmlformats.org/officeDocument/2006/relationships/hyperlink" Target="https://contrataciondelestado.es/wps/poc?uri=deeplink:detalle_licitacion&amp;idEvl=30KCFcT1DZPua%2Fi14w%2FPLA%3D%3D" TargetMode="External" Id="rId3555"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3556" /><Relationship Type="http://schemas.openxmlformats.org/officeDocument/2006/relationships/hyperlink" Target="https://contrataciondelestado.es/wps/poc?uri=deeplink:detalle_licitacion&amp;idEvl=DtiPUAkPDJ9QFSeKCRun4Q%3D%3D" TargetMode="External" Id="rId3557"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3558" /><Relationship Type="http://schemas.openxmlformats.org/officeDocument/2006/relationships/hyperlink" Target="https://contrataciondelestado.es/wps/poc?uri=deeplink:detalle_licitacion&amp;idEvl=W%2FilFnz5aMwQyBAnWzHfCg%3D%3D" TargetMode="External" Id="rId3559" /><Relationship Type="http://schemas.openxmlformats.org/officeDocument/2006/relationships/hyperlink" Target="https://contrataciondelestado.es/wps/poc?uri=deeplink:detalle_licitacion&amp;idEvl=ZcR11L9HItacCF8sV%2BqtYA%3D%3D" TargetMode="External" Id="rId3560"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3561" /><Relationship Type="http://schemas.openxmlformats.org/officeDocument/2006/relationships/hyperlink" Target="https://contrataciondelestado.es/wps/poc?uri=deeplink:detalle_licitacion&amp;idEvl=m3ATimgHIyUeC9GJQOEBkQ%3D%3D" TargetMode="External" Id="rId3562"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3563" /><Relationship Type="http://schemas.openxmlformats.org/officeDocument/2006/relationships/hyperlink" Target="https://contrataciondelestado.es/wps/poc?uri=deeplink:detalle_licitacion&amp;idEvl=9kNKmiY1NbdVYjgxA4nMUw%3D%3D" TargetMode="External" Id="rId3564"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3565" /><Relationship Type="http://schemas.openxmlformats.org/officeDocument/2006/relationships/hyperlink" Target="https://contrataciondelestado.es/wps/poc?uri=deeplink:detalle_licitacion&amp;idEvl=A8n1GinWWxF9PLkba5eRog%3D%3D" TargetMode="External" Id="rId3566"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3567" /><Relationship Type="http://schemas.openxmlformats.org/officeDocument/2006/relationships/hyperlink" Target="https://contrataciondelestado.es/wps/poc?uri=deeplink:detalle_licitacion&amp;idEvl=c6SMQxY58EMaF6cS8TCh%2FA%3D%3D" TargetMode="External" Id="rId3568"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3569" /><Relationship Type="http://schemas.openxmlformats.org/officeDocument/2006/relationships/hyperlink" Target="https://contrataciondelestado.es/wps/poc?uri=deeplink:detalle_licitacion&amp;idEvl=%2BJhXhhrMXXckJPJS%2BPS9vg%3D%3D" TargetMode="External" Id="rId3570"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3571" /><Relationship Type="http://schemas.openxmlformats.org/officeDocument/2006/relationships/hyperlink" Target="https://contrataciondelestado.es/wps/poc?uri=deeplink:detalle_licitacion&amp;idEvl=BqUrmi4T4gE%2Bk2oCbDosIw%3D%3D" TargetMode="External" Id="rId3572"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3573" /><Relationship Type="http://schemas.openxmlformats.org/officeDocument/2006/relationships/hyperlink" Target="https://contrataciondelestado.es/wps/poc?uri=deeplink:detalle_licitacion&amp;idEvl=wMlJLwTwmlrmnwcj%2BxbdTg%3D%3D" TargetMode="External" Id="rId3574"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3575" /><Relationship Type="http://schemas.openxmlformats.org/officeDocument/2006/relationships/hyperlink" Target="https://contrataciondelestado.es/wps/poc?uri=deeplink:detalle_licitacion&amp;idEvl=7U5WneYLq%2BKcTfjQf3USOg%3D%3D" TargetMode="External" Id="rId3576"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3577" /><Relationship Type="http://schemas.openxmlformats.org/officeDocument/2006/relationships/hyperlink" Target="https://contrataciondelestado.es/wps/poc?uri=deeplink:detalle_licitacion&amp;idEvl=8RXVMV5OyodVkTabT%2FRM8A%3D%3D" TargetMode="External" Id="rId3578"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3579" /><Relationship Type="http://schemas.openxmlformats.org/officeDocument/2006/relationships/hyperlink" Target="https://contrataciondelestado.es/wps/poc?uri=deeplink:detalle_licitacion&amp;idEvl=PseRgz82Eq8tm4eBPtV6eQ%3D%3D" TargetMode="External" Id="rId3580"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581" /><Relationship Type="http://schemas.openxmlformats.org/officeDocument/2006/relationships/hyperlink" Target="https://contrataciondelestado.es/wps/poc?uri=deeplink:detalle_licitacion&amp;idEvl=as7ua6kGLqCzz8fXU2i3eQ%3D%3D" TargetMode="External" Id="rId3582"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3583" /><Relationship Type="http://schemas.openxmlformats.org/officeDocument/2006/relationships/hyperlink" Target="https://contrataciondelestado.es/wps/poc?uri=deeplink:detalle_licitacion&amp;idEvl=tdXMrVnpWf836J9Lctlsuw%3D%3D" TargetMode="External" Id="rId3584"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3585" /><Relationship Type="http://schemas.openxmlformats.org/officeDocument/2006/relationships/hyperlink" Target="https://contrataciondelestado.es/wps/poc?uri=deeplink:detalle_licitacion&amp;idEvl=JLBk4dMPTkNSYrkJkLlFdw%3D%3D" TargetMode="External" Id="rId3586"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3587" /><Relationship Type="http://schemas.openxmlformats.org/officeDocument/2006/relationships/hyperlink" Target="https://contrataciondelestado.es/wps/poc?uri=deeplink:detalle_licitacion&amp;idEvl=%2BAjqbXrbHVIXhk1FZxEyvw%3D%3D" TargetMode="External" Id="rId3588"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3589" /><Relationship Type="http://schemas.openxmlformats.org/officeDocument/2006/relationships/hyperlink" Target="https://contrataciondelestado.es/wps/poc?uri=deeplink:detalle_licitacion&amp;idEvl=N69HUBdDZF%2B2gkLQ8TeYKA%3D%3D" TargetMode="External" Id="rId3590"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3591" /><Relationship Type="http://schemas.openxmlformats.org/officeDocument/2006/relationships/hyperlink" Target="https://contrataciondelestado.es/wps/poc?uri=deeplink:detalle_licitacion&amp;idEvl=RjpXlomFV%2FrE6P%2FuLemXRw%3D%3D" TargetMode="External" Id="rId3592"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3593" /><Relationship Type="http://schemas.openxmlformats.org/officeDocument/2006/relationships/hyperlink" Target="https://contrataciondelestado.es/wps/poc?uri=deeplink:detalle_licitacion&amp;idEvl=wqloEHMZHwo%2Bk2oCbDosIw%3D%3D" TargetMode="External" Id="rId3594"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3595" /><Relationship Type="http://schemas.openxmlformats.org/officeDocument/2006/relationships/hyperlink" Target="https://contrataciondelestado.es/wps/poc?uri=deeplink:detalle_licitacion&amp;idEvl=J5b6%2B5PUnyukU02jNGj1Fw%3D%3D" TargetMode="External" Id="rId3596"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3597" /><Relationship Type="http://schemas.openxmlformats.org/officeDocument/2006/relationships/hyperlink" Target="https://contrataciondelestado.es/wps/poc?uri=deeplink:detalle_licitacion&amp;idEvl=DtNlrKjIiyg%2B1TMyIiZmzw%3D%3D" TargetMode="External" Id="rId3598"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3599" /><Relationship Type="http://schemas.openxmlformats.org/officeDocument/2006/relationships/hyperlink" Target="https://contrataciondelestado.es/wps/poc?uri=deeplink:detalle_licitacion&amp;idEvl=YdgpAAAiKDOKeVWTb9Scog%3D%3D" TargetMode="External" Id="rId3600"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3601" /><Relationship Type="http://schemas.openxmlformats.org/officeDocument/2006/relationships/hyperlink" Target="https://contrataciondelestado.es/wps/poc?uri=deeplink:detalle_licitacion&amp;idEvl=DfkdaMRdGBS9Hd5zqvq9cg%3D%3D" TargetMode="External" Id="rId3602"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3603" /><Relationship Type="http://schemas.openxmlformats.org/officeDocument/2006/relationships/hyperlink" Target="https://contrataciondelestado.es/wps/poc?uri=deeplink:detalle_licitacion&amp;idEvl=TXxNOICaYwvzAq95uGTrDQ%3D%3D" TargetMode="External" Id="rId3604"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3605" /><Relationship Type="http://schemas.openxmlformats.org/officeDocument/2006/relationships/hyperlink" Target="https://contrataciondelestado.es/wps/poc?uri=deeplink:detalle_licitacion&amp;idEvl=8f7mUz9IAcxVq4S9zvaQpQ%3D%3D" TargetMode="External" Id="rId3606"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3607" /><Relationship Type="http://schemas.openxmlformats.org/officeDocument/2006/relationships/hyperlink" Target="https://contrataciondelestado.es/wps/poc?uri=deeplink:detalle_licitacion&amp;idEvl=X0Zkm0YS7EGzz8fXU2i3eQ%3D%3D" TargetMode="External" Id="rId3608"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3609" /><Relationship Type="http://schemas.openxmlformats.org/officeDocument/2006/relationships/hyperlink" Target="https://contrataciondelestado.es/wps/poc?uri=deeplink:detalle_licitacion&amp;idEvl=lfzn%2F%2FpwkIjgL1BHd3qjQA%3D%3D" TargetMode="External" Id="rId3610"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3611" /><Relationship Type="http://schemas.openxmlformats.org/officeDocument/2006/relationships/hyperlink" Target="https://contrataciondelestado.es/wps/poc?uri=deeplink:detalle_licitacion&amp;idEvl=u1kv5lA1EgeP66GS%2BONYvQ%3D%3D" TargetMode="External" Id="rId3612"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3613" /><Relationship Type="http://schemas.openxmlformats.org/officeDocument/2006/relationships/hyperlink" Target="https://contrataciondelestado.es/wps/poc?uri=deeplink:detalle_licitacion&amp;idEvl=yepT1GaZ1FJWhbmkna2nXQ%3D%3D" TargetMode="External" Id="rId3614"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3615" /><Relationship Type="http://schemas.openxmlformats.org/officeDocument/2006/relationships/hyperlink" Target="https://contrataciondelestado.es/wps/poc?uri=deeplink:detalle_licitacion&amp;idEvl=%2BfYhMb3fWnO9Hd5zqvq9cg%3D%3D" TargetMode="External" Id="rId3616"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3617" /><Relationship Type="http://schemas.openxmlformats.org/officeDocument/2006/relationships/hyperlink" Target="https://contrataciondelestado.es/wps/poc?uri=deeplink:detalle_licitacion&amp;idEvl=BqzU6e22JRyFlFRHfEzEaw%3D%3D" TargetMode="External" Id="rId3618"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3619" /><Relationship Type="http://schemas.openxmlformats.org/officeDocument/2006/relationships/hyperlink" Target="https://contrataciondelestado.es/wps/poc?uri=deeplink:detalle_licitacion&amp;idEvl=oB7w3xQinn4eC9GJQOEBkQ%3D%3D" TargetMode="External" Id="rId3620"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3621" /><Relationship Type="http://schemas.openxmlformats.org/officeDocument/2006/relationships/hyperlink" Target="https://contrataciondelestado.es/wps/poc?uri=deeplink:detalle_licitacion&amp;idEvl=qcgq%2Fj2TpDDs%2BnLj3vAg5A%3D%3D" TargetMode="External" Id="rId3622"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3623" /><Relationship Type="http://schemas.openxmlformats.org/officeDocument/2006/relationships/hyperlink" Target="https://contrataciondelestado.es/wps/poc?uri=deeplink:detalle_licitacion&amp;idEvl=FeX2xpm1D9yqb7rCcv76BA%3D%3D" TargetMode="External" Id="rId3624"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3625" /><Relationship Type="http://schemas.openxmlformats.org/officeDocument/2006/relationships/hyperlink" Target="https://contrataciondelestado.es/wps/poc?uri=deeplink:detalle_licitacion&amp;idEvl=xNuxVP5vDU1Whbmkna2nXQ%3D%3D" TargetMode="External" Id="rId3626"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3627" /><Relationship Type="http://schemas.openxmlformats.org/officeDocument/2006/relationships/hyperlink" Target="https://contrataciondelestado.es/wps/poc?uri=deeplink:detalle_licitacion&amp;idEvl=3L82wfGUJLWTylGzYmBF9Q%3D%3D" TargetMode="External" Id="rId3628"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3629" /><Relationship Type="http://schemas.openxmlformats.org/officeDocument/2006/relationships/hyperlink" Target="https://contrataciondelestado.es/wps/poc?uri=deeplink:detalle_licitacion&amp;idEvl=w6pciAE%2FQAfN3k3tjedSGw%3D%3D" TargetMode="External" Id="rId3630"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3631" /><Relationship Type="http://schemas.openxmlformats.org/officeDocument/2006/relationships/hyperlink" Target="https://contrataciondelestado.es/wps/poc?uri=deeplink:detalle_licitacion&amp;idEvl=Wmjj%2F6GHnj2TylGzYmBF9Q%3D%3D" TargetMode="External" Id="rId3632"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3633" /><Relationship Type="http://schemas.openxmlformats.org/officeDocument/2006/relationships/hyperlink" Target="https://contrataciondelestado.es/wps/poc?uri=deeplink:detalle_licitacion&amp;idEvl=ToF10k%2BYLeSsNfRW6APEDw%3D%3D" TargetMode="External" Id="rId3634"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3635" /><Relationship Type="http://schemas.openxmlformats.org/officeDocument/2006/relationships/hyperlink" Target="https://contrataciondelestado.es/wps/poc?uri=deeplink:detalle_licitacion&amp;idEvl=H%2F630%2BNdG5kQyBAnWzHfCg%3D%3D" TargetMode="External" Id="rId3636"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3637" /><Relationship Type="http://schemas.openxmlformats.org/officeDocument/2006/relationships/hyperlink" Target="https://contrataciondelestado.es/wps/poc?uri=deeplink:detalle_licitacion&amp;idEvl=LxRr%2BvNzcg5rSd8H4b2soA%3D%3D" TargetMode="External" Id="rId3638"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3639" /><Relationship Type="http://schemas.openxmlformats.org/officeDocument/2006/relationships/hyperlink" Target="https://contrataciondelestado.es/wps/poc?uri=deeplink:detalle_licitacion&amp;idEvl=velutswXJhNQFSeKCRun4Q%3D%3D" TargetMode="External" Id="rId3640"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3641" /><Relationship Type="http://schemas.openxmlformats.org/officeDocument/2006/relationships/hyperlink" Target="https://contrataciondelestado.es/wps/poc?uri=deeplink:detalle_licitacion&amp;idEvl=4E3%2Bkq8UgUqopEMYCmrbmw%3D%3D" TargetMode="External" Id="rId3642"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3643" /><Relationship Type="http://schemas.openxmlformats.org/officeDocument/2006/relationships/hyperlink" Target="https://contrataciondelestado.es/wps/poc?uri=deeplink:detalle_licitacion&amp;idEvl=glLwtgUBmj6AAM7L03kM8A%3D%3D" TargetMode="External" Id="rId3644"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3645" /><Relationship Type="http://schemas.openxmlformats.org/officeDocument/2006/relationships/hyperlink" Target="https://contrataciondelestado.es/wps/poc?uri=deeplink:detalle_licitacion&amp;idEvl=zB%2ByHsNPij2ExvMJXBMHHQ%3D%3D" TargetMode="External" Id="rId3646"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3647" /><Relationship Type="http://schemas.openxmlformats.org/officeDocument/2006/relationships/hyperlink" Target="https://contrataciondelestado.es/wps/poc?uri=deeplink:detalle_licitacion&amp;idEvl=SYqOfKVWj4UIYE3ZiZ%2BxmQ%3D%3D" TargetMode="External" Id="rId3648"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3649" /><Relationship Type="http://schemas.openxmlformats.org/officeDocument/2006/relationships/hyperlink" Target="https://contrataciondelestado.es/wps/poc?uri=deeplink:detalle_licitacion&amp;idEvl=PwgvpqwC5tDjHF5qKI4aaw%3D%3D" TargetMode="External" Id="rId3650"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3651" /><Relationship Type="http://schemas.openxmlformats.org/officeDocument/2006/relationships/hyperlink" Target="https://contrataciondelestado.es/wps/poc?uri=deeplink:detalle_licitacion&amp;idEvl=kYupOMzbjxSqb7rCcv76BA%3D%3D" TargetMode="External" Id="rId3652"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3653" /><Relationship Type="http://schemas.openxmlformats.org/officeDocument/2006/relationships/hyperlink" Target="https://contrataciondelestado.es/wps/poc?uri=deeplink:detalle_licitacion&amp;idEvl=5jSSbZD7fPEQyBAnWzHfCg%3D%3D" TargetMode="External" Id="rId3654"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3655" /><Relationship Type="http://schemas.openxmlformats.org/officeDocument/2006/relationships/hyperlink" Target="https://contrataciondelestado.es/wps/poc?uri=deeplink:detalle_licitacion&amp;idEvl=M1CGBQl2tmn10HRJw8TEnQ%3D%3D" TargetMode="External" Id="rId3656"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3657" /><Relationship Type="http://schemas.openxmlformats.org/officeDocument/2006/relationships/hyperlink" Target="https://contrataciondelestado.es/wps/poc?uri=deeplink:detalle_licitacion&amp;idEvl=DtPJPXDcBu96nTs9LZ9RhQ%3D%3D" TargetMode="External" Id="rId3658" /><Relationship Type="http://schemas.openxmlformats.org/officeDocument/2006/relationships/hyperlink" Target="https://contrataciondelestado.es/wps/poc?uri=deeplink:detalle_licitacion&amp;idEvl=PKxGHWNoBHWKeVWTb9Scog%3D%3D" TargetMode="External" Id="rId3659"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3660" /><Relationship Type="http://schemas.openxmlformats.org/officeDocument/2006/relationships/hyperlink" Target="https://contrataciondelestado.es/wps/poc?uri=deeplink:detalle_licitacion&amp;idEvl=SJCJAc9y%2FMA4NavIWzMcHA%3D%3D" TargetMode="External" Id="rId3661"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3662" /><Relationship Type="http://schemas.openxmlformats.org/officeDocument/2006/relationships/hyperlink" Target="https://contrataciondelestado.es/wps/poc?uri=deeplink:detalle_licitacion&amp;idEvl=1vno3Pt6EtmExvMJXBMHHQ%3D%3D" TargetMode="External" Id="rId3663"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3664" /><Relationship Type="http://schemas.openxmlformats.org/officeDocument/2006/relationships/hyperlink" Target="https://contrataciondelestado.es/wps/poc?uri=deeplink:detalle_licitacion&amp;idEvl=1V7lTtfNMo07u6%2B%2FR7DUoA%3D%3D" TargetMode="External" Id="rId3665"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3666" /><Relationship Type="http://schemas.openxmlformats.org/officeDocument/2006/relationships/hyperlink" Target="https://contrataciondelestado.es/wps/poc?uri=deeplink:detalle_licitacion&amp;idEvl=hkVKw4eAAvm5HQrHoP3G5A%3D%3D" TargetMode="External" Id="rId3667"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3668" /><Relationship Type="http://schemas.openxmlformats.org/officeDocument/2006/relationships/hyperlink" Target="https://contrataciondelestado.es/wps/poc?uri=deeplink:detalle_licitacion&amp;idEvl=CEh8NhDAK2l9PLkba5eRog%3D%3D" TargetMode="External" Id="rId3669"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3670" /><Relationship Type="http://schemas.openxmlformats.org/officeDocument/2006/relationships/hyperlink" Target="https://contrataciondelestado.es/wps/poc?uri=deeplink:detalle_licitacion&amp;idEvl=oStCzgLIItA36J9Lctlsuw%3D%3D" TargetMode="External" Id="rId3671"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3672" /><Relationship Type="http://schemas.openxmlformats.org/officeDocument/2006/relationships/hyperlink" Target="https://contrataciondelestado.es/wps/poc?uri=deeplink:detalle_licitacion&amp;idEvl=%2FuQ9RZE1F8dq1DdmE7eaXg%3D%3D" TargetMode="External" Id="rId3673"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3674" /><Relationship Type="http://schemas.openxmlformats.org/officeDocument/2006/relationships/hyperlink" Target="https://contrataciondelestado.es/wps/poc?uri=deeplink:detalle_licitacion&amp;idEvl=uWF0L7xnlJ%2FpxJFXpLZ%2B2A%3D%3D" TargetMode="External" Id="rId3675"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3676" /><Relationship Type="http://schemas.openxmlformats.org/officeDocument/2006/relationships/hyperlink" Target="https://contrataciondelestado.es/wps/poc?uri=deeplink:detalle_licitacion&amp;idEvl=NyXrmEZQYWLECtSnloz%2BZQ%3D%3D" TargetMode="External" Id="rId3677"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3678" /><Relationship Type="http://schemas.openxmlformats.org/officeDocument/2006/relationships/hyperlink" Target="https://contrataciondelestado.es/wps/poc?uri=deeplink:detalle_licitacion&amp;idEvl=VqVyj78xsM1%2FR5QFTlaM4A%3D%3D" TargetMode="External" Id="rId3679"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3680" /><Relationship Type="http://schemas.openxmlformats.org/officeDocument/2006/relationships/hyperlink" Target="https://contrataciondelestado.es/wps/poc?uri=deeplink:detalle_licitacion&amp;idEvl=2GNYSAkeQZB9Zh%2FyRJgM8w%3D%3D" TargetMode="External" Id="rId3681"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3682" /><Relationship Type="http://schemas.openxmlformats.org/officeDocument/2006/relationships/hyperlink" Target="https://contrataciondelestado.es/wps/poc?uri=deeplink:detalle_licitacion&amp;idEvl=8y6k8g1iDWsS7pcxhTeWOg%3D%3D" TargetMode="External" Id="rId3683"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3684" /><Relationship Type="http://schemas.openxmlformats.org/officeDocument/2006/relationships/hyperlink" Target="https://contrataciondelestado.es/wps/poc?uri=deeplink:detalle_licitacion&amp;idEvl=zqaHaHQRArgkJPJS%2BPS9vg%3D%3D" TargetMode="External" Id="rId3685"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3686" /><Relationship Type="http://schemas.openxmlformats.org/officeDocument/2006/relationships/hyperlink" Target="https://contrataciondelestado.es/wps/poc?uri=deeplink:detalle_licitacion&amp;idEvl=qPHnRDlem8dQFSeKCRun4Q%3D%3D" TargetMode="External" Id="rId3687"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3688" /><Relationship Type="http://schemas.openxmlformats.org/officeDocument/2006/relationships/hyperlink" Target="https://contrataciondelestado.es/wps/poc?uri=deeplink:detalle_licitacion&amp;idEvl=RM5yVn4GZnkXhk1FZxEyvw%3D%3D" TargetMode="External" Id="rId3689"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3690" /><Relationship Type="http://schemas.openxmlformats.org/officeDocument/2006/relationships/hyperlink" Target="https://contrataciondelestado.es/wps/poc?uri=deeplink:detalle_licitacion&amp;idEvl=UJ%2FFpKtgOdx%2FP7lJ7Fu0SA%3D%3D" TargetMode="External" Id="rId3691"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3692" /><Relationship Type="http://schemas.openxmlformats.org/officeDocument/2006/relationships/hyperlink" Target="https://contrataciondelestado.es/wps/poc?uri=deeplink:detalle_licitacion&amp;idEvl=iwU%2BRD%2FDpxfkY6rls5tG9A%3D%3D" TargetMode="External" Id="rId3693"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3694" /><Relationship Type="http://schemas.openxmlformats.org/officeDocument/2006/relationships/hyperlink" Target="https://contrataciondelestado.es/wps/poc?uri=deeplink:detalle_licitacion&amp;idEvl=do8CynyVzOC5HQrHoP3G5A%3D%3D" TargetMode="External" Id="rId3695"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3696" /><Relationship Type="http://schemas.openxmlformats.org/officeDocument/2006/relationships/hyperlink" Target="https://contrataciondelestado.es/wps/poc?uri=deeplink:detalle_licitacion&amp;idEvl=APYZBEYZq5aIzo3LHNPGcQ%3D%3D" TargetMode="External" Id="rId3697"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3698" /><Relationship Type="http://schemas.openxmlformats.org/officeDocument/2006/relationships/hyperlink" Target="https://contrataciondelestado.es/wps/poc?uri=deeplink:detalle_licitacion&amp;idEvl=p7nTa3joX%2Fs7u6%2B%2FR7DUoA%3D%3D" TargetMode="External" Id="rId3699"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3700" /><Relationship Type="http://schemas.openxmlformats.org/officeDocument/2006/relationships/hyperlink" Target="https://contrataciondelestado.es/wps/poc?uri=deeplink:detalle_licitacion&amp;idEvl=UwqB6jkzg0ZWhbmkna2nXQ%3D%3D" TargetMode="External" Id="rId3701"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3702" /><Relationship Type="http://schemas.openxmlformats.org/officeDocument/2006/relationships/hyperlink" Target="https://contrataciondelestado.es/wps/poc?uri=deeplink:detalle_licitacion&amp;idEvl=CSpUZFXvbFaGCFcHcNGIlQ%3D%3D" TargetMode="External" Id="rId3703"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3704" /><Relationship Type="http://schemas.openxmlformats.org/officeDocument/2006/relationships/hyperlink" Target="https://contrataciondelestado.es/wps/poc?uri=deeplink:detalle_licitacion&amp;idEvl=NlMuwSJKTW8S7pcxhTeWOg%3D%3D" TargetMode="External" Id="rId3705"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3706" /><Relationship Type="http://schemas.openxmlformats.org/officeDocument/2006/relationships/hyperlink" Target="https://contrataciondelestado.es/wps/poc?uri=deeplink:detalle_licitacion&amp;idEvl=wzX9ANrnvInyoM4us5k4vw%3D%3D" TargetMode="External" Id="rId3707"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3708" /><Relationship Type="http://schemas.openxmlformats.org/officeDocument/2006/relationships/hyperlink" Target="https://contrataciondelestado.es/wps/poc?uri=deeplink:detalle_licitacion&amp;idEvl=ZcC3%2Fc3PUi4kJPJS%2BPS9vg%3D%3D" TargetMode="External" Id="rId3709"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3710" /><Relationship Type="http://schemas.openxmlformats.org/officeDocument/2006/relationships/hyperlink" Target="https://contrataciondelestado.es/wps/poc?uri=deeplink:detalle_licitacion&amp;idEvl=qFcqOS6e2eTI8aL3PRS10Q%3D%3D" TargetMode="External" Id="rId3711"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3712" /><Relationship Type="http://schemas.openxmlformats.org/officeDocument/2006/relationships/hyperlink" Target="https://contrataciondelestado.es/wps/poc?uri=deeplink:detalle_licitacion&amp;idEvl=AS9uAA6WlN%2BP%2Bo96UAV7cQ%3D%3D" TargetMode="External" Id="rId3713"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3714" /><Relationship Type="http://schemas.openxmlformats.org/officeDocument/2006/relationships/hyperlink" Target="https://contrataciondelestado.es/wps/poc?uri=deeplink:detalle_licitacion&amp;idEvl=vi%2Bcn5VyBhcIYE3ZiZ%2BxmQ%3D%3D" TargetMode="External" Id="rId3715"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3716" /><Relationship Type="http://schemas.openxmlformats.org/officeDocument/2006/relationships/hyperlink" Target="https://contrataciondelestado.es/wps/poc?uri=deeplink:detalle_licitacion&amp;idEvl=Pomv4eiMMsGTylGzYmBF9Q%3D%3D" TargetMode="External" Id="rId3717"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3718" /><Relationship Type="http://schemas.openxmlformats.org/officeDocument/2006/relationships/hyperlink" Target="https://contrataciondelestado.es/wps/poc?uri=deeplink:detalle_licitacion&amp;idEvl=7%2BKzw%2B3JnFTyoM4us5k4vw%3D%3D" TargetMode="External" Id="rId3719"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3720" /><Relationship Type="http://schemas.openxmlformats.org/officeDocument/2006/relationships/hyperlink" Target="https://contrataciondelestado.es/wps/poc?uri=deeplink:detalle_licitacion&amp;idEvl=WdLo%2BxMV6v1%2BF6L2uCfUWg%3D%3D" TargetMode="External" Id="rId3721"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3722" /><Relationship Type="http://schemas.openxmlformats.org/officeDocument/2006/relationships/hyperlink" Target="https://contrataciondelestado.es/wps/poc?uri=deeplink:detalle_licitacion&amp;idEvl=WGyG9%2B5ZJwPI8aL3PRS10Q%3D%3D" TargetMode="External" Id="rId3723"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3724" /><Relationship Type="http://schemas.openxmlformats.org/officeDocument/2006/relationships/hyperlink" Target="https://contrataciondelestado.es/wps/poc?uri=deeplink:detalle_licitacion&amp;idEvl=9gp7eIxBCEngL1BHd3qjQA%3D%3D" TargetMode="External" Id="rId3725"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3726" /><Relationship Type="http://schemas.openxmlformats.org/officeDocument/2006/relationships/hyperlink" Target="https://contrataciondelestado.es/wps/poc?uri=deeplink:detalle_licitacion&amp;idEvl=ru7o8nEpoZu9Hd5zqvq9cg%3D%3D" TargetMode="External" Id="rId3727"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3728" /><Relationship Type="http://schemas.openxmlformats.org/officeDocument/2006/relationships/hyperlink" Target="https://contrataciondelestado.es/wps/poc?uri=deeplink:detalle_licitacion&amp;idEvl=PCTW4CuwumzVGIpKDxgsAQ%3D%3D" TargetMode="External" Id="rId3729"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3730" /><Relationship Type="http://schemas.openxmlformats.org/officeDocument/2006/relationships/hyperlink" Target="https://contrataciondelestado.es/wps/poc?uri=deeplink:detalle_licitacion&amp;idEvl=L3x%2BayzuUXryoM4us5k4vw%3D%3D" TargetMode="External" Id="rId3731"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3732" /><Relationship Type="http://schemas.openxmlformats.org/officeDocument/2006/relationships/hyperlink" Target="https://contrataciondelestado.es/wps/poc?uri=deeplink:detalle_licitacion&amp;idEvl=NVl8R7khYkv9pbnDwlaUlg%3D%3D" TargetMode="External" Id="rId3733"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3734" /><Relationship Type="http://schemas.openxmlformats.org/officeDocument/2006/relationships/hyperlink" Target="https://contrataciondelestado.es/wps/poc?uri=deeplink:detalle_licitacion&amp;idEvl=Oo4zbnux9E1%2FR5QFTlaM4A%3D%3D" TargetMode="External" Id="rId3735"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3736" /><Relationship Type="http://schemas.openxmlformats.org/officeDocument/2006/relationships/hyperlink" Target="https://contrataciondelestado.es/wps/poc?uri=deeplink:detalle_licitacion&amp;idEvl=6jFd19xWe%2Fs7%2B9FIQYNjeQ%3D%3D" TargetMode="External" Id="rId3737"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3738" /><Relationship Type="http://schemas.openxmlformats.org/officeDocument/2006/relationships/hyperlink" Target="https://contrataciondelestado.es/wps/poc?uri=deeplink:detalle_licitacion&amp;idEvl=Qg8t2sdPzsni0Kd8%2Brcp6w%3D%3D" TargetMode="External" Id="rId3739"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3740" /><Relationship Type="http://schemas.openxmlformats.org/officeDocument/2006/relationships/hyperlink" Target="https://contrataciondelestado.es/wps/poc?uri=deeplink:detalle_licitacion&amp;idEvl=jD%2F4%2BR6KIbe5HQrHoP3G5A%3D%3D" TargetMode="External" Id="rId3741"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3742" /><Relationship Type="http://schemas.openxmlformats.org/officeDocument/2006/relationships/hyperlink" Target="https://contrataciondelestado.es/wps/poc?uri=deeplink:detalle_licitacion&amp;idEvl=FS0Ns0Pj%2FOr10HRJw8TEnQ%3D%3D" TargetMode="External" Id="rId3743"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3744" /><Relationship Type="http://schemas.openxmlformats.org/officeDocument/2006/relationships/hyperlink" Target="https://contrataciondelestado.es/wps/poc?uri=deeplink:detalle_licitacion&amp;idEvl=DZxNcNg2VSDs%2BnLj3vAg5A%3D%3D" TargetMode="External" Id="rId3745"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3746" /><Relationship Type="http://schemas.openxmlformats.org/officeDocument/2006/relationships/hyperlink" Target="https://contrataciondelestado.es/wps/poc?uri=deeplink:detalle_licitacion&amp;idEvl=uU2CTRJR4AoS7pcxhTeWOg%3D%3D" TargetMode="External" Id="rId3747"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3748" /><Relationship Type="http://schemas.openxmlformats.org/officeDocument/2006/relationships/hyperlink" Target="https://contrataciondelestado.es/wps/poc?uri=deeplink:detalle_licitacion&amp;idEvl=ZwTMQsdTOxfECtSnloz%2BZQ%3D%3D" TargetMode="External" Id="rId3749"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3750" /><Relationship Type="http://schemas.openxmlformats.org/officeDocument/2006/relationships/hyperlink" Target="https://contrataciondelestado.es/wps/poc?uri=deeplink:detalle_licitacion&amp;idEvl=Q%2Fsgwf4mJk5xseVhcqrkhw%3D%3D" TargetMode="External" Id="rId3751"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3752" /><Relationship Type="http://schemas.openxmlformats.org/officeDocument/2006/relationships/hyperlink" Target="https://contrataciondelestado.es/wps/poc?uri=deeplink:detalle_licitacion&amp;idEvl=7C7SNJZh16%2Bqb7rCcv76BA%3D%3D" TargetMode="External" Id="rId3753"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3754" /><Relationship Type="http://schemas.openxmlformats.org/officeDocument/2006/relationships/hyperlink" Target="https://contrataciondelestado.es/wps/poc?uri=deeplink:detalle_licitacion&amp;idEvl=6tTpCdA2nNQ2wEhQbcAqug%3D%3D" TargetMode="External" Id="rId3755"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3756" /><Relationship Type="http://schemas.openxmlformats.org/officeDocument/2006/relationships/hyperlink" Target="https://contrataciondelestado.es/wps/poc?uri=deeplink:detalle_licitacion&amp;idEvl=TU55TD3BjYWP%2Bo96UAV7cQ%3D%3D" TargetMode="External" Id="rId3757"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3758" /><Relationship Type="http://schemas.openxmlformats.org/officeDocument/2006/relationships/hyperlink" Target="https://contrataciondelestado.es/wps/poc?uri=deeplink:detalle_licitacion&amp;idEvl=Phvmq%2FzIAERJ8Trn0ZPzLw%3D%3D" TargetMode="External" Id="rId3759"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3760" /><Relationship Type="http://schemas.openxmlformats.org/officeDocument/2006/relationships/hyperlink" Target="https://contrataciondelestado.es/wps/poc?uri=deeplink:detalle_licitacion&amp;idEvl=KKADxnzQ6vM4NavIWzMcHA%3D%3D" TargetMode="External" Id="rId3761"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3762" /><Relationship Type="http://schemas.openxmlformats.org/officeDocument/2006/relationships/hyperlink" Target="https://contrataciondelestado.es/wps/poc?uri=deeplink:detalle_licitacion&amp;idEvl=%2B1WmVuSdDwbXOjazN1Dw9Q%3D%3D" TargetMode="External" Id="rId3763"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3764" /><Relationship Type="http://schemas.openxmlformats.org/officeDocument/2006/relationships/hyperlink" Target="https://contrataciondelestado.es/wps/poc?uri=deeplink:detalle_licitacion&amp;idEvl=L3EcYz8F7s2P66GS%2BONYvQ%3D%3D" TargetMode="External" Id="rId3765"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3766" /><Relationship Type="http://schemas.openxmlformats.org/officeDocument/2006/relationships/hyperlink" Target="https://contrataciondelestado.es/wps/poc?uri=deeplink:detalle_licitacion&amp;idEvl=m78EY4%2BjNs4Xhk1FZxEyvw%3D%3D" TargetMode="External" Id="rId3767"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3768" /><Relationship Type="http://schemas.openxmlformats.org/officeDocument/2006/relationships/hyperlink" Target="https://contrataciondelestado.es/wps/poc?uri=deeplink:detalle_licitacion&amp;idEvl=xr2U%2FsP3G1lxseVhcqrkhw%3D%3D" TargetMode="External" Id="rId3769"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3770" /><Relationship Type="http://schemas.openxmlformats.org/officeDocument/2006/relationships/hyperlink" Target="https://contrataciondelestado.es/wps/poc?uri=deeplink:detalle_licitacion&amp;idEvl=eu89ZJaXvpCcCF8sV%2BqtYA%3D%3D" TargetMode="External" Id="rId3771"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3772" /><Relationship Type="http://schemas.openxmlformats.org/officeDocument/2006/relationships/hyperlink" Target="https://contrataciondelestado.es/wps/poc?uri=deeplink:detalle_licitacion&amp;idEvl=GzJwRfafk2j%2Fa9DgO%2BoYKQ%3D%3D" TargetMode="External" Id="rId3773"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3774" /><Relationship Type="http://schemas.openxmlformats.org/officeDocument/2006/relationships/hyperlink" Target="https://contrataciondelestado.es/wps/poc?uri=deeplink:detalle_licitacion&amp;idEvl=i98OAluLp6T5Rey58Yagpg%3D%3D" TargetMode="External" Id="rId3775"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3776" /><Relationship Type="http://schemas.openxmlformats.org/officeDocument/2006/relationships/hyperlink" Target="https://contrataciondelestado.es/wps/poc?uri=deeplink:detalle_licitacion&amp;idEvl=9n8%2Bd6o1Ey1rSd8H4b2soA%3D%3D" TargetMode="External" Id="rId3777"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3778" /><Relationship Type="http://schemas.openxmlformats.org/officeDocument/2006/relationships/hyperlink" Target="https://contrataciondelestado.es/wps/poc?uri=deeplink:detalle_licitacion&amp;idEvl=g%2F%2BAVZ1u1BoZDGvgaZEVxQ%3D%3D" TargetMode="External" Id="rId3779"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3780" /><Relationship Type="http://schemas.openxmlformats.org/officeDocument/2006/relationships/hyperlink" Target="https://contrataciondelestado.es/wps/poc?uri=deeplink:detalle_licitacion&amp;idEvl=QflapgVH0CfLIx6q1oPaMg%3D%3D" TargetMode="External" Id="rId3781"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3782" /><Relationship Type="http://schemas.openxmlformats.org/officeDocument/2006/relationships/hyperlink" Target="https://contrataciondelestado.es/wps/poc?uri=deeplink:detalle_licitacion&amp;idEvl=SoLiAlFEic%2BGCFcHcNGIlQ%3D%3D" TargetMode="External" Id="rId3783"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3784" /><Relationship Type="http://schemas.openxmlformats.org/officeDocument/2006/relationships/hyperlink" Target="https://contrataciondelestado.es/wps/poc?uri=deeplink:detalle_licitacion&amp;idEvl=xYAHiBdmiNTI8aL3PRS10Q%3D%3D" TargetMode="External" Id="rId3785" /><Relationship Type="http://schemas.openxmlformats.org/officeDocument/2006/relationships/hyperlink" Target="https://contrataciondelestado.es/wps/poc?uri=deeplink:detalle_licitacion&amp;idEvl=%2BzVRaR3GeHMQyBAnWzHfCg%3D%3D" TargetMode="External" Id="rId3786"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3787" /><Relationship Type="http://schemas.openxmlformats.org/officeDocument/2006/relationships/hyperlink" Target="https://contrataciondelestado.es/wps/poc?uri=deeplink:detalle_licitacion&amp;idEvl=XxwiKmlbLa2sNfRW6APEDw%3D%3D" TargetMode="External" Id="rId3788"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3789" /><Relationship Type="http://schemas.openxmlformats.org/officeDocument/2006/relationships/hyperlink" Target="https://contrataciondelestado.es/wps/poc?uri=deeplink:detalle_licitacion&amp;idEvl=3ZhCGco12xDECtSnloz%2BZQ%3D%3D" TargetMode="External" Id="rId3790"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3791" /><Relationship Type="http://schemas.openxmlformats.org/officeDocument/2006/relationships/hyperlink" Target="https://contrataciondelestado.es/wps/poc?uri=deeplink:detalle_licitacion&amp;idEvl=0qHR7BPBQ0E%2Bk2oCbDosIw%3D%3D" TargetMode="External" Id="rId3792"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3793" /><Relationship Type="http://schemas.openxmlformats.org/officeDocument/2006/relationships/hyperlink" Target="https://contrataciondelestado.es/wps/poc?uri=deeplink:detalle_licitacion&amp;idEvl=V48NRVoNTRaiEJrVRqloyA%3D%3D" TargetMode="External" Id="rId3794"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3795" /><Relationship Type="http://schemas.openxmlformats.org/officeDocument/2006/relationships/hyperlink" Target="https://contrataciondelestado.es/wps/poc?uri=deeplink:detalle_licitacion&amp;idEvl=p9cEWzMg3s7ua%2Fi14w%2FPLA%3D%3D" TargetMode="External" Id="rId3796"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3797" /><Relationship Type="http://schemas.openxmlformats.org/officeDocument/2006/relationships/hyperlink" Target="https://contrataciondelestado.es/wps/poc?uri=deeplink:detalle_licitacion&amp;idEvl=k8dgnneIJDFPpzdqOdhuWg%3D%3D" TargetMode="External" Id="rId3798"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3799" /><Relationship Type="http://schemas.openxmlformats.org/officeDocument/2006/relationships/hyperlink" Target="https://contrataciondelestado.es/wps/poc?uri=deeplink:detalle_licitacion&amp;idEvl=SfSUDUGETGmS81gZFETWmA%3D%3D" TargetMode="External" Id="rId3800"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3801" /><Relationship Type="http://schemas.openxmlformats.org/officeDocument/2006/relationships/hyperlink" Target="https://contrataciondelestado.es/wps/poc?uri=deeplink:detalle_licitacion&amp;idEvl=PiL4et0l7SM36J9Lctlsuw%3D%3D" TargetMode="External" Id="rId3802"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3803" /><Relationship Type="http://schemas.openxmlformats.org/officeDocument/2006/relationships/hyperlink" Target="https://contrataciondelestado.es/wps/poc?uri=deeplink:detalle_licitacion&amp;idEvl=K8XImBnkUHrgL1BHd3qjQA%3D%3D" TargetMode="External" Id="rId3804"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3805" /><Relationship Type="http://schemas.openxmlformats.org/officeDocument/2006/relationships/hyperlink" Target="https://contrataciondelestado.es/wps/poc?uri=deeplink:detalle_licitacion&amp;idEvl=ps%2Fl84pVANqcCF8sV%2BqtYA%3D%3D" TargetMode="External" Id="rId3806"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3807" /><Relationship Type="http://schemas.openxmlformats.org/officeDocument/2006/relationships/hyperlink" Target="https://contrataciondelestado.es/wps/poc?uri=deeplink:detalle_licitacion&amp;idEvl=UWTEU69ooRb10HRJw8TEnQ%3D%3D" TargetMode="External" Id="rId3808"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3809" /><Relationship Type="http://schemas.openxmlformats.org/officeDocument/2006/relationships/hyperlink" Target="https://contrataciondelestado.es/wps/poc?uri=deeplink:detalle_licitacion&amp;idEvl=i85xaeWOa6TN3k3tjedSGw%3D%3D" TargetMode="External" Id="rId3810"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3811" /><Relationship Type="http://schemas.openxmlformats.org/officeDocument/2006/relationships/hyperlink" Target="https://contrataciondelestado.es/wps/poc?uri=deeplink:detalle_licitacion&amp;idEvl=W4y2YsmYF1j5Rey58Yagpg%3D%3D" TargetMode="External" Id="rId3812"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3813" /><Relationship Type="http://schemas.openxmlformats.org/officeDocument/2006/relationships/hyperlink" Target="https://contrataciondelestado.es/wps/poc?uri=deeplink:detalle_licitacion&amp;idEvl=Z2RWE3Asco%2Fua%2Fi14w%2FPLA%3D%3D" TargetMode="External" Id="rId3814"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3815" /><Relationship Type="http://schemas.openxmlformats.org/officeDocument/2006/relationships/hyperlink" Target="https://contrataciondelestado.es/wps/poc?uri=deeplink:detalle_licitacion&amp;idEvl=InwZ7FGhmLB4zIRvjBVCSw%3D%3D" TargetMode="External" Id="rId3816"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3817" /><Relationship Type="http://schemas.openxmlformats.org/officeDocument/2006/relationships/hyperlink" Target="https://contrataciondelestado.es/wps/poc?uri=deeplink:detalle_licitacion&amp;idEvl=CIR2wRc6A7e2gkLQ8TeYKA%3D%3D" TargetMode="External" Id="rId3818"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3819" /><Relationship Type="http://schemas.openxmlformats.org/officeDocument/2006/relationships/hyperlink" Target="https://contrataciondelestado.es/wps/poc?uri=deeplink:detalle_licitacion&amp;idEvl=yuBOYXAA35BVkTabT%2FRM8A%3D%3D" TargetMode="External" Id="rId3820"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3821" /><Relationship Type="http://schemas.openxmlformats.org/officeDocument/2006/relationships/hyperlink" Target="https://contrataciondelestado.es/wps/poc?uri=deeplink:detalle_licitacion&amp;idEvl=LM85I7Bgsq6HCIsjvJ3rhQ%3D%3D" TargetMode="External" Id="rId3822"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3823" /><Relationship Type="http://schemas.openxmlformats.org/officeDocument/2006/relationships/hyperlink" Target="https://contrataciondelestado.es/wps/poc?uri=deeplink:detalle_licitacion&amp;idEvl=kkBSRq3ElDMeIBJRHQiPkQ%3D%3D" TargetMode="External" Id="rId3824"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3825" /><Relationship Type="http://schemas.openxmlformats.org/officeDocument/2006/relationships/hyperlink" Target="https://contrataciondelestado.es/wps/poc?uri=deeplink:detalle_licitacion&amp;idEvl=STgpvctlDLesNfRW6APEDw%3D%3D" TargetMode="External" Id="rId3826"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3827" /><Relationship Type="http://schemas.openxmlformats.org/officeDocument/2006/relationships/hyperlink" Target="https://contrataciondelestado.es/wps/poc?uri=deeplink:detalle_licitacion&amp;idEvl=8KkOvVZVLVWzz8fXU2i3eQ%3D%3D" TargetMode="External" Id="rId3828"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3829" /><Relationship Type="http://schemas.openxmlformats.org/officeDocument/2006/relationships/hyperlink" Target="https://contrataciondelestado.es/wps/poc?uri=deeplink:detalle_licitacion&amp;idEvl=UxTI%2Bb0zmyukU02jNGj1Fw%3D%3D" TargetMode="External" Id="rId3830"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3831" /><Relationship Type="http://schemas.openxmlformats.org/officeDocument/2006/relationships/hyperlink" Target="https://contrataciondelestado.es/wps/poc?uri=deeplink:detalle_licitacion&amp;idEvl=%2BR%2FTlY3aytYQyBAnWzHfCg%3D%3D" TargetMode="External" Id="rId3832"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3833" /><Relationship Type="http://schemas.openxmlformats.org/officeDocument/2006/relationships/hyperlink" Target="https://contrataciondelestado.es/wps/poc?uri=deeplink:detalle_licitacion&amp;idEvl=pHCtf5fdUcKcCF8sV%2BqtYA%3D%3D" TargetMode="External" Id="rId3834"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3835" /><Relationship Type="http://schemas.openxmlformats.org/officeDocument/2006/relationships/hyperlink" Target="https://contrataciondelestado.es/wps/poc?uri=deeplink:detalle_licitacion&amp;idEvl=3g489Wszjb0%2FbjW6njtWLw%3D%3D" TargetMode="External" Id="rId3836"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3837" /><Relationship Type="http://schemas.openxmlformats.org/officeDocument/2006/relationships/hyperlink" Target="https://contrataciondelestado.es/wps/poc?uri=deeplink:detalle_licitacion&amp;idEvl=C4d1bFooPRHIGlsa0Wad%2Bw%3D%3D" TargetMode="External" Id="rId3838"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3839" /><Relationship Type="http://schemas.openxmlformats.org/officeDocument/2006/relationships/hyperlink" Target="https://contrataciondelestado.es/wps/poc?uri=deeplink:detalle_licitacion&amp;idEvl=VoZa1MKvV3Czz8fXU2i3eQ%3D%3D" TargetMode="External" Id="rId3840"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3841" /><Relationship Type="http://schemas.openxmlformats.org/officeDocument/2006/relationships/hyperlink" Target="https://contrataciondelestado.es/wps/poc?uri=deeplink:detalle_licitacion&amp;idEvl=iVTAYhXSN7vgL1BHd3qjQA%3D%3D" TargetMode="External" Id="rId3842"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3843" /><Relationship Type="http://schemas.openxmlformats.org/officeDocument/2006/relationships/hyperlink" Target="https://contrataciondelestado.es/wps/poc?uri=deeplink:detalle_licitacion&amp;idEvl=L%2Fkm0f1W%2BC%2BcTfjQf3USOg%3D%3D" TargetMode="External" Id="rId3844"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3845" /><Relationship Type="http://schemas.openxmlformats.org/officeDocument/2006/relationships/hyperlink" Target="https://contrataciondelestado.es/wps/poc?uri=deeplink:detalle_licitacion&amp;idEvl=29eoWQtSsPCP66GS%2BONYvQ%3D%3D" TargetMode="External" Id="rId3846"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3847" /><Relationship Type="http://schemas.openxmlformats.org/officeDocument/2006/relationships/hyperlink" Target="https://contrataciondelestado.es/wps/poc?uri=deeplink:detalle_licitacion&amp;idEvl=V%2BBHea9QU4Bq1DdmE7eaXg%3D%3D" TargetMode="External" Id="rId3848"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3849" /><Relationship Type="http://schemas.openxmlformats.org/officeDocument/2006/relationships/hyperlink" Target="https://contrataciondelestado.es/wps/poc?uri=deeplink:detalle_licitacion&amp;idEvl=jv1VloDl6FCKeVWTb9Scog%3D%3D" TargetMode="External" Id="rId3850"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3851" /><Relationship Type="http://schemas.openxmlformats.org/officeDocument/2006/relationships/hyperlink" Target="https://contrataciondelestado.es/wps/poc?uri=deeplink:detalle_licitacion&amp;idEvl=qR2P7VNhPFES7pcxhTeWOg%3D%3D" TargetMode="External" Id="rId3852"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3853" /><Relationship Type="http://schemas.openxmlformats.org/officeDocument/2006/relationships/hyperlink" Target="https://contrataciondelestado.es/wps/poc?uri=deeplink:detalle_licitacion&amp;idEvl=wM%2F%2FRSg%2FZl9PpzdqOdhuWg%3D%3D" TargetMode="External" Id="rId3854"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3855" /><Relationship Type="http://schemas.openxmlformats.org/officeDocument/2006/relationships/hyperlink" Target="https://contrataciondelestado.es/wps/poc?uri=deeplink:detalle_licitacion&amp;idEvl=K70tbF2TNzc%2Bk2oCbDosIw%3D%3D" TargetMode="External" Id="rId3856"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3857" /><Relationship Type="http://schemas.openxmlformats.org/officeDocument/2006/relationships/hyperlink" Target="https://contrataciondelestado.es/wps/poc?uri=deeplink:detalle_licitacion&amp;idEvl=g%2FgQDBbaHQLjHF5qKI4aaw%3D%3D" TargetMode="External" Id="rId3858"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3859" /><Relationship Type="http://schemas.openxmlformats.org/officeDocument/2006/relationships/hyperlink" Target="https://contrataciondelestado.es/wps/poc?uri=deeplink:detalle_licitacion&amp;idEvl=QIMmqDY%2FMIN70UvEyYJSGw%3D%3D" TargetMode="External" Id="rId3860"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3861" /><Relationship Type="http://schemas.openxmlformats.org/officeDocument/2006/relationships/hyperlink" Target="https://contrataciondelestado.es/wps/poc?uri=deeplink:detalle_licitacion&amp;idEvl=ekyNTXaTRRM%2B1TMyIiZmzw%3D%3D" TargetMode="External" Id="rId3862"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3863" /><Relationship Type="http://schemas.openxmlformats.org/officeDocument/2006/relationships/hyperlink" Target="https://contrataciondelestado.es/wps/poc?uri=deeplink:detalle_licitacion&amp;idEvl=cnqxfc8xne5LAIVZdUs8KA%3D%3D" TargetMode="External" Id="rId3864"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3865" /><Relationship Type="http://schemas.openxmlformats.org/officeDocument/2006/relationships/hyperlink" Target="https://contrataciondelestado.es/wps/poc?uri=deeplink:detalle_licitacion&amp;idEvl=mJeSyOQH4XWExvMJXBMHHQ%3D%3D" TargetMode="External" Id="rId3866"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3867" /><Relationship Type="http://schemas.openxmlformats.org/officeDocument/2006/relationships/hyperlink" Target="https://contrataciondelestado.es/wps/poc?uri=deeplink:detalle_licitacion&amp;idEvl=D4UePnS5OTmKeVWTb9Scog%3D%3D" TargetMode="External" Id="rId3868"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3869" /><Relationship Type="http://schemas.openxmlformats.org/officeDocument/2006/relationships/hyperlink" Target="https://contrataciondelestado.es/wps/poc?uri=deeplink:detalle_licitacion&amp;idEvl=PwG8jgXwfCYtm4eBPtV6eQ%3D%3D" TargetMode="External" Id="rId3870"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3871" /><Relationship Type="http://schemas.openxmlformats.org/officeDocument/2006/relationships/hyperlink" Target="https://contrataciondelestado.es/wps/poc?uri=deeplink:detalle_licitacion&amp;idEvl=%2BowZ1JjLNKwkJPJS%2BPS9vg%3D%3D" TargetMode="External" Id="rId3872"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3873" /><Relationship Type="http://schemas.openxmlformats.org/officeDocument/2006/relationships/hyperlink" Target="https://contrataciondelestado.es/wps/poc?uri=deeplink:detalle_licitacion&amp;idEvl=WW5Wsv8Yc48QyBAnWzHfCg%3D%3D" TargetMode="External" Id="rId3874"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3875" /><Relationship Type="http://schemas.openxmlformats.org/officeDocument/2006/relationships/hyperlink" Target="https://contrataciondelestado.es/wps/poc?uri=deeplink:detalle_licitacion&amp;idEvl=s4EUo24XOkc7u6%2B%2FR7DUoA%3D%3D" TargetMode="External" Id="rId3876"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3877" /><Relationship Type="http://schemas.openxmlformats.org/officeDocument/2006/relationships/hyperlink" Target="https://contrataciondelestado.es/wps/poc?uri=deeplink:detalle_licitacion&amp;idEvl=q%2BvTFQMeLPhPpzdqOdhuWg%3D%3D" TargetMode="External" Id="rId3878"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3879" /><Relationship Type="http://schemas.openxmlformats.org/officeDocument/2006/relationships/hyperlink" Target="https://contrataciondelestado.es/wps/poc?uri=deeplink:detalle_licitacion&amp;idEvl=WF0X%2B1XCX5h9Zh%2FyRJgM8w%3D%3D" TargetMode="External" Id="rId3880"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3881" /><Relationship Type="http://schemas.openxmlformats.org/officeDocument/2006/relationships/hyperlink" Target="https://contrataciondelestado.es/wps/poc?uri=deeplink:detalle_licitacion&amp;idEvl=Kvteo405Sjyzz8fXU2i3eQ%3D%3D" TargetMode="External" Id="rId3882"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3883" /><Relationship Type="http://schemas.openxmlformats.org/officeDocument/2006/relationships/hyperlink" Target="https://contrataciondelestado.es/wps/poc?uri=deeplink:detalle_licitacion&amp;idEvl=w7AIROp8iBVrSd8H4b2soA%3D%3D" TargetMode="External" Id="rId3884"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3885" /><Relationship Type="http://schemas.openxmlformats.org/officeDocument/2006/relationships/hyperlink" Target="https://contrataciondelestado.es/wps/poc?uri=deeplink:detalle_licitacion&amp;idEvl=r0FDxHSU4HaGCFcHcNGIlQ%3D%3D" TargetMode="External" Id="rId3886"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3887" /><Relationship Type="http://schemas.openxmlformats.org/officeDocument/2006/relationships/hyperlink" Target="https://contrataciondelestado.es/wps/poc?uri=deeplink:detalle_licitacion&amp;idEvl=5EaLiaIqw78aF6cS8TCh%2FA%3D%3D" TargetMode="External" Id="rId3888"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3889" /><Relationship Type="http://schemas.openxmlformats.org/officeDocument/2006/relationships/hyperlink" Target="https://contrataciondelestado.es/wps/poc?uri=deeplink:detalle_licitacion&amp;idEvl=QUifsp1xaw%2FIGlsa0Wad%2Bw%3D%3D" TargetMode="External" Id="rId3890"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3891" /><Relationship Type="http://schemas.openxmlformats.org/officeDocument/2006/relationships/hyperlink" Target="https://contrataciondelestado.es/wps/poc?uri=deeplink:detalle_licitacion&amp;idEvl=%2FxUo2BIcmXp70UvEyYJSGw%3D%3D" TargetMode="External" Id="rId3892"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3893" /><Relationship Type="http://schemas.openxmlformats.org/officeDocument/2006/relationships/hyperlink" Target="https://contrataciondelestado.es/wps/poc?uri=deeplink:detalle_licitacion&amp;idEvl=iQZP39YXNIFWhbmkna2nXQ%3D%3D" TargetMode="External" Id="rId3894"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3895" /><Relationship Type="http://schemas.openxmlformats.org/officeDocument/2006/relationships/hyperlink" Target="https://contrataciondelestado.es/wps/poc?uri=deeplink:detalle_licitacion&amp;idEvl=Wtt%2BvYK0%2BG1SYrkJkLlFdw%3D%3D" TargetMode="External" Id="rId3896"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3897" /><Relationship Type="http://schemas.openxmlformats.org/officeDocument/2006/relationships/hyperlink" Target="https://contrataciondelestado.es/wps/poc?uri=deeplink:detalle_licitacion&amp;idEvl=6tTL%2Bo9QEVh%2FP7lJ7Fu0SA%3D%3D" TargetMode="External" Id="rId3898"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3899" /><Relationship Type="http://schemas.openxmlformats.org/officeDocument/2006/relationships/hyperlink" Target="https://contrataciondelestado.es/wps/poc?uri=deeplink:detalle_licitacion&amp;idEvl=f5UAT4icjXV4zIRvjBVCSw%3D%3D" TargetMode="External" Id="rId3900"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3901" /><Relationship Type="http://schemas.openxmlformats.org/officeDocument/2006/relationships/hyperlink" Target="https://contrataciondelestado.es/wps/poc?uri=deeplink:detalle_licitacion&amp;idEvl=vWky0cebmP1rSd8H4b2soA%3D%3D" TargetMode="External" Id="rId3902"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3903" /><Relationship Type="http://schemas.openxmlformats.org/officeDocument/2006/relationships/hyperlink" Target="https://contrataciondelestado.es/wps/poc?uri=deeplink:detalle_licitacion&amp;idEvl=ubKTRtSZg9prSd8H4b2soA%3D%3D" TargetMode="External" Id="rId3904"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3905" /><Relationship Type="http://schemas.openxmlformats.org/officeDocument/2006/relationships/hyperlink" Target="https://contrataciondelestado.es/wps/poc?uri=deeplink:detalle_licitacion&amp;idEvl=9kxbkBrlFsFVq4S9zvaQpQ%3D%3D" TargetMode="External" Id="rId3906"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3907" /><Relationship Type="http://schemas.openxmlformats.org/officeDocument/2006/relationships/hyperlink" Target="https://contrataciondelestado.es/wps/poc?uri=deeplink:detalle_licitacion&amp;idEvl=U9KYjWGkeubVGIpKDxgsAQ%3D%3D" TargetMode="External" Id="rId3908"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3909" /><Relationship Type="http://schemas.openxmlformats.org/officeDocument/2006/relationships/hyperlink" Target="https://contrataciondelestado.es/wps/poc?uri=deeplink:detalle_licitacion&amp;idEvl=DbQ1dyjFeeuFlFRHfEzEaw%3D%3D" TargetMode="External" Id="rId3910"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3911" /><Relationship Type="http://schemas.openxmlformats.org/officeDocument/2006/relationships/hyperlink" Target="https://contrataciondelestado.es/wps/poc?uri=deeplink:detalle_licitacion&amp;idEvl=xFF1fTTQVBX9pbnDwlaUlg%3D%3D" TargetMode="External" Id="rId3912"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3913" /><Relationship Type="http://schemas.openxmlformats.org/officeDocument/2006/relationships/hyperlink" Target="https://contrataciondelestado.es/wps/poc?uri=deeplink:detalle_licitacion&amp;idEvl=aqjO5flT5Ff%2Fa9DgO%2BoYKQ%3D%3D" TargetMode="External" Id="rId3914"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3915" /><Relationship Type="http://schemas.openxmlformats.org/officeDocument/2006/relationships/hyperlink" Target="https://contrataciondelestado.es/wps/poc?uri=deeplink:detalle_licitacion&amp;idEvl=quiyTxalfSfs%2BnLj3vAg5A%3D%3D" TargetMode="External" Id="rId3916"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3917" /><Relationship Type="http://schemas.openxmlformats.org/officeDocument/2006/relationships/hyperlink" Target="https://contrataciondelestado.es/wps/poc?uri=deeplink:detalle_licitacion&amp;idEvl=Rde4dXVVRsvgL1BHd3qjQA%3D%3D" TargetMode="External" Id="rId3918"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3919" /><Relationship Type="http://schemas.openxmlformats.org/officeDocument/2006/relationships/hyperlink" Target="https://contrataciondelestado.es/wps/poc?uri=deeplink:detalle_licitacion&amp;idEvl=E2Yy8TxFMCpQFSeKCRun4Q%3D%3D" TargetMode="External" Id="rId3920"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3921" /><Relationship Type="http://schemas.openxmlformats.org/officeDocument/2006/relationships/hyperlink" Target="https://contrataciondelestado.es/wps/poc?uri=deeplink:detalle_licitacion&amp;idEvl=0aGgrSSZs53i0Kd8%2Brcp6w%3D%3D" TargetMode="External" Id="rId3922"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3923" /><Relationship Type="http://schemas.openxmlformats.org/officeDocument/2006/relationships/hyperlink" Target="https://contrataciondelestado.es/wps/poc?uri=deeplink:detalle_licitacion&amp;idEvl=THC%2BVp2hV%2Bh6nTs9LZ9RhQ%3D%3D" TargetMode="External" Id="rId3924"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3925" /><Relationship Type="http://schemas.openxmlformats.org/officeDocument/2006/relationships/hyperlink" Target="https://contrataciondelestado.es/wps/poc?uri=deeplink:detalle_licitacion&amp;idEvl=j%2BPlowDlItgQyBAnWzHfCg%3D%3D" TargetMode="External" Id="rId3926"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3927" /><Relationship Type="http://schemas.openxmlformats.org/officeDocument/2006/relationships/hyperlink" Target="https://contrataciondelestado.es/wps/poc?uri=deeplink:detalle_licitacion&amp;idEvl=dD%2FooQnPxn1QFSeKCRun4Q%3D%3D" TargetMode="External" Id="rId3928"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3929" /><Relationship Type="http://schemas.openxmlformats.org/officeDocument/2006/relationships/hyperlink" Target="https://contrataciondelestado.es/wps/poc?uri=deeplink:detalle_licitacion&amp;idEvl=wV9%2BSBQfMdg%2B1TMyIiZmzw%3D%3D" TargetMode="External" Id="rId3930"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3931" /><Relationship Type="http://schemas.openxmlformats.org/officeDocument/2006/relationships/hyperlink" Target="https://contrataciondelestado.es/wps/poc?uri=deeplink:detalle_licitacion&amp;idEvl=qhWusGuMHIYkJPJS%2BPS9vg%3D%3D" TargetMode="External" Id="rId3932"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3933" /><Relationship Type="http://schemas.openxmlformats.org/officeDocument/2006/relationships/hyperlink" Target="https://contrataciondelestado.es/wps/poc?uri=deeplink:detalle_licitacion&amp;idEvl=wAYeChv70RM3vLk2DU2Ddg%3D%3D" TargetMode="External" Id="rId3934"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3935" /><Relationship Type="http://schemas.openxmlformats.org/officeDocument/2006/relationships/hyperlink" Target="https://contrataciondelestado.es/wps/poc?uri=deeplink:detalle_licitacion&amp;idEvl=8wN0CMx8ndkl5NjlNci%2BtA%3D%3D" TargetMode="External" Id="rId3936"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3937" /><Relationship Type="http://schemas.openxmlformats.org/officeDocument/2006/relationships/hyperlink" Target="https://contrataciondelestado.es/wps/poc?uri=deeplink:detalle_licitacion&amp;idEvl=FoHX4RJB4DP%2Fa9DgO%2BoYKQ%3D%3D" TargetMode="External" Id="rId3938"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3939" /><Relationship Type="http://schemas.openxmlformats.org/officeDocument/2006/relationships/hyperlink" Target="https://contrataciondelestado.es/wps/poc?uri=deeplink:detalle_licitacion&amp;idEvl=Pt6WDb8%2F2k0mMOlAXxDEjw%3D%3D" TargetMode="External" Id="rId3940" /><Relationship Type="http://schemas.openxmlformats.org/officeDocument/2006/relationships/hyperlink" Target="https://contrataciondelestado.es/wps/poc?uri=deeplink:detalle_licitacion&amp;idEvl=foNIaqdzJoleKgd8LfVV9g%3D%3D" TargetMode="External" Id="rId3941"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3942" /><Relationship Type="http://schemas.openxmlformats.org/officeDocument/2006/relationships/hyperlink" Target="https://contrataciondelestado.es/wps/poc?uri=deeplink:detalle_licitacion&amp;idEvl=UUYyOPX06tJ6nTs9LZ9RhQ%3D%3D" TargetMode="External" Id="rId3943"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3944" /><Relationship Type="http://schemas.openxmlformats.org/officeDocument/2006/relationships/hyperlink" Target="https://contrataciondelestado.es/wps/poc?uri=deeplink:detalle_licitacion&amp;idEvl=gIC0%2B%2ByHjq6TylGzYmBF9Q%3D%3D" TargetMode="External" Id="rId3945"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3946" /><Relationship Type="http://schemas.openxmlformats.org/officeDocument/2006/relationships/hyperlink" Target="https://contrataciondelestado.es/wps/poc?uri=deeplink:detalle_licitacion&amp;idEvl=CvkZzCQnmFAkJPJS%2BPS9vg%3D%3D" TargetMode="External" Id="rId3947"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3948" /><Relationship Type="http://schemas.openxmlformats.org/officeDocument/2006/relationships/hyperlink" Target="https://contrataciondelestado.es/wps/poc?uri=deeplink:detalle_licitacion&amp;idEvl=FuUfFe4c%2FCJ9PLkba5eRog%3D%3D" TargetMode="External" Id="rId3949"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3950" /><Relationship Type="http://schemas.openxmlformats.org/officeDocument/2006/relationships/hyperlink" Target="https://contrataciondelestado.es/wps/poc?uri=deeplink:detalle_licitacion&amp;idEvl=MukClzzLGT%2B7JOCXkOhcDg%3D%3D" TargetMode="External" Id="rId3951"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3952" /><Relationship Type="http://schemas.openxmlformats.org/officeDocument/2006/relationships/hyperlink" Target="https://contrataciondelestado.es/wps/poc?uri=deeplink:detalle_licitacion&amp;idEvl=%2FCq12lPoK7uopEMYCmrbmw%3D%3D" TargetMode="External" Id="rId3953"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3954" /><Relationship Type="http://schemas.openxmlformats.org/officeDocument/2006/relationships/hyperlink" Target="https://contrataciondelestado.es/wps/poc?uri=deeplink:detalle_licitacion&amp;idEvl=Oius1aSXezqFQ%2FlhRK79lA%3D%3D" TargetMode="External" Id="rId3955"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3956" /><Relationship Type="http://schemas.openxmlformats.org/officeDocument/2006/relationships/hyperlink" Target="https://contrataciondelestado.es/wps/poc?uri=deeplink:detalle_licitacion&amp;idEvl=2%2FrVS1eMVs8zjChw4z%2FXvw%3D%3D" TargetMode="External" Id="rId3957"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3958" /><Relationship Type="http://schemas.openxmlformats.org/officeDocument/2006/relationships/hyperlink" Target="https://contrataciondelestado.es/wps/poc?uri=deeplink:detalle_licitacion&amp;idEvl=i1jUKg0H2ko%2Bk2oCbDosIw%3D%3D" TargetMode="External" Id="rId3959"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3960" /><Relationship Type="http://schemas.openxmlformats.org/officeDocument/2006/relationships/hyperlink" Target="https://contrataciondelestado.es/wps/poc?uri=deeplink:detalle_licitacion&amp;idEvl=RHln4O1U8%2FQ7%2B9FIQYNjeQ%3D%3D" TargetMode="External" Id="rId3961"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3962" /><Relationship Type="http://schemas.openxmlformats.org/officeDocument/2006/relationships/hyperlink" Target="https://contrataciondelestado.es/wps/poc?uri=deeplink:detalle_licitacion&amp;idEvl=0ElQojJH8aj5Rey58Yagpg%3D%3D" TargetMode="External" Id="rId3963" /><Relationship Type="http://schemas.openxmlformats.org/officeDocument/2006/relationships/hyperlink" Target="https://contrataciondelestado.es/wps/poc?uri=deeplink:detalle_licitacion&amp;idEvl=WLqIvohEiKgXhk1FZxEyvw%3D%3D" TargetMode="External" Id="rId3964"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3965" /><Relationship Type="http://schemas.openxmlformats.org/officeDocument/2006/relationships/hyperlink" Target="https://contrataciondelestado.es/wps/poc?uri=deeplink:detalle_licitacion&amp;idEvl=dV4NErk5RcisNfRW6APEDw%3D%3D" TargetMode="External" Id="rId3966"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3967" /><Relationship Type="http://schemas.openxmlformats.org/officeDocument/2006/relationships/hyperlink" Target="https://contrataciondelestado.es/wps/poc?uri=deeplink:detalle_licitacion&amp;idEvl=M5Sfj09dtWDkY6rls5tG9A%3D%3D" TargetMode="External" Id="rId3968"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3969" /><Relationship Type="http://schemas.openxmlformats.org/officeDocument/2006/relationships/hyperlink" Target="https://contrataciondelestado.es/wps/poc?uri=deeplink:detalle_licitacion&amp;idEvl=weILdLlBNJyKeVWTb9Scog%3D%3D" TargetMode="External" Id="rId3970"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3971" /><Relationship Type="http://schemas.openxmlformats.org/officeDocument/2006/relationships/hyperlink" Target="https://contrataciondelestado.es/wps/poc?uri=deeplink:detalle_licitacion&amp;idEvl=IzlPmUaw1iSzz8fXU2i3eQ%3D%3D" TargetMode="External" Id="rId3972" /><Relationship Type="http://schemas.openxmlformats.org/officeDocument/2006/relationships/hyperlink" Target="https://contrataciondelestado.es/wps/poc?uri=deeplink:detalle_licitacion&amp;idEvl=C7fsUQfHxmLIGlsa0Wad%2Bw%3D%3D" TargetMode="External" Id="rId3973"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3974" /><Relationship Type="http://schemas.openxmlformats.org/officeDocument/2006/relationships/hyperlink" Target="https://contrataciondelestado.es/wps/poc?uri=deeplink:detalle_licitacion&amp;idEvl=ryRQPrroZDyFQ%2FlhRK79lA%3D%3D" TargetMode="External" Id="rId3975"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3976" /><Relationship Type="http://schemas.openxmlformats.org/officeDocument/2006/relationships/hyperlink" Target="https://contrataciondelestado.es/wps/poc?uri=deeplink:detalle_licitacion&amp;idEvl=j5GgH95YG5qzz8fXU2i3eQ%3D%3D" TargetMode="External" Id="rId3977"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3978" /><Relationship Type="http://schemas.openxmlformats.org/officeDocument/2006/relationships/hyperlink" Target="https://contrataciondelestado.es/wps/poc?uri=deeplink:detalle_licitacion&amp;idEvl=jLPz7YdbMmLua%2Fi14w%2FPLA%3D%3D" TargetMode="External" Id="rId3979"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3980" /><Relationship Type="http://schemas.openxmlformats.org/officeDocument/2006/relationships/hyperlink" Target="https://contrataciondelestado.es/wps/poc?uri=deeplink:detalle_licitacion&amp;idEvl=2OxGaFqeEo4S7pcxhTeWOg%3D%3D" TargetMode="External" Id="rId3981"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3982" /><Relationship Type="http://schemas.openxmlformats.org/officeDocument/2006/relationships/hyperlink" Target="https://contrataciondelestado.es/wps/poc?uri=deeplink:detalle_licitacion&amp;idEvl=ngjRnQ2s1lsIYE3ZiZ%2BxmQ%3D%3D" TargetMode="External" Id="rId3983"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3984" /><Relationship Type="http://schemas.openxmlformats.org/officeDocument/2006/relationships/hyperlink" Target="https://contrataciondelestado.es/wps/poc?uri=deeplink:detalle_licitacion&amp;idEvl=Kg3KZxJBEw9t5r0ngvMetA%3D%3D" TargetMode="External" Id="rId3985"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3986" /><Relationship Type="http://schemas.openxmlformats.org/officeDocument/2006/relationships/hyperlink" Target="https://contrataciondelestado.es/wps/poc?uri=deeplink:detalle_licitacion&amp;idEvl=mYyKCsfeSnQS7pcxhTeWOg%3D%3D" TargetMode="External" Id="rId3987"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3988" /><Relationship Type="http://schemas.openxmlformats.org/officeDocument/2006/relationships/hyperlink" Target="https://contrataciondelestado.es/wps/poc?uri=deeplink:detalle_licitacion&amp;idEvl=f8AQHjWV2KPjHF5qKI4aaw%3D%3D" TargetMode="External" Id="rId3989"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3990" /><Relationship Type="http://schemas.openxmlformats.org/officeDocument/2006/relationships/hyperlink" Target="https://contrataciondelestado.es/wps/poc?uri=deeplink:detalle_licitacion&amp;idEvl=YTWotuVboIQSugstABGr5A%3D%3D" TargetMode="External" Id="rId3991"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3992" /><Relationship Type="http://schemas.openxmlformats.org/officeDocument/2006/relationships/hyperlink" Target="https://contrataciondelestado.es/wps/poc?uri=deeplink:detalle_licitacion&amp;idEvl=rxqVb7THKATzAq95uGTrDQ%3D%3D" TargetMode="External" Id="rId3993"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3994" /><Relationship Type="http://schemas.openxmlformats.org/officeDocument/2006/relationships/hyperlink" Target="https://contrataciondelestado.es/wps/poc?uri=deeplink:detalle_licitacion&amp;idEvl=ntgUSiKsrmLkY6rls5tG9A%3D%3D" TargetMode="External" Id="rId3995"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3996" /><Relationship Type="http://schemas.openxmlformats.org/officeDocument/2006/relationships/hyperlink" Target="https://contrataciondelestado.es/wps/poc?uri=deeplink:detalle_licitacion&amp;idEvl=lVIcwwPkEg9rSd8H4b2soA%3D%3D" TargetMode="External" Id="rId3997"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3998" /><Relationship Type="http://schemas.openxmlformats.org/officeDocument/2006/relationships/hyperlink" Target="https://contrataciondelestado.es/wps/poc?uri=deeplink:detalle_licitacion&amp;idEvl=DiJPuGS7p30%2B1TMyIiZmzw%3D%3D" TargetMode="External" Id="rId3999"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4000" /><Relationship Type="http://schemas.openxmlformats.org/officeDocument/2006/relationships/hyperlink" Target="https://contrataciondelestado.es/wps/poc?uri=deeplink:detalle_licitacion&amp;idEvl=nfO4f2ADf41xseVhcqrkhw%3D%3D" TargetMode="External" Id="rId4001"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4002" /><Relationship Type="http://schemas.openxmlformats.org/officeDocument/2006/relationships/hyperlink" Target="https://contrataciondelestado.es/wps/poc?uri=deeplink:detalle_licitacion&amp;idEvl=S%2FSrgSAdadAZDGvgaZEVxQ%3D%3D" TargetMode="External" Id="rId4003"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4004" /><Relationship Type="http://schemas.openxmlformats.org/officeDocument/2006/relationships/hyperlink" Target="https://contrataciondelestado.es/wps/poc?uri=deeplink:detalle_licitacion&amp;idEvl=%2BepjU5KiVjKHCIsjvJ3rhQ%3D%3D" TargetMode="External" Id="rId4005"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4006" /><Relationship Type="http://schemas.openxmlformats.org/officeDocument/2006/relationships/hyperlink" Target="https://contrataciondelestado.es/wps/poc?uri=deeplink:detalle_licitacion&amp;idEvl=QbUDxI2oMrh70UvEyYJSGw%3D%3D" TargetMode="External" Id="rId4007"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4008" /><Relationship Type="http://schemas.openxmlformats.org/officeDocument/2006/relationships/hyperlink" Target="https://contrataciondelestado.es/wps/poc?uri=deeplink:detalle_licitacion&amp;idEvl=FYnbpu9rjPSzz8fXU2i3eQ%3D%3D" TargetMode="External" Id="rId4009"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4010" /><Relationship Type="http://schemas.openxmlformats.org/officeDocument/2006/relationships/hyperlink" Target="https://contrataciondelestado.es/wps/poc?uri=deeplink:detalle_licitacion&amp;idEvl=8zGIO6k%2BO%2FXI8aL3PRS10Q%3D%3D" TargetMode="External" Id="rId4011"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4012" /><Relationship Type="http://schemas.openxmlformats.org/officeDocument/2006/relationships/hyperlink" Target="https://contrataciondelestado.es/wps/poc?uri=deeplink:detalle_licitacion&amp;idEvl=RleDfGIgCCv5Rey58Yagpg%3D%3D" TargetMode="External" Id="rId4013"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4014" /><Relationship Type="http://schemas.openxmlformats.org/officeDocument/2006/relationships/hyperlink" Target="https://contrataciondelestado.es/wps/poc?uri=deeplink:detalle_licitacion&amp;idEvl=YzbI%2F%2FaUh5M4NavIWzMcHA%3D%3D" TargetMode="External" Id="rId4015"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4016" /><Relationship Type="http://schemas.openxmlformats.org/officeDocument/2006/relationships/hyperlink" Target="https://contrataciondelestado.es/wps/poc?uri=deeplink:detalle_licitacion&amp;idEvl=sbi0gLGaXBGExvMJXBMHHQ%3D%3D" TargetMode="External" Id="rId4017"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4018" /><Relationship Type="http://schemas.openxmlformats.org/officeDocument/2006/relationships/hyperlink" Target="https://contrataciondelestado.es/wps/poc?uri=deeplink:detalle_licitacion&amp;idEvl=EB6e8sLa3JEaF6cS8TCh%2FA%3D%3D" TargetMode="External" Id="rId4019"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4020" /><Relationship Type="http://schemas.openxmlformats.org/officeDocument/2006/relationships/hyperlink" Target="https://contrataciondelestado.es/wps/poc?uri=deeplink:detalle_licitacion&amp;idEvl=uSI0EPypqPPgL1BHd3qjQA%3D%3D" TargetMode="External" Id="rId4021"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4022" /><Relationship Type="http://schemas.openxmlformats.org/officeDocument/2006/relationships/hyperlink" Target="https://contrataciondelestado.es/wps/poc?uri=deeplink:detalle_licitacion&amp;idEvl=WY39vfob6NydkQsA7ROvsg%3D%3D" TargetMode="External" Id="rId4023"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4024" /><Relationship Type="http://schemas.openxmlformats.org/officeDocument/2006/relationships/hyperlink" Target="https://contrataciondelestado.es/wps/poc?uri=deeplink:detalle_licitacion&amp;idEvl=vlT1Hojaml4mMOlAXxDEjw%3D%3D" TargetMode="External" Id="rId4025"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4026" /><Relationship Type="http://schemas.openxmlformats.org/officeDocument/2006/relationships/hyperlink" Target="https://contrataciondelestado.es/wps/poc?uri=deeplink:detalle_licitacion&amp;idEvl=%2BEngMnoWfmh9PLkba5eRog%3D%3D" TargetMode="External" Id="rId4027"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4028" /><Relationship Type="http://schemas.openxmlformats.org/officeDocument/2006/relationships/hyperlink" Target="https://contrataciondelestado.es/wps/poc?uri=deeplink:detalle_licitacion&amp;idEvl=tPq6dBPKOZWExvMJXBMHHQ%3D%3D" TargetMode="External" Id="rId4029"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4030" /><Relationship Type="http://schemas.openxmlformats.org/officeDocument/2006/relationships/hyperlink" Target="https://contrataciondelestado.es/wps/poc?uri=deeplink:detalle_licitacion&amp;idEvl=naiqzfHxsBvE6P%2FuLemXRw%3D%3D" TargetMode="External" Id="rId4031"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4032" /><Relationship Type="http://schemas.openxmlformats.org/officeDocument/2006/relationships/hyperlink" Target="https://contrataciondelestado.es/wps/poc?uri=deeplink:detalle_licitacion&amp;idEvl=9EX80%2FnPwTY2wEhQbcAqug%3D%3D" TargetMode="External" Id="rId4033"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4034" /><Relationship Type="http://schemas.openxmlformats.org/officeDocument/2006/relationships/hyperlink" Target="https://contrataciondelestado.es/wps/poc?uri=deeplink:detalle_licitacion&amp;idEvl=fy5FnSJpPPtLAIVZdUs8KA%3D%3D" TargetMode="External" Id="rId4035"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4036" /><Relationship Type="http://schemas.openxmlformats.org/officeDocument/2006/relationships/hyperlink" Target="https://contrataciondelestado.es/wps/poc?uri=deeplink:detalle_licitacion&amp;idEvl=bUGZuEEwJn5LAIVZdUs8KA%3D%3D" TargetMode="External" Id="rId4037" /><Relationship Type="http://schemas.openxmlformats.org/officeDocument/2006/relationships/hyperlink" Target="https://contrataciondelestado.es/wps/poc?uri=deeplink:detalle_licitacion&amp;idEvl=D5wO2xem9bA7%2B9FIQYNjeQ%3D%3D" TargetMode="External" Id="rId4038"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4039" /><Relationship Type="http://schemas.openxmlformats.org/officeDocument/2006/relationships/table" Target="/xl/tables/table2.xml" Id="rId4040" /></Relationships>
</file>

<file path=xl/worksheets/sheet1.xml><?xml version="1.0" encoding="utf-8"?>
<worksheet xmlns="http://schemas.openxmlformats.org/spreadsheetml/2006/main">
  <sheetPr>
    <outlinePr summaryBelow="1" summaryRight="1"/>
    <pageSetUpPr fitToPage="1"/>
  </sheetPr>
  <dimension ref="A1:Y10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46324.5</v>
      </c>
      <c r="C2" s="4">
        <f>IF(B2="","",INT(B2)-TODAY())</f>
        <v/>
      </c>
      <c r="D2" s="5" t="n">
        <v>20327126.55</v>
      </c>
      <c r="E2" s="5" t="n">
        <v>21140211.61</v>
      </c>
      <c r="F2" s="2" t="inlineStr">
        <is>
          <t>Andalucía</t>
        </is>
      </c>
      <c r="G2" s="2" t="inlineStr">
        <is>
          <t>Málaga</t>
        </is>
      </c>
      <c r="H2" s="2" t="inlineStr">
        <is>
          <t>Málaga</t>
        </is>
      </c>
      <c r="I2" s="2" t="inlineStr">
        <is>
          <t>Aena. Consejo de Administración</t>
        </is>
      </c>
      <c r="J2" s="2" t="inlineStr">
        <is>
          <t>Actuaciones En Pavimento En Rodadura A Y Salidas Asociadas. Aeropuerto De Málaga - Costa Del Sol.</t>
        </is>
      </c>
      <c r="K2" s="2" t="inlineStr">
        <is>
          <t>DIN-442/2026</t>
        </is>
      </c>
      <c r="L2" s="2" t="inlineStr">
        <is>
          <t>Licitación con negociación</t>
        </is>
      </c>
      <c r="M2" s="6" t="n">
        <v>37</v>
      </c>
      <c r="N2" s="2" t="n"/>
      <c r="O2" s="7" t="n">
        <v>0</v>
      </c>
      <c r="P2" s="2" t="inlineStr">
        <is>
          <t>Precio 100</t>
        </is>
      </c>
      <c r="Q2" s="2" t="n"/>
      <c r="R2" s="2" t="n"/>
      <c r="S2" s="4" t="n"/>
      <c r="T2" s="2" t="inlineStr">
        <is>
          <t>45235311</t>
        </is>
      </c>
      <c r="U2" s="8" t="inlineStr">
        <is>
          <t>PCAP</t>
        </is>
      </c>
      <c r="V2" s="8" t="inlineStr">
        <is>
          <t>PPT</t>
        </is>
      </c>
      <c r="W2" s="8" t="inlineStr">
        <is>
          <t>Ver</t>
        </is>
      </c>
      <c r="X2" s="9" t="n">
        <v>46314</v>
      </c>
      <c r="Y2" s="2" t="n"/>
    </row>
    <row r="3">
      <c r="A3" s="2" t="n"/>
      <c r="B3" s="3" t="n">
        <v>46324.58333333334</v>
      </c>
      <c r="C3" s="4">
        <f>IF(B3="","",INT(B3)-TODAY())</f>
        <v/>
      </c>
      <c r="D3" s="5" t="n">
        <v>743801.65</v>
      </c>
      <c r="E3" s="5" t="n">
        <v>743801.65</v>
      </c>
      <c r="F3" s="2" t="inlineStr">
        <is>
          <t>Andalucía</t>
        </is>
      </c>
      <c r="G3" s="2" t="inlineStr">
        <is>
          <t>Sevilla</t>
        </is>
      </c>
      <c r="H3" s="2" t="n"/>
      <c r="I3" s="2" t="inlineStr">
        <is>
          <t>Alcaldia del Ayuntamiento de Pilas</t>
        </is>
      </c>
      <c r="J3" s="2" t="inlineStr">
        <is>
          <t>Ejecución de la obra "Proyecto de reasfaltado 2026, de Pilas (Sevilla).</t>
        </is>
      </c>
      <c r="K3" s="2" t="inlineStr">
        <is>
          <t>P4107500C-2026/000082-PAAS</t>
        </is>
      </c>
      <c r="L3" s="2" t="inlineStr">
        <is>
          <t>Abierto simplificado</t>
        </is>
      </c>
      <c r="M3" s="6" t="n">
        <v>6</v>
      </c>
      <c r="N3" s="2" t="inlineStr">
        <is>
          <t>G4-3; G*-3</t>
        </is>
      </c>
      <c r="O3" s="7" t="n">
        <v>0</v>
      </c>
      <c r="P3" s="2" t="inlineStr">
        <is>
          <t>Reducción del plazo de ejecución [2] 10 | Aspecto Económico (precio) [1] 75 | Mejoras [3] 15</t>
        </is>
      </c>
      <c r="Q3" s="2" t="n"/>
      <c r="R3" s="2" t="n"/>
      <c r="S3" s="4" t="n"/>
      <c r="T3" s="2" t="inlineStr">
        <is>
          <t>45233222</t>
        </is>
      </c>
      <c r="U3" s="8" t="inlineStr">
        <is>
          <t>PCAP</t>
        </is>
      </c>
      <c r="V3" s="8" t="inlineStr">
        <is>
          <t>PPT</t>
        </is>
      </c>
      <c r="W3" s="8" t="inlineStr">
        <is>
          <t>Ver</t>
        </is>
      </c>
      <c r="X3" s="9" t="n">
        <v>46310</v>
      </c>
      <c r="Y3" s="2" t="n"/>
    </row>
    <row r="4">
      <c r="A4" s="2" t="n"/>
      <c r="B4" s="3" t="n">
        <v>46324.625</v>
      </c>
      <c r="C4" s="4">
        <f>IF(B4="","",INT(B4)-TODAY())</f>
        <v/>
      </c>
      <c r="D4" s="5" t="n">
        <v>799446.1899999999</v>
      </c>
      <c r="E4" s="5" t="n">
        <v>959335.4300000001</v>
      </c>
      <c r="F4" s="2" t="inlineStr">
        <is>
          <t>Andalucía</t>
        </is>
      </c>
      <c r="G4" s="2" t="inlineStr">
        <is>
          <t>Málaga</t>
        </is>
      </c>
      <c r="H4" s="2" t="inlineStr">
        <is>
          <t>Torre de Benagalbón, término municipal de Rincón de la Victoria</t>
        </is>
      </c>
      <c r="I4" s="2" t="inlineStr">
        <is>
          <t>Alcaldía del Ayuntamiento de Rincón de la Victoria</t>
        </is>
      </c>
      <c r="J4" s="2" t="inlineStr">
        <is>
          <t>Aparcamientos en sótano del Pabellón Rubén Ruzafa</t>
        </is>
      </c>
      <c r="K4" s="2" t="inlineStr">
        <is>
          <t>Contratación 57/26</t>
        </is>
      </c>
      <c r="L4" s="2" t="inlineStr">
        <is>
          <t>Abierto simplificado</t>
        </is>
      </c>
      <c r="M4" s="6" t="n">
        <v>8</v>
      </c>
      <c r="N4" s="2" t="inlineStr">
        <is>
          <t>C4-3</t>
        </is>
      </c>
      <c r="O4" s="7" t="n">
        <v>0.25</v>
      </c>
      <c r="P4" s="2" t="inlineStr">
        <is>
          <t>Reducción del plazo de ejecución al estipulado en el PCAP 30 | Programa de los trabajos compatibilizando la ejecución de obra con el funcionamiento del Pabellón 10 (JV) | Memoria de desarrollo del proyecto, las obras y propuestas para la mejora de la eficiencia y calidad de los trabajos 15 (JV) | Oferta económica 30 | Ampliación del plazo de garantía a añadir al estipulado en el PCAP 15</t>
        </is>
      </c>
      <c r="Q4" s="2" t="inlineStr">
        <is>
          <t>definitiva 5%</t>
        </is>
      </c>
      <c r="R4" s="2" t="inlineStr">
        <is>
          <t>No procede (Punto 6 del Anexo I)</t>
        </is>
      </c>
      <c r="S4" s="4" t="n"/>
      <c r="T4" s="2" t="inlineStr">
        <is>
          <t>45000000; 45223310</t>
        </is>
      </c>
      <c r="U4" s="8" t="inlineStr">
        <is>
          <t>PCAP</t>
        </is>
      </c>
      <c r="V4" s="8" t="inlineStr">
        <is>
          <t>PPT</t>
        </is>
      </c>
      <c r="W4" s="8" t="inlineStr">
        <is>
          <t>Ver</t>
        </is>
      </c>
      <c r="X4" s="9" t="n">
        <v>46317</v>
      </c>
      <c r="Y4" s="2" t="inlineStr">
        <is>
          <t>2026-10-23: plazo 2026-10-26 15:00 → 2026-10-29 15:00</t>
        </is>
      </c>
    </row>
    <row r="5">
      <c r="A5" s="2" t="n"/>
      <c r="B5" s="3" t="n">
        <v>46324.99930555555</v>
      </c>
      <c r="C5" s="4">
        <f>IF(B5="","",INT(B5)-TODAY())</f>
        <v/>
      </c>
      <c r="D5" s="5" t="n">
        <v>667189.24</v>
      </c>
      <c r="E5" s="5" t="n">
        <v>667189.24</v>
      </c>
      <c r="F5" s="2" t="inlineStr">
        <is>
          <t>Andalucía</t>
        </is>
      </c>
      <c r="G5" s="2" t="inlineStr">
        <is>
          <t>Huelva</t>
        </is>
      </c>
      <c r="H5" s="2" t="inlineStr">
        <is>
          <t>ISLA CRISTINA</t>
        </is>
      </c>
      <c r="I5" s="2" t="inlineStr">
        <is>
          <t>Alcaldía del Ayuntamiento de Isla Cristina</t>
        </is>
      </c>
      <c r="J5" s="2" t="inlineStr">
        <is>
          <t>Obras Proyecto de renovación y mejora de la eficiencia energética de las instalaciones de alumbrado público exterior del municipio de Isla Cristina.</t>
        </is>
      </c>
      <c r="K5" s="2" t="inlineStr">
        <is>
          <t>5773/2026</t>
        </is>
      </c>
      <c r="L5" s="2" t="inlineStr">
        <is>
          <t>Abierto simplificado</t>
        </is>
      </c>
      <c r="M5" s="6" t="n">
        <v>6.1</v>
      </c>
      <c r="N5" s="2" t="inlineStr">
        <is>
          <t>I1-3</t>
        </is>
      </c>
      <c r="O5" s="7" t="n">
        <v>0.25</v>
      </c>
      <c r="P5" s="2" t="inlineStr">
        <is>
          <t>Ampliación plazo garantía 10 | Oferta económica 60 | Calidad técnica de la propuesta de ejecución 25 (JV) | Primera intervención efectiva ante incidencias cubiertas por la garantía 5</t>
        </is>
      </c>
      <c r="Q5" s="2" t="inlineStr">
        <is>
          <t>definitiva 5%</t>
        </is>
      </c>
      <c r="R5" s="2" t="n"/>
      <c r="S5" s="4" t="n"/>
      <c r="T5" s="2" t="inlineStr">
        <is>
          <t>45316100; 45315600</t>
        </is>
      </c>
      <c r="U5" s="8" t="inlineStr">
        <is>
          <t>PCAP</t>
        </is>
      </c>
      <c r="V5" s="8" t="inlineStr">
        <is>
          <t>PPT</t>
        </is>
      </c>
      <c r="W5" s="8" t="inlineStr">
        <is>
          <t>Ver</t>
        </is>
      </c>
      <c r="X5" s="9" t="n">
        <v>46310</v>
      </c>
      <c r="Y5" s="2" t="n"/>
    </row>
    <row r="6">
      <c r="A6" s="2" t="n"/>
      <c r="B6" s="3" t="n">
        <v>46324.99930555555</v>
      </c>
      <c r="C6" s="4">
        <f>IF(B6="","",INT(B6)-TODAY())</f>
        <v/>
      </c>
      <c r="D6" s="5" t="n">
        <v>568417.8100000001</v>
      </c>
      <c r="E6" s="5" t="n">
        <v>568417.8100000001</v>
      </c>
      <c r="F6" s="2" t="inlineStr">
        <is>
          <t>Andalucía</t>
        </is>
      </c>
      <c r="G6" s="2" t="inlineStr">
        <is>
          <t>Huelva</t>
        </is>
      </c>
      <c r="H6" s="2" t="inlineStr">
        <is>
          <t>BONARES</t>
        </is>
      </c>
      <c r="I6" s="2" t="inlineStr">
        <is>
          <t>Alcaldia del Ayuntamiento de Bonares</t>
        </is>
      </c>
      <c r="J6" s="2" t="inlineStr">
        <is>
          <t>Creación de aparcamiento y plaza pública ajardinada en Avda. Nuestra Señora del Rocío nº 3 de Bonares (Huelva</t>
        </is>
      </c>
      <c r="K6" s="2" t="inlineStr">
        <is>
          <t>4654/2026</t>
        </is>
      </c>
      <c r="L6" s="2" t="inlineStr">
        <is>
          <t>Abierto simplificado</t>
        </is>
      </c>
      <c r="M6" s="6" t="n">
        <v>12</v>
      </c>
      <c r="N6" s="2" t="inlineStr">
        <is>
          <t>C*-3</t>
        </is>
      </c>
      <c r="O6" s="7" t="n">
        <v>0</v>
      </c>
      <c r="P6" s="2" t="inlineStr">
        <is>
          <t>REDUCCIÓN DEL PLAZO DE EJECUCIÓN 12 | OFERTA ECONÓMICA 68 | AUMENTO PLAZO DE GARANTÍA 20</t>
        </is>
      </c>
      <c r="Q6" s="2" t="inlineStr">
        <is>
          <t>definitiva 5%</t>
        </is>
      </c>
      <c r="R6" s="2" t="inlineStr">
        <is>
          <t>No se prevé la revisión de precios (Cláusula 6.9. del PCAP).</t>
        </is>
      </c>
      <c r="S6" s="4" t="n"/>
      <c r="T6" s="2" t="inlineStr">
        <is>
          <t>45220000; 45223000; 45000000</t>
        </is>
      </c>
      <c r="U6" s="8" t="inlineStr">
        <is>
          <t>PCAP</t>
        </is>
      </c>
      <c r="V6" s="8" t="inlineStr">
        <is>
          <t>PPT</t>
        </is>
      </c>
      <c r="W6" s="8" t="inlineStr">
        <is>
          <t>Ver</t>
        </is>
      </c>
      <c r="X6" s="9" t="n">
        <v>46310</v>
      </c>
      <c r="Y6" s="2" t="n"/>
    </row>
    <row r="7">
      <c r="A7" s="2" t="n"/>
      <c r="B7" s="3" t="n">
        <v>46325.58333333334</v>
      </c>
      <c r="C7" s="4">
        <f>IF(B7="","",INT(B7)-TODAY())</f>
        <v/>
      </c>
      <c r="D7" s="5" t="n">
        <v>1540129.68</v>
      </c>
      <c r="E7" s="5" t="n">
        <v>1540129.68</v>
      </c>
      <c r="F7" s="2" t="inlineStr">
        <is>
          <t>Andalucía</t>
        </is>
      </c>
      <c r="G7" s="2" t="inlineStr">
        <is>
          <t>Granada</t>
        </is>
      </c>
      <c r="H7" s="2" t="inlineStr">
        <is>
          <t>Granada</t>
        </is>
      </c>
      <c r="I7" s="2" t="inlineStr">
        <is>
          <t>Secretaría General de la Agencia Estatal Consejo Superior de Investigaciones Científicas</t>
        </is>
      </c>
      <c r="J7" s="2" t="inlineStr">
        <is>
          <t>Obras de nuevo edificio del Instituto de Astrofísica de Andalucía</t>
        </is>
      </c>
      <c r="K7" s="2" t="inlineStr">
        <is>
          <t>35349/26</t>
        </is>
      </c>
      <c r="L7" s="2" t="inlineStr">
        <is>
          <t>Abierto simplificado</t>
        </is>
      </c>
      <c r="M7" s="6" t="n">
        <v>12</v>
      </c>
      <c r="N7" s="2" t="n"/>
      <c r="O7" s="7" t="n">
        <v>0.25</v>
      </c>
      <c r="P7"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7" s="2" t="n"/>
      <c r="R7" s="2" t="n"/>
      <c r="S7" s="4" t="n"/>
      <c r="T7" s="2" t="inlineStr">
        <is>
          <t>45214000; 45214600; 45213150</t>
        </is>
      </c>
      <c r="U7" s="8" t="inlineStr">
        <is>
          <t>PCAP</t>
        </is>
      </c>
      <c r="V7" s="8" t="inlineStr">
        <is>
          <t>PPT</t>
        </is>
      </c>
      <c r="W7" s="8" t="inlineStr">
        <is>
          <t>Ver</t>
        </is>
      </c>
      <c r="X7" s="9" t="n">
        <v>46310</v>
      </c>
      <c r="Y7" s="2" t="n"/>
    </row>
    <row r="8">
      <c r="A8" s="2" t="n"/>
      <c r="B8" s="3" t="n">
        <v>46328.33333333334</v>
      </c>
      <c r="C8" s="4">
        <f>IF(B8="","",INT(B8)-TODAY())</f>
        <v/>
      </c>
      <c r="D8" s="5" t="n">
        <v>1189873.92</v>
      </c>
      <c r="E8" s="5" t="n">
        <v>1189873.92</v>
      </c>
      <c r="F8" s="2" t="inlineStr">
        <is>
          <t>Comunitat Valenciana</t>
        </is>
      </c>
      <c r="G8" s="2" t="inlineStr">
        <is>
          <t>Alicante</t>
        </is>
      </c>
      <c r="H8" s="2" t="inlineStr">
        <is>
          <t>ORIHUELA</t>
        </is>
      </c>
      <c r="I8" s="2" t="inlineStr">
        <is>
          <t>Junta de Gobierno del Ayuntamiento de Orihuela</t>
        </is>
      </c>
      <c r="J8" s="2" t="inlineStr">
        <is>
          <t>Rehabilitación de Paramentos y Acondicionamiento de Sala de hombres en el Museo Arqueológico Comarcal de Orihuela</t>
        </is>
      </c>
      <c r="K8" s="2" t="inlineStr">
        <is>
          <t>4727/2026 BIS</t>
        </is>
      </c>
      <c r="L8" s="2" t="inlineStr">
        <is>
          <t>Abierto simplificado</t>
        </is>
      </c>
      <c r="M8" s="6" t="n">
        <v>12</v>
      </c>
      <c r="N8" s="2" t="inlineStr">
        <is>
          <t>C*-3; K7-3</t>
        </is>
      </c>
      <c r="O8" s="7" t="n">
        <v>0.25</v>
      </c>
      <c r="P8" s="2" t="inlineStr">
        <is>
          <t>Ampliación del plazo de garantía 30 | OFERTA ECONÓMICA (Sin IVA) 45 | Estudio de unidades de obra del proyecto 15 (JV) | Estudio de mediciones del proyecto 10 (JV)</t>
        </is>
      </c>
      <c r="Q8" s="2" t="inlineStr">
        <is>
          <t>complementaria 5%; definitiva 5%</t>
        </is>
      </c>
      <c r="R8" s="2" t="n"/>
      <c r="S8" s="4" t="n"/>
      <c r="T8" s="2" t="inlineStr">
        <is>
          <t>45000000; 45454100; 45453000</t>
        </is>
      </c>
      <c r="U8" s="8" t="inlineStr">
        <is>
          <t>PCAP</t>
        </is>
      </c>
      <c r="V8" s="8" t="inlineStr">
        <is>
          <t>PPT</t>
        </is>
      </c>
      <c r="W8" s="8" t="inlineStr">
        <is>
          <t>Ver</t>
        </is>
      </c>
      <c r="X8" s="9" t="n">
        <v>46310</v>
      </c>
      <c r="Y8" s="2" t="n"/>
    </row>
    <row r="9">
      <c r="A9" s="2" t="n"/>
      <c r="B9" s="3" t="n">
        <v>46328.58333333334</v>
      </c>
      <c r="C9" s="4">
        <f>IF(B9="","",INT(B9)-TODAY())</f>
        <v/>
      </c>
      <c r="D9" s="5" t="n">
        <v>557102.23</v>
      </c>
      <c r="E9" s="5" t="n">
        <v>557102.23</v>
      </c>
      <c r="F9" s="2" t="inlineStr">
        <is>
          <t>Comunitat Valenciana</t>
        </is>
      </c>
      <c r="G9" s="2" t="inlineStr">
        <is>
          <t>Valencia</t>
        </is>
      </c>
      <c r="H9" s="2" t="inlineStr">
        <is>
          <t>REQUENA</t>
        </is>
      </c>
      <c r="I9" s="2" t="inlineStr">
        <is>
          <t>Junta de Gobierno Local del Ayuntamiento de Requena</t>
        </is>
      </c>
      <c r="J9" s="2" t="inlineStr">
        <is>
          <t>Demolicion y construccion Centro Social de Campo Arcís</t>
        </is>
      </c>
      <c r="K9" s="2" t="inlineStr">
        <is>
          <t>2896352M</t>
        </is>
      </c>
      <c r="L9" s="2" t="inlineStr">
        <is>
          <t>Abierto simplificado</t>
        </is>
      </c>
      <c r="M9" s="6" t="n">
        <v>24</v>
      </c>
      <c r="N9" s="2" t="n"/>
      <c r="O9" s="7" t="n">
        <v>0</v>
      </c>
      <c r="P9" s="2" t="inlineStr">
        <is>
          <t>Mejora en el Precio, 100 puntos 100</t>
        </is>
      </c>
      <c r="Q9" s="2" t="inlineStr">
        <is>
          <t>definitiva 5%</t>
        </is>
      </c>
      <c r="R9" s="2" t="n"/>
      <c r="S9" s="4" t="n"/>
      <c r="T9" s="2" t="inlineStr">
        <is>
          <t>45211350; 45111100</t>
        </is>
      </c>
      <c r="U9" s="8" t="inlineStr">
        <is>
          <t>PCAP</t>
        </is>
      </c>
      <c r="V9" s="8" t="inlineStr">
        <is>
          <t>PPT</t>
        </is>
      </c>
      <c r="W9" s="8" t="inlineStr">
        <is>
          <t>Ver</t>
        </is>
      </c>
      <c r="X9" s="9" t="n">
        <v>46310</v>
      </c>
      <c r="Y9" s="2" t="n"/>
    </row>
    <row r="10">
      <c r="A10" s="2" t="n"/>
      <c r="B10" s="3" t="n">
        <v>46328.58333333334</v>
      </c>
      <c r="C10" s="4">
        <f>IF(B10="","",INT(B10)-TODAY())</f>
        <v/>
      </c>
      <c r="D10" s="5" t="n">
        <v>814296.7</v>
      </c>
      <c r="E10" s="5" t="n">
        <v>814296.7</v>
      </c>
      <c r="F10" s="2" t="inlineStr">
        <is>
          <t>Comunitat Valenciana</t>
        </is>
      </c>
      <c r="G10" s="2" t="inlineStr">
        <is>
          <t>Valencia</t>
        </is>
      </c>
      <c r="H10" s="2" t="inlineStr">
        <is>
          <t>Turís</t>
        </is>
      </c>
      <c r="I10" s="2" t="inlineStr">
        <is>
          <t>Alcaldía del Ayuntamiento de Turis</t>
        </is>
      </c>
      <c r="J10" s="2" t="inlineStr">
        <is>
          <t>Urbanización calles perimetrales parcela nuevo CEIP</t>
        </is>
      </c>
      <c r="K10" s="2" t="inlineStr">
        <is>
          <t>3385/2026</t>
        </is>
      </c>
      <c r="L10" s="2" t="inlineStr">
        <is>
          <t>Abierto simplificado</t>
        </is>
      </c>
      <c r="M10" s="6" t="n">
        <v>5</v>
      </c>
      <c r="N10" s="2" t="n"/>
      <c r="O10" s="7" t="n">
        <v>0</v>
      </c>
      <c r="P10" s="2" t="inlineStr">
        <is>
          <t>Precio 100</t>
        </is>
      </c>
      <c r="Q10" s="2" t="inlineStr">
        <is>
          <t>definitiva 5%</t>
        </is>
      </c>
      <c r="R10" s="2" t="n"/>
      <c r="S10" s="4" t="n"/>
      <c r="T10" s="2" t="inlineStr">
        <is>
          <t>45233140</t>
        </is>
      </c>
      <c r="U10" s="8" t="inlineStr">
        <is>
          <t>PCAP</t>
        </is>
      </c>
      <c r="V10" s="8" t="inlineStr">
        <is>
          <t>PPT</t>
        </is>
      </c>
      <c r="W10" s="8" t="inlineStr">
        <is>
          <t>Ver</t>
        </is>
      </c>
      <c r="X10" s="9" t="n">
        <v>46310</v>
      </c>
      <c r="Y10" s="2" t="n"/>
    </row>
    <row r="11">
      <c r="A11" s="2" t="n"/>
      <c r="B11" s="3" t="n">
        <v>46328.58333333334</v>
      </c>
      <c r="C11" s="4">
        <f>IF(B11="","",INT(B11)-TODAY())</f>
        <v/>
      </c>
      <c r="D11" s="5" t="n">
        <v>40000000</v>
      </c>
      <c r="E11" s="5" t="n">
        <v>80000000</v>
      </c>
      <c r="F11" s="2" t="inlineStr">
        <is>
          <t>Andalucía</t>
        </is>
      </c>
      <c r="G11" s="2" t="inlineStr">
        <is>
          <t>Almería</t>
        </is>
      </c>
      <c r="H11" s="2" t="n"/>
      <c r="I11" s="2" t="inlineStr">
        <is>
          <t>Empresa de Transformación Agraria S.A.,S.M.E., M.P., (TRAGSA)</t>
        </is>
      </c>
      <c r="J11"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K11" s="2" t="inlineStr">
        <is>
          <t>TSA0084163</t>
        </is>
      </c>
      <c r="L11" s="2" t="inlineStr">
        <is>
          <t>Abierto</t>
        </is>
      </c>
      <c r="M11" s="6" t="n">
        <v>24</v>
      </c>
      <c r="N11" s="2" t="inlineStr">
        <is>
          <t>D*-1; A*-1; K*-1; C*-1; G*-1; E*-1</t>
        </is>
      </c>
      <c r="O11" s="7" t="n">
        <v>0</v>
      </c>
      <c r="P11" s="2" t="inlineStr">
        <is>
          <t>Precio de la oferta 100</t>
        </is>
      </c>
      <c r="Q11" s="2" t="n"/>
      <c r="R11" s="2" t="inlineStr">
        <is>
          <t>No</t>
        </is>
      </c>
      <c r="S11" s="4" t="n"/>
      <c r="T11" s="2" t="inlineStr">
        <is>
          <t>45500000</t>
        </is>
      </c>
      <c r="U11" s="8" t="inlineStr">
        <is>
          <t>PCAP</t>
        </is>
      </c>
      <c r="V11" s="8" t="inlineStr">
        <is>
          <t>PPT</t>
        </is>
      </c>
      <c r="W11" s="8" t="inlineStr">
        <is>
          <t>Ver</t>
        </is>
      </c>
      <c r="X11" s="9" t="n">
        <v>46314</v>
      </c>
      <c r="Y11" s="2" t="inlineStr">
        <is>
          <t>2026-10-20: estado PRE → PUB</t>
        </is>
      </c>
    </row>
    <row r="12">
      <c r="A12" s="2" t="n"/>
      <c r="B12" s="3" t="n">
        <v>46328.99930555555</v>
      </c>
      <c r="C12" s="4">
        <f>IF(B12="","",INT(B12)-TODAY())</f>
        <v/>
      </c>
      <c r="D12" s="5" t="n">
        <v>4502927.26</v>
      </c>
      <c r="E12" s="5" t="n">
        <v>4502927.26</v>
      </c>
      <c r="F12" s="2" t="inlineStr">
        <is>
          <t>Comunitat Valenciana</t>
        </is>
      </c>
      <c r="G12" s="2" t="inlineStr">
        <is>
          <t>Valencia</t>
        </is>
      </c>
      <c r="H12" s="2" t="n"/>
      <c r="I12" s="2" t="inlineStr">
        <is>
          <t>Pleno del Ayuntamiento de Carlet</t>
        </is>
      </c>
      <c r="J12" s="2" t="inlineStr">
        <is>
          <t>Obras de restitución de las canalizaciones de la red de agua potable y de la red de saneamiento y pavimentación de la Ronda Malecón, financiadas con cargo al Fondo de Solidaridad de la Unión Europea</t>
        </is>
      </c>
      <c r="K12" s="2" t="inlineStr">
        <is>
          <t>3018/2026</t>
        </is>
      </c>
      <c r="L12" s="2" t="inlineStr">
        <is>
          <t>Abierto</t>
        </is>
      </c>
      <c r="M12" s="6" t="n">
        <v>12</v>
      </c>
      <c r="N12" s="2" t="inlineStr">
        <is>
          <t>E*-5</t>
        </is>
      </c>
      <c r="O12" s="7" t="n">
        <v>0</v>
      </c>
      <c r="P12" s="2" t="inlineStr">
        <is>
          <t>Ampliación del plazo de garantía 10 | Uso de materiales con menor huella de carbono 20 | Reducción del plazo de ejecución 20 | Oferta económica 50</t>
        </is>
      </c>
      <c r="Q12" s="2" t="inlineStr">
        <is>
          <t>definitiva 5%</t>
        </is>
      </c>
      <c r="R12" s="2" t="n"/>
      <c r="S12" s="4" t="n"/>
      <c r="T12" s="2" t="inlineStr">
        <is>
          <t>45240000; 45233200; 45232150; 45232440</t>
        </is>
      </c>
      <c r="U12" s="8" t="inlineStr">
        <is>
          <t>PCAP</t>
        </is>
      </c>
      <c r="V12" s="8" t="inlineStr">
        <is>
          <t>PPT</t>
        </is>
      </c>
      <c r="W12" s="8" t="inlineStr">
        <is>
          <t>Ver</t>
        </is>
      </c>
      <c r="X12" s="9" t="n">
        <v>46310</v>
      </c>
      <c r="Y12" s="2" t="n"/>
    </row>
    <row r="13">
      <c r="A13" s="2" t="n"/>
      <c r="B13" s="3" t="n">
        <v>46329.45833333334</v>
      </c>
      <c r="C13" s="4">
        <f>IF(B13="","",INT(B13)-TODAY())</f>
        <v/>
      </c>
      <c r="D13" s="5" t="n">
        <v>590000</v>
      </c>
      <c r="E13" s="5" t="n">
        <v>590000</v>
      </c>
      <c r="F13" s="2" t="inlineStr">
        <is>
          <t>Andalucía</t>
        </is>
      </c>
      <c r="G13" s="2" t="inlineStr">
        <is>
          <t>Cádiz</t>
        </is>
      </c>
      <c r="H13" s="2" t="n"/>
      <c r="I13" s="2" t="inlineStr">
        <is>
          <t>Comité Central de Compras de Navantia S.A., S.M.E.</t>
        </is>
      </c>
      <c r="J13" s="2" t="inlineStr">
        <is>
          <t>Licitación para la adjudicación de un Contrato para los trabajos de rehabilitación de accesos, protecciones colectivas y líneas de vida en grúas en Navantia Cádiz.</t>
        </is>
      </c>
      <c r="K13" s="2" t="inlineStr">
        <is>
          <t>5100075545 Líneas Vida Grúas Navantia Cádiz</t>
        </is>
      </c>
      <c r="L13" s="2" t="inlineStr">
        <is>
          <t>Normas internas</t>
        </is>
      </c>
      <c r="M13" s="6" t="n">
        <v>7</v>
      </c>
      <c r="N13" s="2" t="n"/>
      <c r="O13" s="7" t="n">
        <v>1</v>
      </c>
      <c r="P13" s="2" t="inlineStr">
        <is>
          <t>Según PPT y PCP 100 (JV)</t>
        </is>
      </c>
      <c r="Q13" s="2" t="n"/>
      <c r="R13" s="2" t="n"/>
      <c r="S13" s="4" t="n"/>
      <c r="T13" s="2" t="inlineStr">
        <is>
          <t>45262600; 45340000</t>
        </is>
      </c>
      <c r="U13" s="8" t="inlineStr">
        <is>
          <t>PCAP</t>
        </is>
      </c>
      <c r="V13" s="8" t="inlineStr">
        <is>
          <t>PPT</t>
        </is>
      </c>
      <c r="W13" s="8" t="inlineStr">
        <is>
          <t>Ver</t>
        </is>
      </c>
      <c r="X13" s="9" t="n">
        <v>46310</v>
      </c>
      <c r="Y13" s="2" t="inlineStr">
        <is>
          <t>2026-10-26: plazo 2026-10-28 12:00 → 2026-11-03 11:00</t>
        </is>
      </c>
    </row>
    <row r="14">
      <c r="A14" s="2" t="n"/>
      <c r="B14" s="3" t="n">
        <v>46329.5</v>
      </c>
      <c r="C14" s="4">
        <f>IF(B14="","",INT(B14)-TODAY())</f>
        <v/>
      </c>
      <c r="D14" s="5" t="n">
        <v>41658023.15</v>
      </c>
      <c r="E14" s="5" t="n">
        <v>43324344.08</v>
      </c>
      <c r="F14" s="2" t="inlineStr">
        <is>
          <t>Comunitat Valenciana</t>
        </is>
      </c>
      <c r="G14" s="2" t="inlineStr">
        <is>
          <t>Valencia</t>
        </is>
      </c>
      <c r="H14" s="2" t="inlineStr">
        <is>
          <t>Valencia / València</t>
        </is>
      </c>
      <c r="I14" s="2" t="inlineStr">
        <is>
          <t>Aena. Consejo de Administración</t>
        </is>
      </c>
      <c r="J14" s="2" t="inlineStr">
        <is>
          <t>Recrecido De Pista, Adecuación De Calles De Rodaje Y Mejora Del Camino Perimetral. Aeropuerto De Valencia</t>
        </is>
      </c>
      <c r="K14" s="2" t="inlineStr">
        <is>
          <t>DIN-350/2026</t>
        </is>
      </c>
      <c r="L14" s="2" t="inlineStr">
        <is>
          <t>Licitación con negociación</t>
        </is>
      </c>
      <c r="M14" s="6" t="n">
        <v>27</v>
      </c>
      <c r="N14" s="2" t="n"/>
      <c r="O14" s="7" t="n">
        <v>0</v>
      </c>
      <c r="P14" s="2" t="inlineStr">
        <is>
          <t>Precio 100</t>
        </is>
      </c>
      <c r="Q14" s="2" t="n"/>
      <c r="R14" s="2" t="n"/>
      <c r="S14" s="4" t="n"/>
      <c r="T14" s="2" t="inlineStr">
        <is>
          <t>45235000</t>
        </is>
      </c>
      <c r="U14" s="8" t="inlineStr">
        <is>
          <t>PCAP</t>
        </is>
      </c>
      <c r="V14" s="8" t="inlineStr">
        <is>
          <t>PPT</t>
        </is>
      </c>
      <c r="W14" s="8" t="inlineStr">
        <is>
          <t>Ver</t>
        </is>
      </c>
      <c r="X14" s="9" t="n">
        <v>46317</v>
      </c>
      <c r="Y14" s="2" t="n"/>
    </row>
    <row r="15">
      <c r="A15" s="2" t="n"/>
      <c r="B15" s="3" t="n">
        <v>46329.58333333334</v>
      </c>
      <c r="C15" s="4">
        <f>IF(B15="","",INT(B15)-TODAY())</f>
        <v/>
      </c>
      <c r="D15" s="5" t="n">
        <v>988010.83</v>
      </c>
      <c r="E15" s="5" t="n">
        <v>988010.83</v>
      </c>
      <c r="F15" s="2" t="inlineStr">
        <is>
          <t>Andalucía</t>
        </is>
      </c>
      <c r="G15" s="2" t="inlineStr">
        <is>
          <t>Sevilla</t>
        </is>
      </c>
      <c r="H15" s="2" t="inlineStr">
        <is>
          <t>Gines</t>
        </is>
      </c>
      <c r="I15" s="2" t="inlineStr">
        <is>
          <t>Junta de Gobierno Local del Ayuntamiento de Gines</t>
        </is>
      </c>
      <c r="J15" s="2" t="inlineStr">
        <is>
          <t>Obras de rehabilitación y adecuación de inmueble municipal en plantas baja y sótano para aparcamiento público municipal y locales de usos culturales y sociales.</t>
        </is>
      </c>
      <c r="K15" s="2" t="inlineStr">
        <is>
          <t>6859/2026</t>
        </is>
      </c>
      <c r="L15" s="2" t="inlineStr">
        <is>
          <t>Abierto simplificado</t>
        </is>
      </c>
      <c r="M15" s="6" t="n">
        <v>6</v>
      </c>
      <c r="N15" s="2" t="inlineStr">
        <is>
          <t>C*-2</t>
        </is>
      </c>
      <c r="O15" s="7" t="n">
        <v>0.25</v>
      </c>
      <c r="P15"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15" s="2" t="inlineStr">
        <is>
          <t>definitiva 5%</t>
        </is>
      </c>
      <c r="R15" s="2" t="n"/>
      <c r="S15" s="4" t="n"/>
      <c r="T15" s="2" t="inlineStr">
        <is>
          <t>45453100; 45313100; 45331210</t>
        </is>
      </c>
      <c r="U15" s="8" t="inlineStr">
        <is>
          <t>PCAP</t>
        </is>
      </c>
      <c r="V15" s="8" t="inlineStr">
        <is>
          <t>PPT</t>
        </is>
      </c>
      <c r="W15" s="8" t="inlineStr">
        <is>
          <t>Ver</t>
        </is>
      </c>
      <c r="X15" s="9" t="n">
        <v>46310</v>
      </c>
      <c r="Y15" s="2" t="n"/>
    </row>
    <row r="16">
      <c r="A16" s="2" t="n"/>
      <c r="B16" s="3" t="n">
        <v>46329.79166666666</v>
      </c>
      <c r="C16" s="4">
        <f>IF(B16="","",INT(B16)-TODAY())</f>
        <v/>
      </c>
      <c r="D16" s="5" t="n">
        <v>669122.0600000001</v>
      </c>
      <c r="E16" s="5" t="n">
        <v>669122.0600000001</v>
      </c>
      <c r="F16" s="2" t="inlineStr">
        <is>
          <t>Andalucía</t>
        </is>
      </c>
      <c r="G16" s="2" t="inlineStr">
        <is>
          <t>Córdoba</t>
        </is>
      </c>
      <c r="H16" s="2" t="inlineStr">
        <is>
          <t>Córdoba</t>
        </is>
      </c>
      <c r="I16" s="2" t="inlineStr">
        <is>
          <t>Presidencia del Consejo de Administración de la Empresa Provincial de Aguas de Córdoba S.A.</t>
        </is>
      </c>
      <c r="J16" s="2" t="inlineStr">
        <is>
          <t>Obra de Red de Abastecimiento Aldea del Villar (Fuente Palmera).</t>
        </is>
      </c>
      <c r="K16" s="2" t="inlineStr">
        <is>
          <t>CC 55/2026</t>
        </is>
      </c>
      <c r="L16" s="2" t="inlineStr">
        <is>
          <t>Abierto</t>
        </is>
      </c>
      <c r="M16" s="6" t="n">
        <v>12</v>
      </c>
      <c r="N16" s="2" t="inlineStr">
        <is>
          <t>E1-3</t>
        </is>
      </c>
      <c r="O16" s="7" t="n">
        <v>0.5</v>
      </c>
      <c r="P16" s="2" t="inlineStr">
        <is>
          <t>Ampliación plazo de garantía 10 (JV) | Oferta económica 50 | Oferta técnica 40 (JV)</t>
        </is>
      </c>
      <c r="Q16" s="2" t="n"/>
      <c r="R16" s="2" t="n"/>
      <c r="S16" s="4" t="n"/>
      <c r="T16" s="2" t="inlineStr">
        <is>
          <t>45240000</t>
        </is>
      </c>
      <c r="U16" s="8" t="inlineStr">
        <is>
          <t>PCAP</t>
        </is>
      </c>
      <c r="V16" s="8" t="inlineStr">
        <is>
          <t>PPT</t>
        </is>
      </c>
      <c r="W16" s="8" t="inlineStr">
        <is>
          <t>Ver</t>
        </is>
      </c>
      <c r="X16" s="9" t="n">
        <v>46310</v>
      </c>
      <c r="Y16" s="2" t="n"/>
    </row>
    <row r="17">
      <c r="A17" s="2" t="n"/>
      <c r="B17" s="3" t="n">
        <v>46329.79166666666</v>
      </c>
      <c r="C17" s="4">
        <f>IF(B17="","",INT(B17)-TODAY())</f>
        <v/>
      </c>
      <c r="D17" s="5" t="n">
        <v>1071077.53</v>
      </c>
      <c r="E17" s="5" t="n">
        <v>1071077.53</v>
      </c>
      <c r="F17" s="2" t="inlineStr">
        <is>
          <t>Andalucía</t>
        </is>
      </c>
      <c r="G17" s="2" t="inlineStr">
        <is>
          <t>Almería</t>
        </is>
      </c>
      <c r="H17" s="2" t="inlineStr">
        <is>
          <t>Almería</t>
        </is>
      </c>
      <c r="I17" s="2" t="inlineStr">
        <is>
          <t>Presidencia de la Autoridad Portuaria de Almería</t>
        </is>
      </c>
      <c r="J17" s="2" t="inlineStr">
        <is>
          <t>Obras de Reforma de Pasarelas 4 y 5 en Puerto de Almería</t>
        </is>
      </c>
      <c r="K17" s="2" t="inlineStr">
        <is>
          <t>31/O/A/AL26</t>
        </is>
      </c>
      <c r="L17" s="2" t="inlineStr">
        <is>
          <t>Abierto</t>
        </is>
      </c>
      <c r="M17" s="6" t="n">
        <v>12</v>
      </c>
      <c r="N17" s="2" t="inlineStr">
        <is>
          <t>C3-4</t>
        </is>
      </c>
      <c r="O17" s="7" t="n">
        <v>0.25</v>
      </c>
      <c r="P17" s="2" t="inlineStr">
        <is>
          <t>Cuantitativos 75 | Cualitativos 25 (JV)</t>
        </is>
      </c>
      <c r="Q17" s="2" t="n"/>
      <c r="R17" s="2" t="n"/>
      <c r="S17" s="4" t="n"/>
      <c r="T17" s="2" t="inlineStr">
        <is>
          <t>45223210; 45223100</t>
        </is>
      </c>
      <c r="U17" s="8" t="inlineStr">
        <is>
          <t>PCAP</t>
        </is>
      </c>
      <c r="V17" s="8" t="inlineStr">
        <is>
          <t>PPT</t>
        </is>
      </c>
      <c r="W17" s="8" t="inlineStr">
        <is>
          <t>Ver</t>
        </is>
      </c>
      <c r="X17" s="9" t="n">
        <v>46310</v>
      </c>
      <c r="Y17" s="2" t="n"/>
    </row>
    <row r="18">
      <c r="A18" s="2" t="n"/>
      <c r="B18" s="3" t="n">
        <v>46329.79166666666</v>
      </c>
      <c r="C18" s="4">
        <f>IF(B18="","",INT(B18)-TODAY())</f>
        <v/>
      </c>
      <c r="D18" s="5" t="n">
        <v>13104056.72</v>
      </c>
      <c r="E18" s="5" t="n">
        <v>13104056.72</v>
      </c>
      <c r="F18" s="2" t="inlineStr">
        <is>
          <t>Andalucía</t>
        </is>
      </c>
      <c r="G18" s="2" t="inlineStr">
        <is>
          <t>Jaén</t>
        </is>
      </c>
      <c r="H18" s="2" t="n"/>
      <c r="I18" s="2" t="inlineStr">
        <is>
          <t>Pleno del Ayuntamiento de Jaén</t>
        </is>
      </c>
      <c r="J18"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18" s="2" t="inlineStr">
        <is>
          <t>2026000083</t>
        </is>
      </c>
      <c r="L18" s="2" t="inlineStr">
        <is>
          <t>Abierto</t>
        </is>
      </c>
      <c r="M18" s="6" t="n">
        <v>4</v>
      </c>
      <c r="N18" s="2" t="n"/>
      <c r="O18" s="7" t="n">
        <v>0.25</v>
      </c>
      <c r="P18" s="2" t="inlineStr">
        <is>
          <t>Proceso constructivo 10 (JV) | Precio 55 | Disponibilidad para trabajos nocturnos 10 | Programa de trabajo 15 (JV) | Plazo de garantía 10</t>
        </is>
      </c>
      <c r="Q18" s="2" t="inlineStr">
        <is>
          <t>definitiva 5%</t>
        </is>
      </c>
      <c r="R18" s="2" t="n"/>
      <c r="S18" s="4" t="n">
        <v>6</v>
      </c>
      <c r="T18" s="2" t="inlineStr">
        <is>
          <t>45233252; 45111100; 45262300; 45262522</t>
        </is>
      </c>
      <c r="U18" s="8" t="inlineStr">
        <is>
          <t>PCAP</t>
        </is>
      </c>
      <c r="V18" s="8" t="inlineStr">
        <is>
          <t>PPT</t>
        </is>
      </c>
      <c r="W18" s="8" t="inlineStr">
        <is>
          <t>Ver</t>
        </is>
      </c>
      <c r="X18" s="9" t="n">
        <v>46310</v>
      </c>
      <c r="Y18" s="2" t="n"/>
    </row>
    <row r="19">
      <c r="A19" s="2" t="n"/>
      <c r="B19" s="3" t="n">
        <v>46329.79166666666</v>
      </c>
      <c r="C19" s="4">
        <f>IF(B19="","",INT(B19)-TODAY())</f>
        <v/>
      </c>
      <c r="D19" s="5" t="n">
        <v>1565254.69</v>
      </c>
      <c r="E19" s="5" t="n">
        <v>1565254.69</v>
      </c>
      <c r="F19" s="2" t="inlineStr">
        <is>
          <t>Andalucía</t>
        </is>
      </c>
      <c r="G19" s="2" t="inlineStr">
        <is>
          <t>Almería</t>
        </is>
      </c>
      <c r="H19" s="2" t="inlineStr">
        <is>
          <t>Almería</t>
        </is>
      </c>
      <c r="I19" s="2" t="inlineStr">
        <is>
          <t>Presidencia de la Autoridad Portuaria de Almería</t>
        </is>
      </c>
      <c r="J19" s="2" t="inlineStr">
        <is>
          <t>Obras de reforma de Pasarelas 2 y 3 en Puerto de Almería</t>
        </is>
      </c>
      <c r="K19" s="2" t="inlineStr">
        <is>
          <t>26/O/A/AL26</t>
        </is>
      </c>
      <c r="L19" s="2" t="inlineStr">
        <is>
          <t>Abierto</t>
        </is>
      </c>
      <c r="M19" s="6" t="n">
        <v>6</v>
      </c>
      <c r="N19" s="2" t="inlineStr">
        <is>
          <t>C3-4</t>
        </is>
      </c>
      <c r="O19" s="7" t="n">
        <v>0.25</v>
      </c>
      <c r="P19" s="2" t="inlineStr">
        <is>
          <t>Cuantitativos 75 | Cualitativos 25 (JV)</t>
        </is>
      </c>
      <c r="Q19" s="2" t="n"/>
      <c r="R19" s="2" t="n"/>
      <c r="S19" s="4" t="n"/>
      <c r="T19" s="2" t="inlineStr">
        <is>
          <t>45223210; 45223100</t>
        </is>
      </c>
      <c r="U19" s="8" t="inlineStr">
        <is>
          <t>PCAP</t>
        </is>
      </c>
      <c r="V19" s="8" t="inlineStr">
        <is>
          <t>PPT</t>
        </is>
      </c>
      <c r="W19" s="8" t="inlineStr">
        <is>
          <t>Ver</t>
        </is>
      </c>
      <c r="X19" s="9" t="n">
        <v>46310</v>
      </c>
      <c r="Y19" s="2" t="n"/>
    </row>
    <row r="20">
      <c r="A20" s="2" t="n"/>
      <c r="B20" s="3" t="n">
        <v>46329.99930555555</v>
      </c>
      <c r="C20" s="4">
        <f>IF(B20="","",INT(B20)-TODAY())</f>
        <v/>
      </c>
      <c r="D20" s="5" t="n">
        <v>564012.4</v>
      </c>
      <c r="E20" s="5" t="n">
        <v>564012.4</v>
      </c>
      <c r="F20" s="2" t="inlineStr">
        <is>
          <t>Comunitat Valenciana</t>
        </is>
      </c>
      <c r="G20" s="2" t="n"/>
      <c r="H20" s="2" t="inlineStr">
        <is>
          <t>Oliva</t>
        </is>
      </c>
      <c r="I20" s="2" t="inlineStr">
        <is>
          <t>Concejal de Contratación del Ayuntamiento de Oliva</t>
        </is>
      </c>
      <c r="J20" s="2" t="inlineStr">
        <is>
          <t>Mejora de la accesibilidad en espacios públicos y renovación de la red de abastecimiento de agua potable</t>
        </is>
      </c>
      <c r="K20" s="2" t="inlineStr">
        <is>
          <t>15056/2026</t>
        </is>
      </c>
      <c r="L20" s="2" t="inlineStr">
        <is>
          <t>Abierto simplificado</t>
        </is>
      </c>
      <c r="M20" s="6" t="n">
        <v>5</v>
      </c>
      <c r="N20" s="2" t="n"/>
      <c r="O20" s="7" t="n">
        <v>0</v>
      </c>
      <c r="P20" s="2" t="inlineStr">
        <is>
          <t>Ampliación adicional plazo de garantía 10 | Baja económica en el tipo de licitación 20 | Conjunto de mejoras 70</t>
        </is>
      </c>
      <c r="Q20" s="2" t="inlineStr">
        <is>
          <t>definitiva 5%; complementaria 2%</t>
        </is>
      </c>
      <c r="R20" s="2" t="n"/>
      <c r="S20" s="4" t="n"/>
      <c r="T20" s="2" t="inlineStr">
        <is>
          <t>45200000</t>
        </is>
      </c>
      <c r="U20" s="8" t="inlineStr">
        <is>
          <t>PCAP</t>
        </is>
      </c>
      <c r="V20" s="8" t="inlineStr">
        <is>
          <t>PPT</t>
        </is>
      </c>
      <c r="W20" s="8" t="inlineStr">
        <is>
          <t>Ver</t>
        </is>
      </c>
      <c r="X20" s="9" t="n">
        <v>46310</v>
      </c>
      <c r="Y20" s="2" t="n"/>
    </row>
    <row r="21">
      <c r="A21" s="2" t="n"/>
      <c r="B21" s="3" t="n">
        <v>46329.99930555555</v>
      </c>
      <c r="C21" s="4">
        <f>IF(B21="","",INT(B21)-TODAY())</f>
        <v/>
      </c>
      <c r="D21" s="5" t="n">
        <v>1106611.57</v>
      </c>
      <c r="E21" s="5" t="n">
        <v>1106611.57</v>
      </c>
      <c r="F21" s="2" t="inlineStr">
        <is>
          <t>Andalucía</t>
        </is>
      </c>
      <c r="G21" s="2" t="inlineStr">
        <is>
          <t>Sevilla</t>
        </is>
      </c>
      <c r="H21" s="2" t="n"/>
      <c r="I21" s="2" t="inlineStr">
        <is>
          <t>Alcaldía del Ayuntamiento de Alcalá del Río</t>
        </is>
      </c>
      <c r="J21" s="2" t="inlineStr">
        <is>
          <t>Contrato de obras relativo al Proyecto básico y de ejecución de Reforma y Acondicionamiento de la Piscina Municipal y el entorno periférico</t>
        </is>
      </c>
      <c r="K21" s="2" t="inlineStr">
        <is>
          <t>P4100500J-2026/000021-PAAS</t>
        </is>
      </c>
      <c r="L21" s="2" t="inlineStr">
        <is>
          <t>Abierto simplificado</t>
        </is>
      </c>
      <c r="M21" s="6" t="n">
        <v>16</v>
      </c>
      <c r="N21" s="2" t="inlineStr">
        <is>
          <t>J2-2; C3-2; C*-2; J*-2</t>
        </is>
      </c>
      <c r="O21" s="7" t="n">
        <v>0</v>
      </c>
      <c r="P21" s="2" t="inlineStr">
        <is>
          <t>Aspecto Económico (precio) [1] 40 | Mejora 1 Nuevo sistema de Riego para las zonas de césped [2] 20 | Mejora 2 Retirada y renovación del césped [3] 40</t>
        </is>
      </c>
      <c r="Q21" s="2" t="n"/>
      <c r="R21" s="2" t="n"/>
      <c r="S21" s="4" t="n"/>
      <c r="T21" s="2" t="inlineStr">
        <is>
          <t>45212220</t>
        </is>
      </c>
      <c r="U21" s="8" t="inlineStr">
        <is>
          <t>PCAP</t>
        </is>
      </c>
      <c r="V21" s="8" t="inlineStr">
        <is>
          <t>PPT</t>
        </is>
      </c>
      <c r="W21" s="8" t="inlineStr">
        <is>
          <t>Ver</t>
        </is>
      </c>
      <c r="X21" s="9" t="n">
        <v>46310</v>
      </c>
      <c r="Y21" s="2" t="n"/>
    </row>
    <row r="22">
      <c r="A22" s="2" t="n"/>
      <c r="B22" s="3" t="n">
        <v>46329.99930555555</v>
      </c>
      <c r="C22" s="4">
        <f>IF(B22="","",INT(B22)-TODAY())</f>
        <v/>
      </c>
      <c r="D22" s="5" t="n">
        <v>3060580.6</v>
      </c>
      <c r="E22" s="5" t="n">
        <v>3060580.6</v>
      </c>
      <c r="F22" s="2" t="inlineStr">
        <is>
          <t>Andalucía</t>
        </is>
      </c>
      <c r="G22" s="2" t="inlineStr">
        <is>
          <t>Huelva</t>
        </is>
      </c>
      <c r="H22" s="2" t="n"/>
      <c r="I22" s="2" t="inlineStr">
        <is>
          <t>Pleno del Ayuntamiento de Punta umbría</t>
        </is>
      </c>
      <c r="J22" s="2" t="inlineStr">
        <is>
          <t>Ejecución de las obras para la renovación y mejora de la eficiencia energética de las instalaciones de alumbrado público exterior en el Municipio de Punta Umbría (Huelva)</t>
        </is>
      </c>
      <c r="K22" s="2" t="inlineStr">
        <is>
          <t>5163/2026</t>
        </is>
      </c>
      <c r="L22" s="2" t="inlineStr">
        <is>
          <t>Abierto</t>
        </is>
      </c>
      <c r="M22" s="6" t="n">
        <v>9</v>
      </c>
      <c r="N22" s="2" t="inlineStr">
        <is>
          <t>I1-4</t>
        </is>
      </c>
      <c r="O22" s="7" t="n">
        <v>0.25</v>
      </c>
      <c r="P22" s="2" t="inlineStr">
        <is>
          <t>Memoria Técnica 25 (JV) | Reducción de Plazos 20 | Oferta económica 35 | Experiencia Profesional 20</t>
        </is>
      </c>
      <c r="Q22" s="2" t="inlineStr">
        <is>
          <t>definitiva 5%</t>
        </is>
      </c>
      <c r="R22" s="2" t="n"/>
      <c r="S22" s="4" t="n"/>
      <c r="T22" s="2" t="inlineStr">
        <is>
          <t>45316100; 45315600; 34928500</t>
        </is>
      </c>
      <c r="U22" s="8" t="inlineStr">
        <is>
          <t>PCAP</t>
        </is>
      </c>
      <c r="V22" s="8" t="inlineStr">
        <is>
          <t>PPT</t>
        </is>
      </c>
      <c r="W22" s="8" t="inlineStr">
        <is>
          <t>Ver</t>
        </is>
      </c>
      <c r="X22" s="9" t="n">
        <v>46310</v>
      </c>
      <c r="Y22" s="2" t="n"/>
    </row>
    <row r="23">
      <c r="A23" s="2" t="n"/>
      <c r="B23" s="3" t="n">
        <v>46329.99930555555</v>
      </c>
      <c r="C23" s="4">
        <f>IF(B23="","",INT(B23)-TODAY())</f>
        <v/>
      </c>
      <c r="D23" s="5" t="n">
        <v>2370624.52</v>
      </c>
      <c r="E23" s="5" t="n">
        <v>2844749.42</v>
      </c>
      <c r="F23" s="2" t="inlineStr">
        <is>
          <t>Andalucía</t>
        </is>
      </c>
      <c r="G23" s="2" t="inlineStr">
        <is>
          <t>Almería</t>
        </is>
      </c>
      <c r="H23" s="2" t="n"/>
      <c r="I23" s="2" t="inlineStr">
        <is>
          <t>Junta de Gobierno Local del Ayuntamiento de El Ejido</t>
        </is>
      </c>
      <c r="J23"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23" s="2" t="inlineStr">
        <is>
          <t>2026 1137</t>
        </is>
      </c>
      <c r="L23" s="2" t="inlineStr">
        <is>
          <t>Abierto</t>
        </is>
      </c>
      <c r="M23" s="6" t="n">
        <v>6</v>
      </c>
      <c r="N23" s="2" t="n"/>
      <c r="O23" s="7" t="n">
        <v>0.25</v>
      </c>
      <c r="P23" s="2" t="inlineStr">
        <is>
          <t>Proposición económica 75 | Criterios evaluables mediante un juicio de valor 25 (JV)</t>
        </is>
      </c>
      <c r="Q23" s="2" t="inlineStr">
        <is>
          <t>provisional 5%</t>
        </is>
      </c>
      <c r="R23" s="2" t="n"/>
      <c r="S23" s="4" t="n"/>
      <c r="T23" s="2" t="inlineStr">
        <is>
          <t>45200000</t>
        </is>
      </c>
      <c r="U23" s="8" t="inlineStr">
        <is>
          <t>PCAP</t>
        </is>
      </c>
      <c r="V23" s="8" t="inlineStr">
        <is>
          <t>PPT</t>
        </is>
      </c>
      <c r="W23" s="8" t="inlineStr">
        <is>
          <t>Ver</t>
        </is>
      </c>
      <c r="X23" s="9" t="n">
        <v>46310</v>
      </c>
      <c r="Y23" s="2" t="n"/>
    </row>
    <row r="24">
      <c r="A24" s="2" t="n"/>
      <c r="B24" s="3" t="n">
        <v>46329.99930555555</v>
      </c>
      <c r="C24" s="4">
        <f>IF(B24="","",INT(B24)-TODAY())</f>
        <v/>
      </c>
      <c r="D24" s="5" t="n">
        <v>2153684.34</v>
      </c>
      <c r="E24" s="5" t="n">
        <v>2153684.34</v>
      </c>
      <c r="F24" s="2" t="inlineStr">
        <is>
          <t>Comunitat Valenciana</t>
        </is>
      </c>
      <c r="G24" s="2" t="inlineStr">
        <is>
          <t>Valencia</t>
        </is>
      </c>
      <c r="H24" s="2" t="inlineStr">
        <is>
          <t>Torrent</t>
        </is>
      </c>
      <c r="I24" s="2" t="inlineStr">
        <is>
          <t>Junta de Gobierno del Ayuntamiento de Torrent</t>
        </is>
      </c>
      <c r="J24" s="2" t="inlineStr">
        <is>
          <t>Obras de mejora de baños, eficiencia energética, accesibilidad, patios, adaptación al CTE del CEIP Virgen del Rosario de Torrent, en el marco del Pla Edificant</t>
        </is>
      </c>
      <c r="K24" s="2" t="inlineStr">
        <is>
          <t>32643/2026</t>
        </is>
      </c>
      <c r="L24" s="2" t="inlineStr">
        <is>
          <t>Abierto</t>
        </is>
      </c>
      <c r="M24" s="6" t="n">
        <v>12</v>
      </c>
      <c r="N24" s="2" t="n"/>
      <c r="O24" s="7" t="n">
        <v>0</v>
      </c>
      <c r="P24" s="2" t="inlineStr">
        <is>
          <t>Oferta económica 100</t>
        </is>
      </c>
      <c r="Q24" s="2" t="inlineStr">
        <is>
          <t>definitiva 5%</t>
        </is>
      </c>
      <c r="R24" s="2" t="n"/>
      <c r="S24" s="4" t="n"/>
      <c r="T24" s="2" t="inlineStr">
        <is>
          <t>45214210</t>
        </is>
      </c>
      <c r="U24" s="8" t="inlineStr">
        <is>
          <t>PCAP</t>
        </is>
      </c>
      <c r="V24" s="8" t="inlineStr">
        <is>
          <t>PPT</t>
        </is>
      </c>
      <c r="W24" s="8" t="inlineStr">
        <is>
          <t>Ver</t>
        </is>
      </c>
      <c r="X24" s="9" t="n">
        <v>46317</v>
      </c>
      <c r="Y24" s="2" t="n"/>
    </row>
    <row r="25">
      <c r="A25" s="2" t="n"/>
      <c r="B25" s="3" t="n">
        <v>46329.99930555555</v>
      </c>
      <c r="C25" s="4">
        <f>IF(B25="","",INT(B25)-TODAY())</f>
        <v/>
      </c>
      <c r="D25" s="5" t="n">
        <v>563608.27</v>
      </c>
      <c r="E25" s="5" t="n">
        <v>563608.27</v>
      </c>
      <c r="F25" s="2" t="inlineStr">
        <is>
          <t>Andalucía</t>
        </is>
      </c>
      <c r="G25" s="2" t="inlineStr">
        <is>
          <t>Málaga</t>
        </is>
      </c>
      <c r="H25" s="2" t="n"/>
      <c r="I25" s="2" t="inlineStr">
        <is>
          <t>Alcaldía del Ayuntamiento de Ronda</t>
        </is>
      </c>
      <c r="J25" s="2" t="inlineStr">
        <is>
          <t>C. Obras. Proyecto de Adecuación de solar colindante a la Estación de Ferrocarril para aparcamiento de vehículos de Ronda (Málaga).</t>
        </is>
      </c>
      <c r="K25" s="2" t="inlineStr">
        <is>
          <t>17561/2026</t>
        </is>
      </c>
      <c r="L25" s="2" t="inlineStr">
        <is>
          <t>Abierto</t>
        </is>
      </c>
      <c r="M25" s="6" t="n">
        <v>10</v>
      </c>
      <c r="N25" s="2" t="inlineStr">
        <is>
          <t>G6-3</t>
        </is>
      </c>
      <c r="O25" s="7" t="n">
        <v>0</v>
      </c>
      <c r="P25" s="2" t="inlineStr">
        <is>
          <t>Mejor precio ofertado por los licitadores 90 | Incremento del plazo de garantía previsto 10</t>
        </is>
      </c>
      <c r="Q25" s="2" t="inlineStr">
        <is>
          <t>definitiva 5%</t>
        </is>
      </c>
      <c r="R25" s="2" t="n"/>
      <c r="S25" s="4" t="n"/>
      <c r="T25" s="2" t="inlineStr">
        <is>
          <t>45000000; 45233140</t>
        </is>
      </c>
      <c r="U25" s="8" t="inlineStr">
        <is>
          <t>PCAP</t>
        </is>
      </c>
      <c r="V25" s="8" t="inlineStr">
        <is>
          <t>PPT</t>
        </is>
      </c>
      <c r="W25" s="8" t="inlineStr">
        <is>
          <t>Ver</t>
        </is>
      </c>
      <c r="X25" s="9" t="n">
        <v>46317</v>
      </c>
      <c r="Y25" s="2" t="n"/>
    </row>
    <row r="26">
      <c r="A26" s="2" t="n"/>
      <c r="B26" s="3" t="n">
        <v>46329.99930555555</v>
      </c>
      <c r="C26" s="4">
        <f>IF(B26="","",INT(B26)-TODAY())</f>
        <v/>
      </c>
      <c r="D26" s="5" t="n">
        <v>1221212.29</v>
      </c>
      <c r="E26" s="5" t="n">
        <v>1221212.29</v>
      </c>
      <c r="F26" s="2" t="inlineStr">
        <is>
          <t>Andalucía</t>
        </is>
      </c>
      <c r="G26" s="2" t="inlineStr">
        <is>
          <t>Córdoba</t>
        </is>
      </c>
      <c r="H26" s="2" t="n"/>
      <c r="I26" s="2" t="inlineStr">
        <is>
          <t>Junta de Gobierno de la Diputación Provincial de Córdoba</t>
        </is>
      </c>
      <c r="J26" s="2" t="inlineStr">
        <is>
          <t>Nuevo campo de fútbol de césped artificial en el SG-D6 y SG-V7 "LLanos de Cristo" del PGOU vigente, en Puente Genil (Córdoba). Obra incluida en el Plan Provincial de Obras y Servicios 2024-2027 (bienio 2025-2026)</t>
        </is>
      </c>
      <c r="K26" s="2" t="inlineStr">
        <is>
          <t>646/26 BIS</t>
        </is>
      </c>
      <c r="L26" s="2" t="inlineStr">
        <is>
          <t>Abierto</t>
        </is>
      </c>
      <c r="M26" s="6" t="n">
        <v>12</v>
      </c>
      <c r="N26" s="2" t="n"/>
      <c r="O26" s="7" t="n">
        <v>0</v>
      </c>
      <c r="P26" s="2" t="inlineStr">
        <is>
          <t>Compromiso de ampliación del plazo de garantía de la obra 20 | Oferta económica respecto al presupuesto base de licitación 80</t>
        </is>
      </c>
      <c r="Q26" s="2" t="inlineStr">
        <is>
          <t>definitiva 5%; complementaria 5%</t>
        </is>
      </c>
      <c r="R26" s="2" t="n"/>
      <c r="S26" s="4" t="n"/>
      <c r="T26" s="2" t="inlineStr">
        <is>
          <t>45200000; 45212221; 45212200; 45212224; 45212213; 45212230</t>
        </is>
      </c>
      <c r="U26" s="8" t="inlineStr">
        <is>
          <t>PCAP</t>
        </is>
      </c>
      <c r="V26" s="8" t="inlineStr">
        <is>
          <t>PPT</t>
        </is>
      </c>
      <c r="W26" s="8" t="inlineStr">
        <is>
          <t>Ver</t>
        </is>
      </c>
      <c r="X26" s="9" t="n">
        <v>46317</v>
      </c>
      <c r="Y26" s="2" t="n"/>
    </row>
    <row r="27">
      <c r="A27" s="2" t="n"/>
      <c r="B27" s="3" t="n">
        <v>46330.79166666666</v>
      </c>
      <c r="C27" s="4">
        <f>IF(B27="","",INT(B27)-TODAY())</f>
        <v/>
      </c>
      <c r="D27" s="5" t="n">
        <v>5022149.12</v>
      </c>
      <c r="E27" s="5" t="n">
        <v>5022149.12</v>
      </c>
      <c r="F27" s="2" t="inlineStr">
        <is>
          <t>Andalucía</t>
        </is>
      </c>
      <c r="G27" s="2" t="inlineStr">
        <is>
          <t>Cádiz</t>
        </is>
      </c>
      <c r="H27" s="2" t="inlineStr">
        <is>
          <t>TARIFA</t>
        </is>
      </c>
      <c r="I27" s="2" t="inlineStr">
        <is>
          <t>Pleno del Ayuntamiento de Tarifa</t>
        </is>
      </c>
      <c r="J27"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K27" s="2" t="inlineStr">
        <is>
          <t>2026/8791</t>
        </is>
      </c>
      <c r="L27" s="2" t="inlineStr">
        <is>
          <t>Abierto simplificado</t>
        </is>
      </c>
      <c r="M27" s="6" t="n">
        <v>18</v>
      </c>
      <c r="N27" s="2" t="inlineStr">
        <is>
          <t>C*-5</t>
        </is>
      </c>
      <c r="O27" s="7" t="n">
        <v>0</v>
      </c>
      <c r="P27" s="2" t="inlineStr">
        <is>
          <t>mejora del plazo de ejecucion 10 | oferta economica 75 | MEJORA DEL SERVICIO DE MANTENIMIENTO DE APARATOS ELEVADORES (ASCENSORES) 5 | MEJORA DEL PLAZO DE GARANTÍA 10</t>
        </is>
      </c>
      <c r="Q27" s="2" t="inlineStr">
        <is>
          <t>definitiva 5%</t>
        </is>
      </c>
      <c r="R27" s="2" t="n"/>
      <c r="S27" s="4" t="n"/>
      <c r="T27" s="2" t="inlineStr">
        <is>
          <t>45211000</t>
        </is>
      </c>
      <c r="U27" s="8" t="inlineStr">
        <is>
          <t>PCAP</t>
        </is>
      </c>
      <c r="V27" s="2" t="n"/>
      <c r="W27" s="8" t="inlineStr">
        <is>
          <t>Ver</t>
        </is>
      </c>
      <c r="X27" s="9" t="n">
        <v>46317</v>
      </c>
      <c r="Y27" s="2" t="n"/>
    </row>
    <row r="28">
      <c r="A28" s="2" t="n"/>
      <c r="B28" s="3" t="n">
        <v>46330.99930555555</v>
      </c>
      <c r="C28" s="4">
        <f>IF(B28="","",INT(B28)-TODAY())</f>
        <v/>
      </c>
      <c r="D28" s="5" t="n">
        <v>617734.71</v>
      </c>
      <c r="E28" s="5" t="n">
        <v>617734.71</v>
      </c>
      <c r="F28" s="2" t="inlineStr">
        <is>
          <t>Andalucía</t>
        </is>
      </c>
      <c r="G28" s="2" t="inlineStr">
        <is>
          <t>Huelva</t>
        </is>
      </c>
      <c r="H28" s="2" t="inlineStr">
        <is>
          <t>BONARES</t>
        </is>
      </c>
      <c r="I28" s="2" t="inlineStr">
        <is>
          <t>Alcaldia del Ayuntamiento de Bonares</t>
        </is>
      </c>
      <c r="J28" s="2" t="inlineStr">
        <is>
          <t>Mejora de las instalaciones deportivas en el Polígono Industrial El Corchito.</t>
        </is>
      </c>
      <c r="K28" s="2" t="inlineStr">
        <is>
          <t>3624/2026</t>
        </is>
      </c>
      <c r="L28" s="2" t="inlineStr">
        <is>
          <t>Abierto simplificado</t>
        </is>
      </c>
      <c r="M28" s="6" t="n">
        <v>8</v>
      </c>
      <c r="N28" s="2" t="n"/>
      <c r="O28" s="7" t="n">
        <v>0</v>
      </c>
      <c r="P28"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28" s="2" t="inlineStr">
        <is>
          <t>definitiva 5%</t>
        </is>
      </c>
      <c r="R28" s="2" t="inlineStr">
        <is>
          <t>No se prevé la revisión de precios (Cláusula 6.9. del PCAP).</t>
        </is>
      </c>
      <c r="S28" s="4" t="n">
        <v>3</v>
      </c>
      <c r="T28" s="2" t="inlineStr">
        <is>
          <t>45212200; 43324000; 45236119; 45315300; 45261210; 09331200; 39293400; 39522100; 45232453; 45421144; 45261215</t>
        </is>
      </c>
      <c r="U28" s="8" t="inlineStr">
        <is>
          <t>PCAP</t>
        </is>
      </c>
      <c r="V28" s="8" t="inlineStr">
        <is>
          <t>PPT</t>
        </is>
      </c>
      <c r="W28" s="8" t="inlineStr">
        <is>
          <t>Ver</t>
        </is>
      </c>
      <c r="X28" s="9" t="n">
        <v>46311</v>
      </c>
      <c r="Y28" s="2" t="n"/>
    </row>
    <row r="29">
      <c r="A29" s="2" t="n"/>
      <c r="B29" s="3" t="n">
        <v>46330.99930555555</v>
      </c>
      <c r="C29" s="4">
        <f>IF(B29="","",INT(B29)-TODAY())</f>
        <v/>
      </c>
      <c r="D29" s="5" t="n">
        <v>1846516.62</v>
      </c>
      <c r="E29" s="5" t="n">
        <v>1846516.62</v>
      </c>
      <c r="F29" s="2" t="inlineStr">
        <is>
          <t>Andalucía</t>
        </is>
      </c>
      <c r="G29" s="2" t="inlineStr">
        <is>
          <t>Sevilla</t>
        </is>
      </c>
      <c r="H29" s="2" t="inlineStr">
        <is>
          <t>Bormujos</t>
        </is>
      </c>
      <c r="I29" s="2" t="inlineStr">
        <is>
          <t>Alcaldía del Ayuntamiento de Bormujos</t>
        </is>
      </c>
      <c r="J29" s="2" t="inlineStr">
        <is>
          <t>Ejecución de las obras de “Remodelación de Bulevar Avenida San Juan de Dios”.</t>
        </is>
      </c>
      <c r="K29" s="2" t="inlineStr">
        <is>
          <t>12483/2026</t>
        </is>
      </c>
      <c r="L29" s="2" t="inlineStr">
        <is>
          <t>Abierto simplificado</t>
        </is>
      </c>
      <c r="M29" s="6" t="n">
        <v>5</v>
      </c>
      <c r="N29" s="2" t="inlineStr">
        <is>
          <t>G6-4</t>
        </is>
      </c>
      <c r="O29" s="7" t="n">
        <v>0.2</v>
      </c>
      <c r="P29" s="2" t="inlineStr">
        <is>
          <t>Mejora Video en 3D resultado de la obra 5 | Memoria Descriptiva 20 (JV) | Oferta Económica 75</t>
        </is>
      </c>
      <c r="Q29" s="2" t="inlineStr">
        <is>
          <t>definitiva 5%</t>
        </is>
      </c>
      <c r="R29" s="2" t="n"/>
      <c r="S29" s="4" t="n"/>
      <c r="T29" s="2" t="inlineStr">
        <is>
          <t>45233252</t>
        </is>
      </c>
      <c r="U29" s="8" t="inlineStr">
        <is>
          <t>PCAP</t>
        </is>
      </c>
      <c r="V29" s="8" t="inlineStr">
        <is>
          <t>PPT</t>
        </is>
      </c>
      <c r="W29" s="8" t="inlineStr">
        <is>
          <t>Ver</t>
        </is>
      </c>
      <c r="X29" s="9" t="n">
        <v>46311</v>
      </c>
      <c r="Y29" s="2" t="n"/>
    </row>
    <row r="30">
      <c r="A30" s="2" t="n"/>
      <c r="B30" s="3" t="n">
        <v>46331.99930555555</v>
      </c>
      <c r="C30" s="4">
        <f>IF(B30="","",INT(B30)-TODAY())</f>
        <v/>
      </c>
      <c r="D30" s="5" t="n">
        <v>2543636.15</v>
      </c>
      <c r="E30" s="5" t="n">
        <v>2543636.15</v>
      </c>
      <c r="F30" s="2" t="inlineStr">
        <is>
          <t>Andalucía</t>
        </is>
      </c>
      <c r="G30" s="2" t="inlineStr">
        <is>
          <t>Sevilla</t>
        </is>
      </c>
      <c r="H30" s="2" t="n"/>
      <c r="I30" s="2" t="inlineStr">
        <is>
          <t>Presidencia de la Diputación Provincial de Sevilla</t>
        </is>
      </c>
      <c r="J30" s="2" t="inlineStr">
        <is>
          <t>Obra para la mejora de la estación de bombeo de agua potable al Consorcio de Aguas Sierra Sur, nuevo depósito y sistemas antiariete, Osuna</t>
        </is>
      </c>
      <c r="K30" s="2" t="inlineStr">
        <is>
          <t>2026/000697-PAA</t>
        </is>
      </c>
      <c r="L30" s="2" t="inlineStr">
        <is>
          <t>Abierto</t>
        </is>
      </c>
      <c r="M30" s="6" t="n">
        <v>8</v>
      </c>
      <c r="N30" s="2" t="inlineStr">
        <is>
          <t>E1-5</t>
        </is>
      </c>
      <c r="O30" s="7" t="n">
        <v>0.25</v>
      </c>
      <c r="P30" s="2" t="inlineStr">
        <is>
          <t>Calidad [1] 25 (JV) | Aspecto Económico (precio) [1] 75</t>
        </is>
      </c>
      <c r="Q30" s="2" t="n"/>
      <c r="R30" s="2" t="n"/>
      <c r="S30" s="4" t="n"/>
      <c r="T30" s="2" t="inlineStr">
        <is>
          <t>45213260; 45232152</t>
        </is>
      </c>
      <c r="U30" s="8" t="inlineStr">
        <is>
          <t>PCAP</t>
        </is>
      </c>
      <c r="V30" s="8" t="inlineStr">
        <is>
          <t>PPT</t>
        </is>
      </c>
      <c r="W30" s="8" t="inlineStr">
        <is>
          <t>Ver</t>
        </is>
      </c>
      <c r="X30" s="9" t="n">
        <v>46310</v>
      </c>
      <c r="Y30" s="2" t="n"/>
    </row>
    <row r="31">
      <c r="A31" s="2" t="n"/>
      <c r="B31" s="3" t="n">
        <v>46331.99930555555</v>
      </c>
      <c r="C31" s="4">
        <f>IF(B31="","",INT(B31)-TODAY())</f>
        <v/>
      </c>
      <c r="D31" s="5" t="n">
        <v>1025843.16</v>
      </c>
      <c r="E31" s="5" t="n">
        <v>1025843.16</v>
      </c>
      <c r="F31" s="2" t="inlineStr">
        <is>
          <t>Andalucía</t>
        </is>
      </c>
      <c r="G31" s="2" t="inlineStr">
        <is>
          <t>Málaga</t>
        </is>
      </c>
      <c r="H31" s="2" t="inlineStr">
        <is>
          <t>Alhaurín el Grande</t>
        </is>
      </c>
      <c r="I31" s="2" t="inlineStr">
        <is>
          <t>Alcaldía del Ayuntamiento de Alhaurín el Grande</t>
        </is>
      </c>
      <c r="J31" s="2" t="inlineStr">
        <is>
          <t>Proyecto de obras de renaturalización de las Avenidas Blas Infante y Libertad. Tramo 4</t>
        </is>
      </c>
      <c r="K31" s="2" t="inlineStr">
        <is>
          <t>25734/2026 BLAS INFANTE Y LIBERTAD</t>
        </is>
      </c>
      <c r="L31" s="2" t="inlineStr">
        <is>
          <t>Abierto simplificado</t>
        </is>
      </c>
      <c r="M31" s="6" t="n">
        <v>14</v>
      </c>
      <c r="N31" s="2" t="n"/>
      <c r="O31" s="7" t="n">
        <v>0.1</v>
      </c>
      <c r="P31" s="2" t="inlineStr">
        <is>
          <t>ampliación en el plazo de garantía 10 | Proposición económica 80 | Memoria constructiva y programa de trabajo 4 (JV) | Medidas para reducir el impacto Ambiental 2 (JV) | Medidas para reducir el impacto urbano de la obra 4 (JV)</t>
        </is>
      </c>
      <c r="Q31" s="2" t="inlineStr">
        <is>
          <t>definitiva 5%</t>
        </is>
      </c>
      <c r="R31" s="2" t="n"/>
      <c r="S31" s="4" t="n"/>
      <c r="T31" s="2" t="inlineStr">
        <is>
          <t>45223210; 45112000; 45262210; 45232100; 45262520; 45233140</t>
        </is>
      </c>
      <c r="U31" s="8" t="inlineStr">
        <is>
          <t>PCAP</t>
        </is>
      </c>
      <c r="V31" s="8" t="inlineStr">
        <is>
          <t>PPT</t>
        </is>
      </c>
      <c r="W31" s="8" t="inlineStr">
        <is>
          <t>Ver</t>
        </is>
      </c>
      <c r="X31" s="9" t="n">
        <v>46310</v>
      </c>
      <c r="Y31" s="2" t="inlineStr">
        <is>
          <t>2026-10-27: plazo 2026-10-26 23:59 → 2026-11-05 23:59</t>
        </is>
      </c>
    </row>
    <row r="32">
      <c r="A32" s="2" t="n"/>
      <c r="B32" s="3" t="n">
        <v>46331.99930555555</v>
      </c>
      <c r="C32" s="4">
        <f>IF(B32="","",INT(B32)-TODAY())</f>
        <v/>
      </c>
      <c r="D32" s="5" t="n">
        <v>952036.08</v>
      </c>
      <c r="E32" s="5" t="n">
        <v>952036.08</v>
      </c>
      <c r="F32" s="2" t="inlineStr">
        <is>
          <t>Comunitat Valenciana</t>
        </is>
      </c>
      <c r="G32" s="2" t="inlineStr">
        <is>
          <t>Castellón</t>
        </is>
      </c>
      <c r="H32" s="2" t="inlineStr">
        <is>
          <t>Burriana (Castellón)</t>
        </is>
      </c>
      <c r="I32" s="2" t="inlineStr">
        <is>
          <t>Alcaldía del Ayuntamiento de Borriana</t>
        </is>
      </c>
      <c r="J32"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K32" s="2" t="inlineStr">
        <is>
          <t>BURR16660/2026-PM9-PM 10</t>
        </is>
      </c>
      <c r="L32" s="2" t="inlineStr">
        <is>
          <t>Abierto simplificado</t>
        </is>
      </c>
      <c r="M32" s="6" t="n">
        <v>7</v>
      </c>
      <c r="N32" s="2" t="n"/>
      <c r="O32" s="7" t="n">
        <v>0</v>
      </c>
      <c r="P32" s="2" t="inlineStr">
        <is>
          <t>Plazo de ejecución del contrato 25 | Oferta económica 75</t>
        </is>
      </c>
      <c r="Q32" s="2" t="inlineStr">
        <is>
          <t>complementaria 2%; definitiva 5%</t>
        </is>
      </c>
      <c r="R32" s="2" t="inlineStr">
        <is>
          <t>No</t>
        </is>
      </c>
      <c r="S32" s="4" t="n">
        <v>2</v>
      </c>
      <c r="T32" s="2" t="inlineStr">
        <is>
          <t>45000000; 45212221; 45261000; 45443000; 45200000; 45212200</t>
        </is>
      </c>
      <c r="U32" s="8" t="inlineStr">
        <is>
          <t>PCAP</t>
        </is>
      </c>
      <c r="V32" s="8" t="inlineStr">
        <is>
          <t>PPT</t>
        </is>
      </c>
      <c r="W32" s="8" t="inlineStr">
        <is>
          <t>Ver</t>
        </is>
      </c>
      <c r="X32" s="9" t="n">
        <v>46314</v>
      </c>
      <c r="Y32" s="2" t="n"/>
    </row>
    <row r="33">
      <c r="A33" s="2" t="n"/>
      <c r="B33" s="3" t="n">
        <v>46331.99930555555</v>
      </c>
      <c r="C33" s="4">
        <f>IF(B33="","",INT(B33)-TODAY())</f>
        <v/>
      </c>
      <c r="D33" s="5" t="n">
        <v>810884.09</v>
      </c>
      <c r="E33" s="5" t="n">
        <v>810884.09</v>
      </c>
      <c r="F33" s="2" t="inlineStr">
        <is>
          <t>Comunitat Valenciana</t>
        </is>
      </c>
      <c r="G33" s="2" t="inlineStr">
        <is>
          <t>Castellón</t>
        </is>
      </c>
      <c r="H33" s="2" t="n"/>
      <c r="I33" s="2" t="inlineStr">
        <is>
          <t>Junta de Gobierno del Ayuntamiento de Borriana</t>
        </is>
      </c>
      <c r="J33" s="2" t="inlineStr">
        <is>
          <t>Ejecución de las obras "Acondicionamiento del Cami Fondo entre la avda. Vicente Cañada Blanch y la avda. Unión Europea" (PM 8/2026).</t>
        </is>
      </c>
      <c r="K33" s="2" t="inlineStr">
        <is>
          <t>BURR 16353/2026-PM 8/2026</t>
        </is>
      </c>
      <c r="L33" s="2" t="inlineStr">
        <is>
          <t>Abierto simplificado</t>
        </is>
      </c>
      <c r="M33" s="6" t="n">
        <v>6</v>
      </c>
      <c r="N33" s="2" t="inlineStr">
        <is>
          <t>G4-3</t>
        </is>
      </c>
      <c r="O33" s="7" t="n">
        <v>0.25</v>
      </c>
      <c r="P33" s="2" t="inlineStr">
        <is>
          <t>B.2. Aumento del plazo de garantía de la obra 15 | A.1 Conocimiento del proyecto aprobado 25 (JV) | B.1. Oferta económica 60</t>
        </is>
      </c>
      <c r="Q33" s="2" t="inlineStr">
        <is>
          <t>complementaria 2%; definitiva 5%</t>
        </is>
      </c>
      <c r="R33" s="2" t="inlineStr">
        <is>
          <t>No</t>
        </is>
      </c>
      <c r="S33" s="4" t="n"/>
      <c r="T33" s="2" t="inlineStr">
        <is>
          <t>45230000</t>
        </is>
      </c>
      <c r="U33" s="8" t="inlineStr">
        <is>
          <t>PCAP</t>
        </is>
      </c>
      <c r="V33" s="8" t="inlineStr">
        <is>
          <t>PPT</t>
        </is>
      </c>
      <c r="W33" s="8" t="inlineStr">
        <is>
          <t>Ver</t>
        </is>
      </c>
      <c r="X33" s="9" t="n">
        <v>46314</v>
      </c>
      <c r="Y33" s="2" t="n"/>
    </row>
    <row r="34">
      <c r="A34" s="2" t="n"/>
      <c r="B34" s="3" t="n">
        <v>46331.99930555555</v>
      </c>
      <c r="C34" s="4">
        <f>IF(B34="","",INT(B34)-TODAY())</f>
        <v/>
      </c>
      <c r="D34" s="5" t="n">
        <v>691158.8</v>
      </c>
      <c r="E34" s="5" t="n">
        <v>691158.8</v>
      </c>
      <c r="F34" s="2" t="inlineStr">
        <is>
          <t>Andalucía</t>
        </is>
      </c>
      <c r="G34" s="2" t="inlineStr">
        <is>
          <t>Córdoba</t>
        </is>
      </c>
      <c r="H34" s="2" t="inlineStr">
        <is>
          <t>Villa del Río</t>
        </is>
      </c>
      <c r="I34" s="2" t="inlineStr">
        <is>
          <t>Alcaldía del Ayuntamiento de Villa del Río</t>
        </is>
      </c>
      <c r="J34"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K34" s="2" t="inlineStr">
        <is>
          <t>8223/2026</t>
        </is>
      </c>
      <c r="L34" s="2" t="inlineStr">
        <is>
          <t>Abierto simplificado</t>
        </is>
      </c>
      <c r="M34" s="6" t="n">
        <v>20</v>
      </c>
      <c r="N34" s="2" t="n"/>
      <c r="O34" s="7" t="n">
        <v>0</v>
      </c>
      <c r="P34" s="2" t="inlineStr">
        <is>
          <t>Pluralidad de criterios 100</t>
        </is>
      </c>
      <c r="Q34" s="2" t="inlineStr">
        <is>
          <t>definitiva 5%</t>
        </is>
      </c>
      <c r="R34" s="2" t="n"/>
      <c r="S34" s="4" t="n"/>
      <c r="T34" s="2" t="inlineStr">
        <is>
          <t>45212330; 71317200; 71242000; 45212170; 71000000</t>
        </is>
      </c>
      <c r="U34" s="8" t="inlineStr">
        <is>
          <t>PCAP</t>
        </is>
      </c>
      <c r="V34" s="8" t="inlineStr">
        <is>
          <t>PPT</t>
        </is>
      </c>
      <c r="W34" s="8" t="inlineStr">
        <is>
          <t>Ver</t>
        </is>
      </c>
      <c r="X34" s="9" t="n">
        <v>46317</v>
      </c>
      <c r="Y34" s="2" t="n"/>
    </row>
    <row r="35">
      <c r="A35" s="2" t="n"/>
      <c r="B35" s="3" t="n">
        <v>46331.99930555555</v>
      </c>
      <c r="C35" s="4">
        <f>IF(B35="","",INT(B35)-TODAY())</f>
        <v/>
      </c>
      <c r="D35" s="5" t="n">
        <v>5236971.63</v>
      </c>
      <c r="E35" s="5" t="n">
        <v>5236971.63</v>
      </c>
      <c r="F35" s="2" t="inlineStr">
        <is>
          <t>Andalucía</t>
        </is>
      </c>
      <c r="G35" s="2" t="inlineStr">
        <is>
          <t>Huelva</t>
        </is>
      </c>
      <c r="H35" s="2" t="inlineStr">
        <is>
          <t>HUELVA</t>
        </is>
      </c>
      <c r="I35" s="2" t="inlineStr">
        <is>
          <t>Junta de Gobierno de la Diputación Provincial de Huelva</t>
        </is>
      </c>
      <c r="J35" s="2" t="inlineStr">
        <is>
          <t>El presente contrato tiene por objeto la rehabilitación del firme de diversas carreteras provinciales pertenecientes al Plan de inversiones del Servicio de Carreteras y Caminos 2025 y Tu Diputación Actua.</t>
        </is>
      </c>
      <c r="K35" s="2" t="inlineStr">
        <is>
          <t>2026/CMY_03/000148</t>
        </is>
      </c>
      <c r="L35" s="2" t="inlineStr">
        <is>
          <t>Abierto</t>
        </is>
      </c>
      <c r="M35" s="6" t="n">
        <v>3</v>
      </c>
      <c r="N35" s="2" t="n"/>
      <c r="O35" s="7" t="n">
        <v>0</v>
      </c>
      <c r="P35" s="2" t="inlineStr">
        <is>
          <t>REDUCCIÓN DEL PLAZO DE EJECUCIÓN 15 | MEJORA EN EL IMPORTE A DEDICAR AL CONTROL DE CALIDAD OBLIGATORIO 15 | Incremento del Plazo de Garantía 15 | PRECIO 55</t>
        </is>
      </c>
      <c r="Q35" s="2" t="inlineStr">
        <is>
          <t>definitiva 5%</t>
        </is>
      </c>
      <c r="R35" s="2" t="n"/>
      <c r="S35" s="4" t="n">
        <v>6</v>
      </c>
      <c r="T35" s="2" t="inlineStr">
        <is>
          <t>45233000</t>
        </is>
      </c>
      <c r="U35" s="8" t="inlineStr">
        <is>
          <t>PCAP</t>
        </is>
      </c>
      <c r="V35" s="8" t="inlineStr">
        <is>
          <t>PPT</t>
        </is>
      </c>
      <c r="W35" s="8" t="inlineStr">
        <is>
          <t>Ver</t>
        </is>
      </c>
      <c r="X35" s="9" t="n">
        <v>46321</v>
      </c>
      <c r="Y35" s="2" t="n"/>
    </row>
    <row r="36">
      <c r="A36" s="2" t="n"/>
      <c r="B36" s="3" t="n">
        <v>46332.41666666666</v>
      </c>
      <c r="C36" s="4">
        <f>IF(B36="","",INT(B36)-TODAY())</f>
        <v/>
      </c>
      <c r="D36" s="5" t="n">
        <v>638220.99</v>
      </c>
      <c r="E36" s="5" t="n">
        <v>638220.99</v>
      </c>
      <c r="F36" s="2" t="inlineStr">
        <is>
          <t>Andalucía</t>
        </is>
      </c>
      <c r="G36" s="2" t="inlineStr">
        <is>
          <t>Huelva</t>
        </is>
      </c>
      <c r="H36" s="2" t="n"/>
      <c r="I36" s="2" t="inlineStr">
        <is>
          <t>Empresa de Transformación Agraria S.A.,S.M.E., M.P., (TRAGSA)</t>
        </is>
      </c>
      <c r="J36" s="2" t="inlineStr">
        <is>
          <t>Suministro y ejecución de instalaciones eléctricas, seguridad, comunicaciones y fotovoltaica en edificio administrativo de Huelva, en Plaza de La Constitución, No1, Huelva</t>
        </is>
      </c>
      <c r="K36" s="2" t="inlineStr">
        <is>
          <t>TSA0083804</t>
        </is>
      </c>
      <c r="L36" s="2" t="inlineStr">
        <is>
          <t>Abierto simplificado</t>
        </is>
      </c>
      <c r="M36" s="6" t="n">
        <v>18</v>
      </c>
      <c r="N36" s="2" t="n"/>
      <c r="O36" s="7" t="n">
        <v>0</v>
      </c>
      <c r="P36" s="2" t="inlineStr">
        <is>
          <t>PRECIO 100</t>
        </is>
      </c>
      <c r="Q36" s="2" t="inlineStr">
        <is>
          <t>definitiva 5%</t>
        </is>
      </c>
      <c r="R36" s="2" t="inlineStr">
        <is>
          <t>No aplica la revisión de precios en esta licitación</t>
        </is>
      </c>
      <c r="S36" s="4" t="n">
        <v>3</v>
      </c>
      <c r="T36" s="2" t="inlineStr">
        <is>
          <t>45315600; 45315500; 45310000</t>
        </is>
      </c>
      <c r="U36" s="8" t="inlineStr">
        <is>
          <t>PCAP</t>
        </is>
      </c>
      <c r="V36" s="8" t="inlineStr">
        <is>
          <t>PPT</t>
        </is>
      </c>
      <c r="W36" s="8" t="inlineStr">
        <is>
          <t>Ver</t>
        </is>
      </c>
      <c r="X36" s="9" t="n">
        <v>46314</v>
      </c>
      <c r="Y36" s="2" t="n"/>
    </row>
    <row r="37">
      <c r="A37" s="2" t="n"/>
      <c r="B37" s="3" t="n">
        <v>46332.5</v>
      </c>
      <c r="C37" s="4">
        <f>IF(B37="","",INT(B37)-TODAY())</f>
        <v/>
      </c>
      <c r="D37" s="5" t="n">
        <v>1959411.99</v>
      </c>
      <c r="E37" s="5" t="n">
        <v>1959411.99</v>
      </c>
      <c r="F37" s="2" t="inlineStr">
        <is>
          <t>Comunitat Valenciana</t>
        </is>
      </c>
      <c r="G37" s="2" t="inlineStr">
        <is>
          <t>Alicante</t>
        </is>
      </c>
      <c r="H37" s="2" t="inlineStr">
        <is>
          <t>Almoradí</t>
        </is>
      </c>
      <c r="I37" s="2" t="inlineStr">
        <is>
          <t>Junta de Gobierno del Ayuntamiento de Almoradí</t>
        </is>
      </c>
      <c r="J37"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K37" s="2" t="inlineStr">
        <is>
          <t>7981/2026</t>
        </is>
      </c>
      <c r="L37" s="2" t="inlineStr">
        <is>
          <t>Abierto simplificado</t>
        </is>
      </c>
      <c r="M37" s="6" t="n">
        <v>5</v>
      </c>
      <c r="N37" s="2" t="n"/>
      <c r="O37" s="7" t="n">
        <v>0.25</v>
      </c>
      <c r="P37" s="2" t="inlineStr">
        <is>
          <t>Memoria Técnica 25 (JV) | Proposición Económica 75</t>
        </is>
      </c>
      <c r="Q37" s="2" t="inlineStr">
        <is>
          <t>definitiva 5%; complementaria 5%</t>
        </is>
      </c>
      <c r="R37" s="2" t="n"/>
      <c r="S37" s="4" t="n"/>
      <c r="T37" s="2" t="inlineStr">
        <is>
          <t>45233200; 45211360; 45233253; 45111100; 45233162; 45000000; 45233140</t>
        </is>
      </c>
      <c r="U37" s="8" t="inlineStr">
        <is>
          <t>PCAP</t>
        </is>
      </c>
      <c r="V37" s="2" t="n"/>
      <c r="W37" s="8" t="inlineStr">
        <is>
          <t>Ver</t>
        </is>
      </c>
      <c r="X37" s="9" t="n">
        <v>46314</v>
      </c>
      <c r="Y37" s="2" t="n"/>
    </row>
    <row r="38">
      <c r="A38" s="2" t="n"/>
      <c r="B38" s="3" t="n">
        <v>46332.54166666666</v>
      </c>
      <c r="C38" s="4">
        <f>IF(B38="","",INT(B38)-TODAY())</f>
        <v/>
      </c>
      <c r="D38" s="5" t="n">
        <v>30728972.25</v>
      </c>
      <c r="E38" s="5" t="n">
        <v>30728972.25</v>
      </c>
      <c r="F38" s="2" t="inlineStr">
        <is>
          <t>Andalucía</t>
        </is>
      </c>
      <c r="G38" s="2" t="inlineStr">
        <is>
          <t>Jaén</t>
        </is>
      </c>
      <c r="H38" s="2" t="inlineStr">
        <is>
          <t>JAEN</t>
        </is>
      </c>
      <c r="I38" s="2" t="inlineStr">
        <is>
          <t>Consejo de Administración de Sociedad Mercantil Estatal Aguas de las Cuencas de España, S.A. (ACUAES)</t>
        </is>
      </c>
      <c r="J38" s="2" t="inlineStr">
        <is>
          <t>Ejecución de las obras del Proyecto de construcción de la Nueva Planta de tratamiento de agua potable del Rumblar (Jaén)</t>
        </is>
      </c>
      <c r="K38" s="2" t="inlineStr">
        <is>
          <t>ACE/318.50/26/OBRA/01</t>
        </is>
      </c>
      <c r="L38" s="2" t="inlineStr">
        <is>
          <t>Abierto</t>
        </is>
      </c>
      <c r="M38" s="6" t="n">
        <v>26</v>
      </c>
      <c r="N38" s="2" t="inlineStr">
        <is>
          <t>K8-4</t>
        </is>
      </c>
      <c r="O38" s="7" t="n">
        <v>0.45</v>
      </c>
      <c r="P38" s="2" t="inlineStr">
        <is>
          <t>Compromiso de ampliación del plazo de garantía 10 | Oferta evaluable conforme a criterios dependientes de juicios de valor - Oferta técnica 45 (JV) | Criterios cuantificables mediante la mera aplicación de fórmulas 45</t>
        </is>
      </c>
      <c r="Q38" s="2" t="inlineStr">
        <is>
          <t>complementaria 5%; definitiva 5%</t>
        </is>
      </c>
      <c r="R38" s="2" t="inlineStr">
        <is>
          <t>Fórmula referida a obras hidráulicas nº 561</t>
        </is>
      </c>
      <c r="S38" s="4" t="n"/>
      <c r="T38" s="2" t="inlineStr">
        <is>
          <t>45252120</t>
        </is>
      </c>
      <c r="U38" s="8" t="inlineStr">
        <is>
          <t>PCAP</t>
        </is>
      </c>
      <c r="V38" s="8" t="inlineStr">
        <is>
          <t>PPT</t>
        </is>
      </c>
      <c r="W38" s="8" t="inlineStr">
        <is>
          <t>Ver</t>
        </is>
      </c>
      <c r="X38" s="9" t="n">
        <v>46311</v>
      </c>
      <c r="Y38" s="2" t="n"/>
    </row>
    <row r="39">
      <c r="A39" s="2" t="n"/>
      <c r="B39" s="3" t="n">
        <v>46332.54166666666</v>
      </c>
      <c r="C39" s="4">
        <f>IF(B39="","",INT(B39)-TODAY())</f>
        <v/>
      </c>
      <c r="D39" s="5" t="n">
        <v>3949255.46</v>
      </c>
      <c r="E39" s="5" t="n">
        <v>4344181.01</v>
      </c>
      <c r="F39" s="2" t="inlineStr">
        <is>
          <t>Comunitat Valenciana</t>
        </is>
      </c>
      <c r="G39" s="2" t="inlineStr">
        <is>
          <t>Valencia</t>
        </is>
      </c>
      <c r="H39" s="2" t="n"/>
      <c r="I39" s="2" t="inlineStr">
        <is>
          <t>Presidencia de la Diputación Provincial de Valencia</t>
        </is>
      </c>
      <c r="J39" s="2" t="inlineStr">
        <is>
          <t>Ac-576A/O. Ampliación de plataforma y mejora del drenaje de la carretera CV-598 de Autovía A35 a Canals en los términos municipales de Montesa y Canals.</t>
        </is>
      </c>
      <c r="K39" s="2" t="inlineStr">
        <is>
          <t>59/19/CAR</t>
        </is>
      </c>
      <c r="L39" s="2" t="inlineStr">
        <is>
          <t>Abierto</t>
        </is>
      </c>
      <c r="M39" s="6" t="n">
        <v>15</v>
      </c>
      <c r="N39" s="2" t="inlineStr">
        <is>
          <t>G4-5</t>
        </is>
      </c>
      <c r="O39" s="7" t="n">
        <v>0.46</v>
      </c>
      <c r="P39" s="2" t="inlineStr">
        <is>
          <t>1. Oferta económica 54 | 2. Garantía de suministro 26 (JV) | 3. Programa de trabajos 20 (JV)</t>
        </is>
      </c>
      <c r="Q39" s="2" t="inlineStr">
        <is>
          <t>complementaria 5%; definitiva 5%</t>
        </is>
      </c>
      <c r="R39" s="2" t="n"/>
      <c r="S39" s="4" t="n"/>
      <c r="T39" s="2" t="inlineStr">
        <is>
          <t>45233120</t>
        </is>
      </c>
      <c r="U39" s="8" t="inlineStr">
        <is>
          <t>PCAP</t>
        </is>
      </c>
      <c r="V39" s="2" t="n"/>
      <c r="W39" s="8" t="inlineStr">
        <is>
          <t>Ver</t>
        </is>
      </c>
      <c r="X39" s="9" t="n">
        <v>46317</v>
      </c>
      <c r="Y39" s="2" t="n"/>
    </row>
    <row r="40">
      <c r="A40" s="2" t="n"/>
      <c r="B40" s="3" t="n">
        <v>46332.99930555555</v>
      </c>
      <c r="C40" s="4">
        <f>IF(B40="","",INT(B40)-TODAY())</f>
        <v/>
      </c>
      <c r="D40" s="5" t="n">
        <v>1089694.08</v>
      </c>
      <c r="E40" s="5" t="n">
        <v>1089694.08</v>
      </c>
      <c r="F40" s="2" t="inlineStr">
        <is>
          <t>Andalucía</t>
        </is>
      </c>
      <c r="G40" s="2" t="inlineStr">
        <is>
          <t>Sevilla</t>
        </is>
      </c>
      <c r="H40" s="2" t="n"/>
      <c r="I40" s="2" t="inlineStr">
        <is>
          <t>Alcaldia del Ayuntamiento de San Nicolás del Puerto</t>
        </is>
      </c>
      <c r="J40" s="2" t="inlineStr">
        <is>
          <t>PAS. Construcción de Piscina Municipal y de vesturarios en San Nicolás del Puerto. Plan ACTUA 2022 Diputación.</t>
        </is>
      </c>
      <c r="K40" s="2" t="inlineStr">
        <is>
          <t>P4108800F-2026/000032-PAAS</t>
        </is>
      </c>
      <c r="L40" s="2" t="inlineStr">
        <is>
          <t>Abierto simplificado</t>
        </is>
      </c>
      <c r="M40" s="6" t="n">
        <v>10</v>
      </c>
      <c r="N40" s="2" t="inlineStr">
        <is>
          <t>C6-6; C*-4; C4-4</t>
        </is>
      </c>
      <c r="O40" s="7" t="n">
        <v>0</v>
      </c>
      <c r="P40" s="2" t="inlineStr">
        <is>
          <t>Aspecto Económico (precio) [1] 100</t>
        </is>
      </c>
      <c r="Q40" s="2" t="n"/>
      <c r="R40" s="2" t="n"/>
      <c r="S40" s="4" t="n"/>
      <c r="T40" s="2" t="inlineStr">
        <is>
          <t>45000000</t>
        </is>
      </c>
      <c r="U40" s="8" t="inlineStr">
        <is>
          <t>PCAP</t>
        </is>
      </c>
      <c r="V40" s="8" t="inlineStr">
        <is>
          <t>PPT</t>
        </is>
      </c>
      <c r="W40" s="8" t="inlineStr">
        <is>
          <t>Ver</t>
        </is>
      </c>
      <c r="X40" s="9" t="n">
        <v>46310</v>
      </c>
      <c r="Y40" s="2" t="n"/>
    </row>
    <row r="41">
      <c r="A41" s="2" t="n"/>
      <c r="B41" s="3" t="n">
        <v>46335.79166666666</v>
      </c>
      <c r="C41" s="4">
        <f>IF(B41="","",INT(B41)-TODAY())</f>
        <v/>
      </c>
      <c r="D41" s="5" t="n">
        <v>1240704.74</v>
      </c>
      <c r="E41" s="5" t="n">
        <v>1488845.69</v>
      </c>
      <c r="F41" s="2" t="inlineStr">
        <is>
          <t>Comunitat Valenciana</t>
        </is>
      </c>
      <c r="G41" s="2" t="inlineStr">
        <is>
          <t>Alicante</t>
        </is>
      </c>
      <c r="H41" s="2" t="inlineStr">
        <is>
          <t>Alicante (Alacant)</t>
        </is>
      </c>
      <c r="I41" s="2" t="inlineStr">
        <is>
          <t>Alcaldía del Ayuntamiento de Santa Pola</t>
        </is>
      </c>
      <c r="J41" s="2" t="inlineStr">
        <is>
          <t>Licitación para la contratación de las Obras de Reforma y adecuación del campo municipal Manolo Maciá de Santa Pola, susceptible de ser confinanciado por la UE a través del Fondo Europeo de Desarrollo</t>
        </is>
      </c>
      <c r="K41" s="2" t="inlineStr">
        <is>
          <t>18226/2026</t>
        </is>
      </c>
      <c r="L41" s="2" t="inlineStr">
        <is>
          <t>Abierto simplificado</t>
        </is>
      </c>
      <c r="M41" s="6" t="n">
        <v>4</v>
      </c>
      <c r="N41" s="2" t="inlineStr">
        <is>
          <t>G*-3</t>
        </is>
      </c>
      <c r="O41" s="7" t="n">
        <v>0.45</v>
      </c>
      <c r="P41" s="2" t="inlineStr">
        <is>
          <t>A.2. AMPLIACIÓN DE GARANTÍA 15 (JV) | A.3. SOSTENIBILIDAD AMBIENTAL EN LA EJECUCIÓN 30 (JV) | A.1. OFERTA ECONÓMICA 55</t>
        </is>
      </c>
      <c r="Q41" s="2" t="n"/>
      <c r="R41" s="2" t="n"/>
      <c r="S41" s="4" t="n"/>
      <c r="T41" s="2" t="inlineStr">
        <is>
          <t>45212200; 45212224; 45212220; 45310000</t>
        </is>
      </c>
      <c r="U41" s="8" t="inlineStr">
        <is>
          <t>PCAP</t>
        </is>
      </c>
      <c r="V41" s="8" t="inlineStr">
        <is>
          <t>PPT</t>
        </is>
      </c>
      <c r="W41" s="8" t="inlineStr">
        <is>
          <t>Ver</t>
        </is>
      </c>
      <c r="X41" s="9" t="n">
        <v>46315</v>
      </c>
      <c r="Y41" s="2" t="n"/>
    </row>
    <row r="42">
      <c r="A42" s="2" t="n"/>
      <c r="B42" s="3" t="n">
        <v>46335.99930555555</v>
      </c>
      <c r="C42" s="4">
        <f>IF(B42="","",INT(B42)-TODAY())</f>
        <v/>
      </c>
      <c r="D42" s="5" t="n">
        <v>929839.95</v>
      </c>
      <c r="E42" s="5" t="n">
        <v>929839.95</v>
      </c>
      <c r="F42" s="2" t="inlineStr">
        <is>
          <t>Andalucía</t>
        </is>
      </c>
      <c r="G42" s="2" t="inlineStr">
        <is>
          <t>Córdoba</t>
        </is>
      </c>
      <c r="H42" s="2" t="inlineStr">
        <is>
          <t>CABRA</t>
        </is>
      </c>
      <c r="I42" s="2" t="inlineStr">
        <is>
          <t>Alcaldía del Ayuntamiento de Cabra</t>
        </is>
      </c>
      <c r="J42"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42" s="2" t="inlineStr">
        <is>
          <t>2026/21080</t>
        </is>
      </c>
      <c r="L42" s="2" t="inlineStr">
        <is>
          <t>Abierto</t>
        </is>
      </c>
      <c r="M42" s="6" t="n">
        <v>12</v>
      </c>
      <c r="N42" s="2" t="n"/>
      <c r="O42" s="7" t="n">
        <v>0</v>
      </c>
      <c r="P42" s="2" t="inlineStr">
        <is>
          <t>Redacción proyecto en formato BIM 10 | Menor precio ofertado sobre el precio de licitación, hasta un máximo de 75 puntos. 75 | Compromiso de Ampliación de Plazo de Garantía 15</t>
        </is>
      </c>
      <c r="Q42" s="2" t="inlineStr">
        <is>
          <t>definitiva 5%</t>
        </is>
      </c>
      <c r="R42" s="2" t="n"/>
      <c r="S42" s="4" t="n"/>
      <c r="T42" s="2" t="inlineStr">
        <is>
          <t>45211000; 71200000</t>
        </is>
      </c>
      <c r="U42" s="8" t="inlineStr">
        <is>
          <t>PCAP</t>
        </is>
      </c>
      <c r="V42" s="8" t="inlineStr">
        <is>
          <t>PPT</t>
        </is>
      </c>
      <c r="W42" s="8" t="inlineStr">
        <is>
          <t>Ver</t>
        </is>
      </c>
      <c r="X42" s="9" t="n">
        <v>46310</v>
      </c>
      <c r="Y42" s="2" t="n"/>
    </row>
    <row r="43">
      <c r="A43" s="2" t="n"/>
      <c r="B43" s="3" t="n">
        <v>46335.99930555555</v>
      </c>
      <c r="C43" s="4">
        <f>IF(B43="","",INT(B43)-TODAY())</f>
        <v/>
      </c>
      <c r="D43" s="5" t="n">
        <v>4895758.65</v>
      </c>
      <c r="E43" s="5" t="n">
        <v>4895758.65</v>
      </c>
      <c r="F43" s="2" t="inlineStr">
        <is>
          <t>Comunitat Valenciana</t>
        </is>
      </c>
      <c r="G43" s="2" t="inlineStr">
        <is>
          <t>Valencia</t>
        </is>
      </c>
      <c r="H43" s="2" t="inlineStr">
        <is>
          <t>Estivella</t>
        </is>
      </c>
      <c r="I43" s="2" t="inlineStr">
        <is>
          <t>Pleno del Ayuntamiento de Estivella</t>
        </is>
      </c>
      <c r="J43" s="2" t="inlineStr">
        <is>
          <t>Demolició i reposició del CENTRE CEIP EL BRAÇAL en la mateixa parcel·la</t>
        </is>
      </c>
      <c r="K43" s="2" t="inlineStr">
        <is>
          <t>271/2026</t>
        </is>
      </c>
      <c r="L43" s="2" t="inlineStr">
        <is>
          <t>Abierto</t>
        </is>
      </c>
      <c r="M43" s="6" t="n">
        <v>18</v>
      </c>
      <c r="N43" s="2" t="inlineStr">
        <is>
          <t>C*-5</t>
        </is>
      </c>
      <c r="O43" s="7" t="n">
        <v>0.2</v>
      </c>
      <c r="P43"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43" s="2" t="inlineStr">
        <is>
          <t>definitiva 5%</t>
        </is>
      </c>
      <c r="R43" s="2" t="inlineStr">
        <is>
          <t>Conforme al artículo 10 del PCAP.</t>
        </is>
      </c>
      <c r="S43" s="4" t="n"/>
      <c r="T43" s="2" t="inlineStr">
        <is>
          <t>45214000</t>
        </is>
      </c>
      <c r="U43" s="8" t="inlineStr">
        <is>
          <t>PCAP</t>
        </is>
      </c>
      <c r="V43" s="8" t="inlineStr">
        <is>
          <t>PPT</t>
        </is>
      </c>
      <c r="W43" s="8" t="inlineStr">
        <is>
          <t>Ver</t>
        </is>
      </c>
      <c r="X43" s="9" t="n">
        <v>46310</v>
      </c>
      <c r="Y43" s="2" t="n"/>
    </row>
    <row r="44">
      <c r="A44" s="2" t="n"/>
      <c r="B44" s="3" t="n">
        <v>46335.99930555555</v>
      </c>
      <c r="C44" s="4">
        <f>IF(B44="","",INT(B44)-TODAY())</f>
        <v/>
      </c>
      <c r="D44" s="5" t="n">
        <v>1793227</v>
      </c>
      <c r="E44" s="5" t="n">
        <v>1793227</v>
      </c>
      <c r="F44" s="2" t="inlineStr">
        <is>
          <t>Andalucía</t>
        </is>
      </c>
      <c r="G44" s="2" t="inlineStr">
        <is>
          <t>Granada</t>
        </is>
      </c>
      <c r="H44" s="2" t="n"/>
      <c r="I44" s="2" t="inlineStr">
        <is>
          <t>Dirección Gerente de la Empresa Municipal de Abastecimiento y Saneamiento de Granada, S.A.</t>
        </is>
      </c>
      <c r="J44" s="2" t="inlineStr">
        <is>
          <t>Mejora de las infraestructuras y resiliencia hídrica en el ciclo integral del agua en la Avenida Don Bosco, entre la Avenida de Cádiz y la Avenida Fernando de los Ríos (Granada).</t>
        </is>
      </c>
      <c r="K44" s="2" t="inlineStr">
        <is>
          <t>Obra 2025-00017_3</t>
        </is>
      </c>
      <c r="L44" s="2" t="inlineStr">
        <is>
          <t>Abierto</t>
        </is>
      </c>
      <c r="M44" s="6" t="n">
        <v>144</v>
      </c>
      <c r="N44" s="2" t="inlineStr">
        <is>
          <t>E*-4</t>
        </is>
      </c>
      <c r="O44" s="7" t="n">
        <v>0.4</v>
      </c>
      <c r="P44" s="2" t="inlineStr">
        <is>
          <t>Oferta económica 60 | Oferta técnica 40 (JV)</t>
        </is>
      </c>
      <c r="Q44" s="2" t="n"/>
      <c r="R44" s="2" t="n"/>
      <c r="S44" s="4" t="n"/>
      <c r="T44" s="2" t="inlineStr">
        <is>
          <t>45232150</t>
        </is>
      </c>
      <c r="U44" s="8" t="inlineStr">
        <is>
          <t>PCAP</t>
        </is>
      </c>
      <c r="V44" s="8" t="inlineStr">
        <is>
          <t>PPT</t>
        </is>
      </c>
      <c r="W44" s="8" t="inlineStr">
        <is>
          <t>Ver</t>
        </is>
      </c>
      <c r="X44" s="9" t="n">
        <v>46310</v>
      </c>
      <c r="Y44" s="2" t="n"/>
    </row>
    <row r="45">
      <c r="A45" s="2" t="n"/>
      <c r="B45" s="3" t="n">
        <v>46335.99930555555</v>
      </c>
      <c r="C45" s="4">
        <f>IF(B45="","",INT(B45)-TODAY())</f>
        <v/>
      </c>
      <c r="D45" s="5" t="n">
        <v>1170584.07</v>
      </c>
      <c r="E45" s="5" t="n">
        <v>1170584.07</v>
      </c>
      <c r="F45" s="2" t="inlineStr">
        <is>
          <t>Andalucía</t>
        </is>
      </c>
      <c r="G45" s="2" t="inlineStr">
        <is>
          <t>Sevilla</t>
        </is>
      </c>
      <c r="H45" s="2" t="n"/>
      <c r="I45" s="2" t="inlineStr">
        <is>
          <t>Pleno del Ayuntamiento de La Roda de Andalucía</t>
        </is>
      </c>
      <c r="J45" s="2" t="inlineStr">
        <is>
          <t>Contrato de obras para ejecución del "Proyecto básico y de terminación del pabellón polideportivo cubierto municipal"</t>
        </is>
      </c>
      <c r="K45" s="2" t="inlineStr">
        <is>
          <t>P4108200I-2026/000011-PAAS</t>
        </is>
      </c>
      <c r="L45" s="2" t="inlineStr">
        <is>
          <t>Abierto simplificado</t>
        </is>
      </c>
      <c r="M45" s="6" t="n">
        <v>18</v>
      </c>
      <c r="N45" s="2" t="inlineStr">
        <is>
          <t>C4-3</t>
        </is>
      </c>
      <c r="O45" s="7" t="n">
        <v>0</v>
      </c>
      <c r="P45" s="2" t="inlineStr">
        <is>
          <t>Aspecto Económico (precio) [1] 100</t>
        </is>
      </c>
      <c r="Q45" s="2" t="n"/>
      <c r="R45" s="2" t="n"/>
      <c r="S45" s="4" t="n"/>
      <c r="T45" s="2" t="inlineStr">
        <is>
          <t>45000000</t>
        </is>
      </c>
      <c r="U45" s="8" t="inlineStr">
        <is>
          <t>PCAP</t>
        </is>
      </c>
      <c r="V45" s="8" t="inlineStr">
        <is>
          <t>PPT</t>
        </is>
      </c>
      <c r="W45" s="8" t="inlineStr">
        <is>
          <t>Ver</t>
        </is>
      </c>
      <c r="X45" s="9" t="n">
        <v>46310</v>
      </c>
      <c r="Y45" s="2" t="inlineStr">
        <is>
          <t>2026-10-22: plazo 2026-10-29 23:59 → 2026-11-09 23:59</t>
        </is>
      </c>
    </row>
    <row r="46">
      <c r="A46" s="2" t="n"/>
      <c r="B46" s="3" t="n">
        <v>46335.99930555555</v>
      </c>
      <c r="C46" s="4">
        <f>IF(B46="","",INT(B46)-TODAY())</f>
        <v/>
      </c>
      <c r="D46" s="5" t="n">
        <v>638659.75</v>
      </c>
      <c r="E46" s="5" t="n">
        <v>638659.75</v>
      </c>
      <c r="F46" s="2" t="inlineStr">
        <is>
          <t>Comunitat Valenciana</t>
        </is>
      </c>
      <c r="G46" s="2" t="inlineStr">
        <is>
          <t>Valencia</t>
        </is>
      </c>
      <c r="H46" s="2" t="n"/>
      <c r="I46" s="2" t="inlineStr">
        <is>
          <t>Alcaldía del Ayuntamiento de Quart de Poblet</t>
        </is>
      </c>
      <c r="J46" s="2" t="inlineStr">
        <is>
          <t>Proyecto de habilitación del local situado en la C/ Joanot Martorell, 6 para dependencias de la Policía Local del municipio de Quart de Poblet, incluido dentro del Pla Obert d´Inversions 24-27 de la Diputación Provincial e Valencia</t>
        </is>
      </c>
      <c r="K46" s="2" t="inlineStr">
        <is>
          <t>2870452P</t>
        </is>
      </c>
      <c r="L46" s="2" t="inlineStr">
        <is>
          <t>Abierto simplificado</t>
        </is>
      </c>
      <c r="M46" s="6" t="n">
        <v>5</v>
      </c>
      <c r="N46" s="2" t="n"/>
      <c r="O46" s="7" t="n">
        <v>0.25</v>
      </c>
      <c r="P46" s="2" t="inlineStr">
        <is>
          <t>Personal adscrito a la ejecución del contrato 15 | Mejoras 40 | Ampliación plazo garantía 20 | Metodología propuesta para la ejecución de los trabajos 25 (JV)</t>
        </is>
      </c>
      <c r="Q46" s="2" t="inlineStr">
        <is>
          <t>definitiva 5%</t>
        </is>
      </c>
      <c r="R46" s="2" t="n"/>
      <c r="S46" s="4" t="n"/>
      <c r="T46" s="2" t="inlineStr">
        <is>
          <t>45000000; 45450000; 45213100</t>
        </is>
      </c>
      <c r="U46" s="8" t="inlineStr">
        <is>
          <t>PCAP</t>
        </is>
      </c>
      <c r="V46" s="8" t="inlineStr">
        <is>
          <t>PPT</t>
        </is>
      </c>
      <c r="W46" s="8" t="inlineStr">
        <is>
          <t>Ver</t>
        </is>
      </c>
      <c r="X46" s="9" t="n">
        <v>46315</v>
      </c>
      <c r="Y46" s="2" t="n"/>
    </row>
    <row r="47">
      <c r="A47" s="2" t="n"/>
      <c r="B47" s="3" t="n">
        <v>46335.99930555555</v>
      </c>
      <c r="C47" s="4">
        <f>IF(B47="","",INT(B47)-TODAY())</f>
        <v/>
      </c>
      <c r="D47" s="5" t="n">
        <v>709293.76</v>
      </c>
      <c r="E47" s="5" t="n">
        <v>709293.76</v>
      </c>
      <c r="F47" s="2" t="inlineStr">
        <is>
          <t>Comunitat Valenciana</t>
        </is>
      </c>
      <c r="G47" s="2" t="inlineStr">
        <is>
          <t>Valencia</t>
        </is>
      </c>
      <c r="H47" s="2" t="n"/>
      <c r="I47" s="2" t="inlineStr">
        <is>
          <t>Alcaldía del Ayuntamiento de Quart de Poblet</t>
        </is>
      </c>
      <c r="J47" s="2" t="inlineStr">
        <is>
          <t>Obra Proyecto de Mejora de la accesibilidad y de parte de las infraestructuras de la calle Jaume Balmes de Quart de Poblet, actuación incluida dentro del Plan Obert d´Inversions 24-27 de la Diputación Provincial de Valencia</t>
        </is>
      </c>
      <c r="K47" s="2" t="inlineStr">
        <is>
          <t>2287483K</t>
        </is>
      </c>
      <c r="L47" s="2" t="inlineStr">
        <is>
          <t>Abierto simplificado</t>
        </is>
      </c>
      <c r="M47" s="6" t="n">
        <v>6</v>
      </c>
      <c r="N47" s="2" t="inlineStr">
        <is>
          <t>G6-2</t>
        </is>
      </c>
      <c r="O47" s="7" t="n">
        <v>0.25</v>
      </c>
      <c r="P47" s="2" t="inlineStr">
        <is>
          <t>Mejoras vinculadas con el objeto del contrato 40 | Personal adscrito a la ejecución del contrato 15 | Ampliación plazo garantía 20 | Metodología propuesta para la ejecución de los trabajos 25 (JV)</t>
        </is>
      </c>
      <c r="Q47" s="2" t="inlineStr">
        <is>
          <t>definitiva 5%</t>
        </is>
      </c>
      <c r="R47" s="2" t="n"/>
      <c r="S47" s="4" t="n"/>
      <c r="T47" s="2" t="inlineStr">
        <is>
          <t>45233140</t>
        </is>
      </c>
      <c r="U47" s="8" t="inlineStr">
        <is>
          <t>PCAP</t>
        </is>
      </c>
      <c r="V47" s="8" t="inlineStr">
        <is>
          <t>PPT</t>
        </is>
      </c>
      <c r="W47" s="8" t="inlineStr">
        <is>
          <t>Ver</t>
        </is>
      </c>
      <c r="X47" s="9" t="n">
        <v>46315</v>
      </c>
      <c r="Y47" s="2" t="n"/>
    </row>
    <row r="48">
      <c r="A48" s="2" t="n"/>
      <c r="B48" s="3" t="n">
        <v>46335.99930555555</v>
      </c>
      <c r="C48" s="4">
        <f>IF(B48="","",INT(B48)-TODAY())</f>
        <v/>
      </c>
      <c r="D48" s="5" t="n">
        <v>527483.73</v>
      </c>
      <c r="E48" s="5" t="n">
        <v>527483.73</v>
      </c>
      <c r="F48" s="2" t="inlineStr">
        <is>
          <t>Andalucía</t>
        </is>
      </c>
      <c r="G48" s="2" t="inlineStr">
        <is>
          <t>Jaén</t>
        </is>
      </c>
      <c r="H48" s="2" t="inlineStr">
        <is>
          <t>Santisteban del Puerto</t>
        </is>
      </c>
      <c r="I48" s="2" t="inlineStr">
        <is>
          <t>Pleno del Ayuntamiento de Santisteban del Puerto</t>
        </is>
      </c>
      <c r="J48" s="2" t="inlineStr">
        <is>
          <t>Actuaciones de estabilización en el cerro de la Guaría en Santisteban del Puerto (Jaén).</t>
        </is>
      </c>
      <c r="K48" s="2" t="inlineStr">
        <is>
          <t>611/2026</t>
        </is>
      </c>
      <c r="L48" s="2" t="inlineStr">
        <is>
          <t>Abierto simplificado</t>
        </is>
      </c>
      <c r="M48" s="6" t="n">
        <v>6</v>
      </c>
      <c r="N48" s="2" t="inlineStr">
        <is>
          <t>K3-3; K2-3</t>
        </is>
      </c>
      <c r="O48" s="7" t="n">
        <v>0</v>
      </c>
      <c r="P48" s="2" t="inlineStr">
        <is>
          <t>Plazo de garantía adicional 40 | Menor plazo de ejecución de obra 40 | Mejor oferta economica 20</t>
        </is>
      </c>
      <c r="Q48" s="2" t="inlineStr">
        <is>
          <t>definitiva 5%</t>
        </is>
      </c>
      <c r="R48" s="2" t="n"/>
      <c r="S48" s="4" t="n"/>
      <c r="T48" s="2" t="inlineStr">
        <is>
          <t>45111230; 45222000</t>
        </is>
      </c>
      <c r="U48" s="8" t="inlineStr">
        <is>
          <t>PCAP</t>
        </is>
      </c>
      <c r="V48" s="8" t="inlineStr">
        <is>
          <t>PPT</t>
        </is>
      </c>
      <c r="W48" s="8" t="inlineStr">
        <is>
          <t>Ver</t>
        </is>
      </c>
      <c r="X48" s="9" t="n">
        <v>46315</v>
      </c>
      <c r="Y48" s="2" t="n"/>
    </row>
    <row r="49">
      <c r="A49" s="2" t="n"/>
      <c r="B49" s="3" t="n">
        <v>46335.99930555555</v>
      </c>
      <c r="C49" s="4">
        <f>IF(B49="","",INT(B49)-TODAY())</f>
        <v/>
      </c>
      <c r="D49" s="5" t="n">
        <v>661157.01</v>
      </c>
      <c r="E49" s="5" t="n">
        <v>661157.01</v>
      </c>
      <c r="F49" s="2" t="inlineStr">
        <is>
          <t>Andalucía</t>
        </is>
      </c>
      <c r="G49" s="2" t="inlineStr">
        <is>
          <t>Almería</t>
        </is>
      </c>
      <c r="H49" s="2" t="n"/>
      <c r="I49" s="2" t="inlineStr">
        <is>
          <t>Junta de Gobierno del Ayuntamiento de Almería</t>
        </is>
      </c>
      <c r="J49" s="2" t="inlineStr">
        <is>
          <t>Contratación de obras de Reforma integral de la Plaza de la Iglesia y calles Iglesia de Cabo de Gata, La Estrella de Mar, Chozas y Las Barcas de la barriada de San Miguel de Cabo de Gata (Almería)</t>
        </is>
      </c>
      <c r="K49" s="2" t="inlineStr">
        <is>
          <t>AYAL-2026000221</t>
        </is>
      </c>
      <c r="L49" s="2" t="inlineStr">
        <is>
          <t>Abierto simplificado</t>
        </is>
      </c>
      <c r="M49" s="6" t="n">
        <v>6</v>
      </c>
      <c r="N49" s="2" t="n"/>
      <c r="O49" s="7" t="n">
        <v>0</v>
      </c>
      <c r="P49" s="2" t="inlineStr">
        <is>
          <t>CRITERIOS EVALUABLES MEDIANTE FÓRMULAS- oferta economica 55 | Criterios cualitativos objetivos - Aumento en la frecuencia de la presentación del Programa de Trabajos 10 | Criterios cualitativos objetivos - ampliacion del plazo inicial de garantia 35</t>
        </is>
      </c>
      <c r="Q49" s="2" t="inlineStr">
        <is>
          <t>definitiva 5%</t>
        </is>
      </c>
      <c r="R49" s="2" t="inlineStr">
        <is>
          <t>No</t>
        </is>
      </c>
      <c r="S49" s="4" t="n"/>
      <c r="T49" s="2" t="inlineStr">
        <is>
          <t>45233140</t>
        </is>
      </c>
      <c r="U49" s="8" t="inlineStr">
        <is>
          <t>PCAP</t>
        </is>
      </c>
      <c r="V49" s="8" t="inlineStr">
        <is>
          <t>PPT</t>
        </is>
      </c>
      <c r="W49" s="8" t="inlineStr">
        <is>
          <t>Ver</t>
        </is>
      </c>
      <c r="X49" s="9" t="n">
        <v>46315</v>
      </c>
      <c r="Y49" s="2" t="n"/>
    </row>
    <row r="50">
      <c r="A50" s="2" t="n"/>
      <c r="B50" s="3" t="n">
        <v>46335.99930555555</v>
      </c>
      <c r="C50" s="4">
        <f>IF(B50="","",INT(B50)-TODAY())</f>
        <v/>
      </c>
      <c r="D50" s="5" t="n">
        <v>1915620.68</v>
      </c>
      <c r="E50" s="5" t="n">
        <v>1915620.68</v>
      </c>
      <c r="F50" s="2" t="inlineStr">
        <is>
          <t>Andalucía</t>
        </is>
      </c>
      <c r="G50" s="2" t="inlineStr">
        <is>
          <t>Sevilla</t>
        </is>
      </c>
      <c r="H50" s="2" t="inlineStr">
        <is>
          <t>sevilla</t>
        </is>
      </c>
      <c r="I50" s="2" t="inlineStr">
        <is>
          <t>Comisión Ejecutiva del Patronato del Real Alcázar y Casa Consistorial de Sevilla</t>
        </is>
      </c>
      <c r="J50" s="2" t="inlineStr">
        <is>
          <t>Obra de intervencion y restauracion de la sala de exposiciones del real alcazar de sevilla</t>
        </is>
      </c>
      <c r="K50" s="2" t="inlineStr">
        <is>
          <t>2026/000719</t>
        </is>
      </c>
      <c r="L50" s="2" t="inlineStr">
        <is>
          <t>Abierto simplificado</t>
        </is>
      </c>
      <c r="M50" s="6" t="n">
        <v>9</v>
      </c>
      <c r="N50" s="2" t="inlineStr">
        <is>
          <t>K7-4</t>
        </is>
      </c>
      <c r="O50" s="7" t="n">
        <v>0.2</v>
      </c>
      <c r="P50" s="2" t="inlineStr">
        <is>
          <t>Calidad técnica de la solución propuesta para la sobrecubierta andamiada provisional 20 (JV) | Mejora del equipo técnico 30 | Realización de memoria editada 10 | Ampliación del plazo de garantía 10 | OFERTA ECONÓMICA: 30</t>
        </is>
      </c>
      <c r="Q50" s="2" t="inlineStr">
        <is>
          <t>complementaria 5%; definitiva 5%</t>
        </is>
      </c>
      <c r="R50" s="2" t="inlineStr">
        <is>
          <t>No</t>
        </is>
      </c>
      <c r="S50" s="4" t="n"/>
      <c r="T50" s="2" t="inlineStr">
        <is>
          <t>45212350</t>
        </is>
      </c>
      <c r="U50" s="8" t="inlineStr">
        <is>
          <t>PCAP</t>
        </is>
      </c>
      <c r="V50" s="8" t="inlineStr">
        <is>
          <t>PPT</t>
        </is>
      </c>
      <c r="W50" s="8" t="inlineStr">
        <is>
          <t>Ver</t>
        </is>
      </c>
      <c r="X50" s="9" t="n">
        <v>46317</v>
      </c>
      <c r="Y50" s="2" t="n"/>
    </row>
    <row r="51">
      <c r="A51" s="2" t="n"/>
      <c r="B51" s="3" t="n">
        <v>46335.99930555555</v>
      </c>
      <c r="C51" s="4">
        <f>IF(B51="","",INT(B51)-TODAY())</f>
        <v/>
      </c>
      <c r="D51" s="5" t="n">
        <v>829996.61</v>
      </c>
      <c r="E51" s="5" t="n">
        <v>829996.61</v>
      </c>
      <c r="F51" s="2" t="inlineStr">
        <is>
          <t>Andalucía</t>
        </is>
      </c>
      <c r="G51" s="2" t="inlineStr">
        <is>
          <t>Huelva</t>
        </is>
      </c>
      <c r="H51" s="2" t="n"/>
      <c r="I51" s="2" t="inlineStr">
        <is>
          <t>Junta de Gobierno del Ayuntamiento de Huelva</t>
        </is>
      </c>
      <c r="J51" s="2" t="inlineStr">
        <is>
          <t>Obras de renaturalización y ordenación de espacio público entorno calle Los Emires de Huelva.</t>
        </is>
      </c>
      <c r="K51" s="2" t="inlineStr">
        <is>
          <t>906/2026/12</t>
        </is>
      </c>
      <c r="L51" s="2" t="inlineStr">
        <is>
          <t>Abierto simplificado</t>
        </is>
      </c>
      <c r="M51" s="6" t="n">
        <v>6</v>
      </c>
      <c r="N51" s="2" t="inlineStr">
        <is>
          <t>G6-3</t>
        </is>
      </c>
      <c r="O51" s="7" t="n">
        <v>0</v>
      </c>
      <c r="P51" s="2" t="inlineStr">
        <is>
          <t>Mejoras al proyecto 14 | Ampliación del plazo de garantía 10 | Oferta económica 66 | Experiencia del Jefe de Obra 10</t>
        </is>
      </c>
      <c r="Q51" s="2" t="inlineStr">
        <is>
          <t>definitiva 5%</t>
        </is>
      </c>
      <c r="R51" s="2" t="n"/>
      <c r="S51" s="4" t="n"/>
      <c r="T51" s="2" t="inlineStr">
        <is>
          <t>45111100; 45316000; 45233293; 45233252; 45262520; 45451300</t>
        </is>
      </c>
      <c r="U51" s="8" t="inlineStr">
        <is>
          <t>PCAP</t>
        </is>
      </c>
      <c r="V51" s="8" t="inlineStr">
        <is>
          <t>PPT</t>
        </is>
      </c>
      <c r="W51" s="8" t="inlineStr">
        <is>
          <t>Ver</t>
        </is>
      </c>
      <c r="X51" s="9" t="n">
        <v>46317</v>
      </c>
      <c r="Y51" s="2" t="n"/>
    </row>
    <row r="52">
      <c r="A52" s="2" t="n"/>
      <c r="B52" s="3" t="n">
        <v>46335.99930555555</v>
      </c>
      <c r="C52" s="4">
        <f>IF(B52="","",INT(B52)-TODAY())</f>
        <v/>
      </c>
      <c r="D52" s="5" t="n">
        <v>1156866.81</v>
      </c>
      <c r="E52" s="5" t="n">
        <v>1156866.81</v>
      </c>
      <c r="F52" s="2" t="inlineStr">
        <is>
          <t>Andalucía</t>
        </is>
      </c>
      <c r="G52" s="2" t="inlineStr">
        <is>
          <t>Huelva</t>
        </is>
      </c>
      <c r="H52" s="2" t="n"/>
      <c r="I52" s="2" t="inlineStr">
        <is>
          <t>Junta de Gobierno del Ayuntamiento de Huelva</t>
        </is>
      </c>
      <c r="J52" s="2" t="inlineStr">
        <is>
          <t>Ejecución de las obras del Plan de Asfaltado 2027.</t>
        </is>
      </c>
      <c r="K52" s="2" t="inlineStr">
        <is>
          <t>497/2026</t>
        </is>
      </c>
      <c r="L52" s="2" t="inlineStr">
        <is>
          <t>Abierto simplificado</t>
        </is>
      </c>
      <c r="M52" s="6" t="n">
        <v>6</v>
      </c>
      <c r="N52" s="2" t="inlineStr">
        <is>
          <t>G4-4</t>
        </is>
      </c>
      <c r="O52" s="7" t="n">
        <v>0</v>
      </c>
      <c r="P52" s="2" t="inlineStr">
        <is>
          <t>Oferta económica 70 | Plazo de garantía 30</t>
        </is>
      </c>
      <c r="Q52" s="2" t="inlineStr">
        <is>
          <t>definitiva 5%</t>
        </is>
      </c>
      <c r="R52" s="2" t="n"/>
      <c r="S52" s="4" t="n">
        <v>2</v>
      </c>
      <c r="T52" s="2" t="inlineStr">
        <is>
          <t>45233223; 45233221</t>
        </is>
      </c>
      <c r="U52" s="8" t="inlineStr">
        <is>
          <t>PCAP</t>
        </is>
      </c>
      <c r="V52" s="8" t="inlineStr">
        <is>
          <t>PPT</t>
        </is>
      </c>
      <c r="W52" s="8" t="inlineStr">
        <is>
          <t>Ver</t>
        </is>
      </c>
      <c r="X52" s="9" t="n">
        <v>46317</v>
      </c>
      <c r="Y52" s="2" t="n"/>
    </row>
    <row r="53">
      <c r="A53" s="2" t="n"/>
      <c r="B53" s="3" t="n">
        <v>46335.99930555555</v>
      </c>
      <c r="C53" s="4">
        <f>IF(B53="","",INT(B53)-TODAY())</f>
        <v/>
      </c>
      <c r="D53" s="5" t="n">
        <v>682807.9300000001</v>
      </c>
      <c r="E53" s="5" t="n">
        <v>819369.52</v>
      </c>
      <c r="F53" s="2" t="inlineStr">
        <is>
          <t>Andalucía</t>
        </is>
      </c>
      <c r="G53" s="2" t="inlineStr">
        <is>
          <t>Almería</t>
        </is>
      </c>
      <c r="H53" s="2" t="n"/>
      <c r="I53" s="2" t="inlineStr">
        <is>
          <t>Presidencia del Consorcio de Residuos Sólidos del Poniente Almeriense</t>
        </is>
      </c>
      <c r="J53"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K53" s="2" t="inlineStr">
        <is>
          <t>2026 1481</t>
        </is>
      </c>
      <c r="L53" s="2" t="inlineStr">
        <is>
          <t>Abierto simplificado</t>
        </is>
      </c>
      <c r="M53" s="6" t="n">
        <v>5</v>
      </c>
      <c r="N53" s="2" t="n"/>
      <c r="O53" s="7" t="n">
        <v>0.25</v>
      </c>
      <c r="P53" s="2" t="inlineStr">
        <is>
          <t>Criterios evaluables mediante un juicio de valor 25 (JV) | precio 65 | AMPLIACIÓN DEL PLAZO DE GARANTÍA DE LA OBRA EXIGIBLE 10</t>
        </is>
      </c>
      <c r="Q53" s="2" t="inlineStr">
        <is>
          <t>definitiva 5%</t>
        </is>
      </c>
      <c r="R53" s="2" t="n"/>
      <c r="S53" s="4" t="n"/>
      <c r="T53" s="2" t="inlineStr">
        <is>
          <t>45112000; 45261420</t>
        </is>
      </c>
      <c r="U53" s="8" t="inlineStr">
        <is>
          <t>PCAP</t>
        </is>
      </c>
      <c r="V53" s="8" t="inlineStr">
        <is>
          <t>PPT</t>
        </is>
      </c>
      <c r="W53" s="8" t="inlineStr">
        <is>
          <t>Ver</t>
        </is>
      </c>
      <c r="X53" s="9" t="n">
        <v>46317</v>
      </c>
      <c r="Y53" s="2" t="n"/>
    </row>
    <row r="54">
      <c r="A54" s="2" t="n"/>
      <c r="B54" s="3" t="n">
        <v>46336.5</v>
      </c>
      <c r="C54" s="4">
        <f>IF(B54="","",INT(B54)-TODAY())</f>
        <v/>
      </c>
      <c r="D54" s="5" t="n">
        <v>826446.28</v>
      </c>
      <c r="E54" s="5" t="n">
        <v>826446.28</v>
      </c>
      <c r="F54" s="2" t="inlineStr">
        <is>
          <t>Comunitat Valenciana</t>
        </is>
      </c>
      <c r="G54" s="2" t="inlineStr">
        <is>
          <t>Alicante</t>
        </is>
      </c>
      <c r="H54" s="2" t="inlineStr">
        <is>
          <t>Almoradí</t>
        </is>
      </c>
      <c r="I54" s="2" t="inlineStr">
        <is>
          <t>Junta de Gobierno del Ayuntamiento de Almoradí</t>
        </is>
      </c>
      <c r="J54" s="2" t="inlineStr">
        <is>
          <t>Renovación de firme, señalización vial y calmado del tráfico en el término municipal de Almoradí.</t>
        </is>
      </c>
      <c r="K54" s="2" t="inlineStr">
        <is>
          <t>6799/2026</t>
        </is>
      </c>
      <c r="L54" s="2" t="inlineStr">
        <is>
          <t>Abierto simplificado</t>
        </is>
      </c>
      <c r="M54" s="6" t="n">
        <v>3</v>
      </c>
      <c r="N54" s="2" t="n"/>
      <c r="O54" s="7" t="n">
        <v>0</v>
      </c>
      <c r="P54" s="2" t="inlineStr">
        <is>
          <t>Mejoras 60 | Proposición Económica 40</t>
        </is>
      </c>
      <c r="Q54" s="2" t="inlineStr">
        <is>
          <t>definitiva 5%</t>
        </is>
      </c>
      <c r="R54" s="2" t="n"/>
      <c r="S54" s="4" t="n"/>
      <c r="T54" s="2" t="inlineStr">
        <is>
          <t>45233222</t>
        </is>
      </c>
      <c r="U54" s="8" t="inlineStr">
        <is>
          <t>PCAP</t>
        </is>
      </c>
      <c r="V54" s="2" t="n"/>
      <c r="W54" s="8" t="inlineStr">
        <is>
          <t>Ver</t>
        </is>
      </c>
      <c r="X54" s="9" t="n">
        <v>46317</v>
      </c>
      <c r="Y54" s="2" t="n"/>
    </row>
    <row r="55">
      <c r="A55" s="2" t="n"/>
      <c r="B55" s="3" t="n">
        <v>46336.99930555555</v>
      </c>
      <c r="C55" s="4">
        <f>IF(B55="","",INT(B55)-TODAY())</f>
        <v/>
      </c>
      <c r="D55" s="5" t="n">
        <v>1191404.96</v>
      </c>
      <c r="E55" s="5" t="n">
        <v>1191404.96</v>
      </c>
      <c r="F55" s="2" t="inlineStr">
        <is>
          <t>Andalucía</t>
        </is>
      </c>
      <c r="G55" s="2" t="inlineStr">
        <is>
          <t>Almería</t>
        </is>
      </c>
      <c r="H55" s="2" t="n"/>
      <c r="I55" s="2" t="inlineStr">
        <is>
          <t>Junta de Gobierno de la Diputación Provincial de Almería</t>
        </is>
      </c>
      <c r="J55" s="2" t="inlineStr">
        <is>
          <t>Renovación De Calles Casco Histórico. Carboneras 85PPOS24-27BI</t>
        </is>
      </c>
      <c r="K55" s="2" t="inlineStr">
        <is>
          <t>2025/D31000/006-013/00198</t>
        </is>
      </c>
      <c r="L55" s="2" t="inlineStr">
        <is>
          <t>Abierto simplificado</t>
        </is>
      </c>
      <c r="M55" s="6" t="n">
        <v>10</v>
      </c>
      <c r="N55" s="2" t="inlineStr">
        <is>
          <t>E1-4; G6-4</t>
        </is>
      </c>
      <c r="O55" s="7" t="n">
        <v>0.25</v>
      </c>
      <c r="P55" s="2" t="inlineStr">
        <is>
          <t>PRECIO 75 | OTROS 25 (JV)</t>
        </is>
      </c>
      <c r="Q55" s="2" t="inlineStr">
        <is>
          <t>definitiva 5%; complementaria 5%</t>
        </is>
      </c>
      <c r="R55" s="2" t="n"/>
      <c r="S55" s="4" t="n"/>
      <c r="T55" s="2" t="inlineStr">
        <is>
          <t>45233250</t>
        </is>
      </c>
      <c r="U55" s="8" t="inlineStr">
        <is>
          <t>PCAP</t>
        </is>
      </c>
      <c r="V55" s="8" t="inlineStr">
        <is>
          <t>PPT</t>
        </is>
      </c>
      <c r="W55" s="8" t="inlineStr">
        <is>
          <t>Ver</t>
        </is>
      </c>
      <c r="X55" s="9" t="n">
        <v>46317</v>
      </c>
      <c r="Y55" s="2" t="n"/>
    </row>
    <row r="56">
      <c r="A56" s="2" t="n"/>
      <c r="B56" s="3" t="n">
        <v>46337.58333333334</v>
      </c>
      <c r="C56" s="4">
        <f>IF(B56="","",INT(B56)-TODAY())</f>
        <v/>
      </c>
      <c r="D56" s="5" t="n">
        <v>3019728.74</v>
      </c>
      <c r="E56" s="5" t="n">
        <v>3019728.74</v>
      </c>
      <c r="F56" s="2" t="inlineStr">
        <is>
          <t>Andalucía</t>
        </is>
      </c>
      <c r="G56" s="2" t="inlineStr">
        <is>
          <t>Cádiz</t>
        </is>
      </c>
      <c r="H56" s="2" t="n"/>
      <c r="I56" s="2" t="inlineStr">
        <is>
          <t>Alcaldía del Ayuntamiento de la Línea de la Concepción</t>
        </is>
      </c>
      <c r="J56" s="2" t="inlineStr">
        <is>
          <t>Obra viales en diferentes calles de La Línea de la Concepción (Cádiz)</t>
        </is>
      </c>
      <c r="K56" s="2" t="inlineStr">
        <is>
          <t>93/26</t>
        </is>
      </c>
      <c r="L56" s="2" t="inlineStr">
        <is>
          <t>Abierto</t>
        </is>
      </c>
      <c r="M56" s="6" t="n">
        <v>12</v>
      </c>
      <c r="N56" s="2" t="inlineStr">
        <is>
          <t>E1-4</t>
        </is>
      </c>
      <c r="O56" s="7" t="n">
        <v>0.25</v>
      </c>
      <c r="P56" s="2" t="inlineStr">
        <is>
          <t>Compromiso ejecución de mejoras 20 | Plan de Control de Calidad de los trabajos 5 (JV) | oferta económica 30 | Análisis del proyecto base de licitación 10 (JV) | Implantación norma UNE ISO 9001 para el extendido de mezclas bituminosas en caliente: máx 4 puntos 4 | Memoria constructiva y programa de trabajos. Hasta un máximo de 10 puntos 10 (JV) | Implantación norma UNE ISO 14001 para el extendido de mezclas bituminosas en caliente: máx 3,5 puntos 3,5 | Experiencia laboral de técnico adscrito al contrato 10 | Implantación norma UNE ISO 14001 para la ejecución de obras de abastecimiento y/o saneamiento: 3,5 | Implantación norma UNE ISO 9001 para la ejecución de obras de abastecimiento y/o saneamiento: máx 4 puntos 4</t>
        </is>
      </c>
      <c r="Q56" s="2" t="inlineStr">
        <is>
          <t>definitiva 5%</t>
        </is>
      </c>
      <c r="R56" s="2" t="n"/>
      <c r="S56" s="4" t="n"/>
      <c r="T56" s="2" t="inlineStr">
        <is>
          <t>45233222; 45000000; 45230000; 45232000; 45233220; 45200000; 45233000; 45233200</t>
        </is>
      </c>
      <c r="U56" s="8" t="inlineStr">
        <is>
          <t>PCAP</t>
        </is>
      </c>
      <c r="V56" s="8" t="inlineStr">
        <is>
          <t>PPT</t>
        </is>
      </c>
      <c r="W56" s="8" t="inlineStr">
        <is>
          <t>Ver</t>
        </is>
      </c>
      <c r="X56" s="9" t="n">
        <v>46314</v>
      </c>
      <c r="Y56" s="2" t="n"/>
    </row>
    <row r="57">
      <c r="A57" s="2" t="n"/>
      <c r="B57" s="3" t="n">
        <v>46337.79166666666</v>
      </c>
      <c r="C57" s="4">
        <f>IF(B57="","",INT(B57)-TODAY())</f>
        <v/>
      </c>
      <c r="D57" s="5" t="n">
        <v>639142.6800000001</v>
      </c>
      <c r="E57" s="5" t="n">
        <v>692237.37</v>
      </c>
      <c r="F57" s="2" t="inlineStr">
        <is>
          <t>Comunitat Valenciana</t>
        </is>
      </c>
      <c r="G57" s="2" t="inlineStr">
        <is>
          <t>Alicante</t>
        </is>
      </c>
      <c r="H57" s="2" t="inlineStr">
        <is>
          <t>Alicante (Alacant)</t>
        </is>
      </c>
      <c r="I57" s="2" t="inlineStr">
        <is>
          <t>Junta de Gobierno del Ayuntamiento de Santa Pola</t>
        </is>
      </c>
      <c r="J57" s="2" t="inlineStr">
        <is>
          <t>Licitación para la contratación de las Obras de urbanización de los viales de la parcela del polígono 7.2.C de Gran Alacant (Consultorio)</t>
        </is>
      </c>
      <c r="K57" s="2" t="inlineStr">
        <is>
          <t>21085/2026</t>
        </is>
      </c>
      <c r="L57" s="2" t="inlineStr">
        <is>
          <t>Abierto simplificado</t>
        </is>
      </c>
      <c r="M57" s="6" t="n">
        <v>5</v>
      </c>
      <c r="N57" s="2" t="inlineStr">
        <is>
          <t>G*-3</t>
        </is>
      </c>
      <c r="O57" s="7" t="n">
        <v>0.45</v>
      </c>
      <c r="P57" s="2" t="inlineStr">
        <is>
          <t>Precio 55 | Mejora 20 (JV) | Juicios de Valor 25 (JV)</t>
        </is>
      </c>
      <c r="Q57" s="2" t="n"/>
      <c r="R57" s="2" t="n"/>
      <c r="S57" s="4" t="n"/>
      <c r="T57" s="2" t="inlineStr">
        <is>
          <t>45112500; 45211360</t>
        </is>
      </c>
      <c r="U57" s="8" t="inlineStr">
        <is>
          <t>PCAP</t>
        </is>
      </c>
      <c r="V57" s="8" t="inlineStr">
        <is>
          <t>PPT</t>
        </is>
      </c>
      <c r="W57" s="8" t="inlineStr">
        <is>
          <t>Ver</t>
        </is>
      </c>
      <c r="X57" s="9" t="n">
        <v>46321</v>
      </c>
      <c r="Y57" s="2" t="n"/>
    </row>
    <row r="58">
      <c r="A58" s="2" t="n"/>
      <c r="B58" s="3" t="n">
        <v>46337.99930555555</v>
      </c>
      <c r="C58" s="4">
        <f>IF(B58="","",INT(B58)-TODAY())</f>
        <v/>
      </c>
      <c r="D58" s="5" t="n">
        <v>525204.12</v>
      </c>
      <c r="E58" s="5" t="n">
        <v>525204.12</v>
      </c>
      <c r="F58" s="2" t="inlineStr">
        <is>
          <t>Andalucía</t>
        </is>
      </c>
      <c r="G58" s="2" t="inlineStr">
        <is>
          <t>Granada</t>
        </is>
      </c>
      <c r="H58" s="2" t="n"/>
      <c r="I58" s="2" t="inlineStr">
        <is>
          <t>Alcaldia del Ayuntamiento de Salobreña</t>
        </is>
      </c>
      <c r="J58" s="2" t="inlineStr">
        <is>
          <t>La ejecución del proyecto para la remodelación del espacio peatonal existente en el entorno del Juan ramón Jiménez</t>
        </is>
      </c>
      <c r="K58" s="2" t="inlineStr">
        <is>
          <t>Expte.5430/2026</t>
        </is>
      </c>
      <c r="L58" s="2" t="inlineStr">
        <is>
          <t>Abierto simplificado</t>
        </is>
      </c>
      <c r="M58" s="6" t="n">
        <v>2.5</v>
      </c>
      <c r="N58" s="2" t="inlineStr">
        <is>
          <t>G6-3</t>
        </is>
      </c>
      <c r="O58" s="7" t="n">
        <v>0</v>
      </c>
      <c r="P58" s="2" t="inlineStr">
        <is>
          <t>Oferta Económica (máximo 45 puntos) 100 | Ampliación del plazo de garantía respecto del previsto en el proyecto (hasta 30 puntos) 100 | Reducción del plazo de ejecución (en días): 0 a 25 puntos 100</t>
        </is>
      </c>
      <c r="Q58" s="2" t="inlineStr">
        <is>
          <t>definitiva 5%</t>
        </is>
      </c>
      <c r="R58" s="2" t="n"/>
      <c r="S58" s="4" t="n"/>
      <c r="T58" s="2" t="inlineStr">
        <is>
          <t>45000000; 45100000; 45233222</t>
        </is>
      </c>
      <c r="U58" s="8" t="inlineStr">
        <is>
          <t>PCAP</t>
        </is>
      </c>
      <c r="V58" s="8" t="inlineStr">
        <is>
          <t>PPT</t>
        </is>
      </c>
      <c r="W58" s="8" t="inlineStr">
        <is>
          <t>Ver</t>
        </is>
      </c>
      <c r="X58" s="9" t="n">
        <v>46321</v>
      </c>
      <c r="Y58" s="2" t="n"/>
    </row>
    <row r="59">
      <c r="A59" s="2" t="n"/>
      <c r="B59" s="3" t="n">
        <v>46338.5</v>
      </c>
      <c r="C59" s="4">
        <f>IF(B59="","",INT(B59)-TODAY())</f>
        <v/>
      </c>
      <c r="D59" s="5" t="n">
        <v>13595000</v>
      </c>
      <c r="E59" s="5" t="n">
        <v>14138800</v>
      </c>
      <c r="F59" s="2" t="inlineStr">
        <is>
          <t>Andalucía</t>
        </is>
      </c>
      <c r="G59" s="2" t="inlineStr">
        <is>
          <t>Sevilla</t>
        </is>
      </c>
      <c r="H59" s="2" t="inlineStr">
        <is>
          <t>Sevilla</t>
        </is>
      </c>
      <c r="I59" s="2" t="inlineStr">
        <is>
          <t>Aena. Presidencia. Consejero Delegado</t>
        </is>
      </c>
      <c r="J59" s="2" t="inlineStr">
        <is>
          <t>Renovación Del Sistema De Climatización Y Adecuación De La Protección Contra Incendios. Aeropuerto De Sevilla</t>
        </is>
      </c>
      <c r="K59" s="2" t="inlineStr">
        <is>
          <t>DIN-434/2026</t>
        </is>
      </c>
      <c r="L59" s="2" t="inlineStr">
        <is>
          <t>Abierto</t>
        </is>
      </c>
      <c r="M59" s="6" t="n">
        <v>39</v>
      </c>
      <c r="N59" s="2" t="n"/>
      <c r="O59" s="7" t="n">
        <v>0</v>
      </c>
      <c r="P59" s="2" t="inlineStr">
        <is>
          <t>Precio 100</t>
        </is>
      </c>
      <c r="Q59" s="2" t="n"/>
      <c r="R59" s="2" t="n"/>
      <c r="S59" s="4" t="n"/>
      <c r="T59" s="2" t="inlineStr">
        <is>
          <t>45331200</t>
        </is>
      </c>
      <c r="U59" s="8" t="inlineStr">
        <is>
          <t>PCAP</t>
        </is>
      </c>
      <c r="V59" s="8" t="inlineStr">
        <is>
          <t>PPT</t>
        </is>
      </c>
      <c r="W59" s="8" t="inlineStr">
        <is>
          <t>Ver</t>
        </is>
      </c>
      <c r="X59" s="9" t="n">
        <v>46311</v>
      </c>
      <c r="Y59" s="2" t="inlineStr">
        <is>
          <t>2026-10-23: plazo 2026-10-28 12:00 → 2026-11-12 12:00</t>
        </is>
      </c>
    </row>
    <row r="60">
      <c r="A60" s="2" t="n"/>
      <c r="B60" s="3" t="n">
        <v>46338.75</v>
      </c>
      <c r="C60" s="4">
        <f>IF(B60="","",INT(B60)-TODAY())</f>
        <v/>
      </c>
      <c r="D60" s="5" t="n">
        <v>1011605.96</v>
      </c>
      <c r="E60" s="5" t="n">
        <v>1011605.96</v>
      </c>
      <c r="F60" s="2" t="inlineStr">
        <is>
          <t>Andalucía</t>
        </is>
      </c>
      <c r="G60" s="2" t="inlineStr">
        <is>
          <t>Almería</t>
        </is>
      </c>
      <c r="H60" s="2" t="inlineStr">
        <is>
          <t>Almería</t>
        </is>
      </c>
      <c r="I60" s="2" t="inlineStr">
        <is>
          <t>Presidencia de la Autoridad Portuaria de Almería</t>
        </is>
      </c>
      <c r="J60" s="2" t="inlineStr">
        <is>
          <t>Adaptación de la infraestructura al cumplimiento de la normativa Entry/Exit System del Puerto de Almería.</t>
        </is>
      </c>
      <c r="K60" s="2" t="inlineStr">
        <is>
          <t>34/O/AS/AL26</t>
        </is>
      </c>
      <c r="L60" s="2" t="inlineStr">
        <is>
          <t>Abierto simplificado</t>
        </is>
      </c>
      <c r="M60" s="6" t="n">
        <v>6</v>
      </c>
      <c r="N60" s="2" t="inlineStr">
        <is>
          <t>I5-2; G4-3</t>
        </is>
      </c>
      <c r="O60" s="7" t="n">
        <v>0.25</v>
      </c>
      <c r="P60" s="2" t="inlineStr">
        <is>
          <t>Cuantitativos 75 | Cualitativos 25 (JV)</t>
        </is>
      </c>
      <c r="Q60" s="2" t="n"/>
      <c r="R60" s="2" t="n"/>
      <c r="S60" s="4" t="n"/>
      <c r="T60" s="2" t="inlineStr">
        <is>
          <t>45233222; 45314000; 45112100</t>
        </is>
      </c>
      <c r="U60" s="8" t="inlineStr">
        <is>
          <t>PCAP</t>
        </is>
      </c>
      <c r="V60" s="8" t="inlineStr">
        <is>
          <t>PPT</t>
        </is>
      </c>
      <c r="W60" s="8" t="inlineStr">
        <is>
          <t>Ver</t>
        </is>
      </c>
      <c r="X60" s="9" t="n">
        <v>46321</v>
      </c>
      <c r="Y60" s="2" t="n"/>
    </row>
    <row r="61">
      <c r="A61" s="2" t="n"/>
      <c r="B61" s="3" t="n">
        <v>46338.99930555555</v>
      </c>
      <c r="C61" s="4">
        <f>IF(B61="","",INT(B61)-TODAY())</f>
        <v/>
      </c>
      <c r="D61" s="5" t="n">
        <v>983261.73</v>
      </c>
      <c r="E61" s="5" t="n">
        <v>983261.73</v>
      </c>
      <c r="F61" s="2" t="inlineStr">
        <is>
          <t>Comunitat Valenciana</t>
        </is>
      </c>
      <c r="G61" s="2" t="inlineStr">
        <is>
          <t>Alicante</t>
        </is>
      </c>
      <c r="H61" s="2" t="n"/>
      <c r="I61" s="2" t="inlineStr">
        <is>
          <t>Junta de Gobierno del Ayuntamiento de Aspe</t>
        </is>
      </c>
      <c r="J61" s="2" t="inlineStr">
        <is>
          <t>Contrato Administrativo Obras rehabilitación de edificio de viviendas de calle Azorin y urbanizacion anexa en Aspe , Alicante conforme proyecto redactado por UTE PLAN A3 ARQUITECTURA E INGENIERIA, AKTUA MANAGEMENT Y CARMEN TORRES PEREZ</t>
        </is>
      </c>
      <c r="K61" s="2" t="inlineStr">
        <is>
          <t>2026/46-GUACON</t>
        </is>
      </c>
      <c r="L61" s="2" t="inlineStr">
        <is>
          <t>Abierto simplificado</t>
        </is>
      </c>
      <c r="M61" s="6" t="n">
        <v>10</v>
      </c>
      <c r="N61" s="2" t="n"/>
      <c r="O61" s="7" t="n">
        <v>0</v>
      </c>
      <c r="P61" s="2" t="inlineStr">
        <is>
          <t>PRECIO 35 | EXPERIENCIA DEL PERSONAL ADSCRITO AL CONTRATO 35 | PLAZO DE EJECUCIÓN 30</t>
        </is>
      </c>
      <c r="Q61" s="2" t="inlineStr">
        <is>
          <t>complementaria 5%; definitiva 5%</t>
        </is>
      </c>
      <c r="R61" s="2" t="n"/>
      <c r="S61" s="4" t="n"/>
      <c r="T61" s="2" t="inlineStr">
        <is>
          <t>45000000</t>
        </is>
      </c>
      <c r="U61" s="8" t="inlineStr">
        <is>
          <t>PCAP</t>
        </is>
      </c>
      <c r="V61" s="8" t="inlineStr">
        <is>
          <t>PPT</t>
        </is>
      </c>
      <c r="W61" s="8" t="inlineStr">
        <is>
          <t>Ver</t>
        </is>
      </c>
      <c r="X61" s="9" t="n">
        <v>46321</v>
      </c>
      <c r="Y61" s="2" t="n"/>
    </row>
    <row r="62">
      <c r="A62" s="2" t="n"/>
      <c r="B62" s="3" t="n">
        <v>46338.99930555555</v>
      </c>
      <c r="C62" s="4">
        <f>IF(B62="","",INT(B62)-TODAY())</f>
        <v/>
      </c>
      <c r="D62" s="5" t="n">
        <v>859232.28</v>
      </c>
      <c r="E62" s="5" t="n">
        <v>859232.28</v>
      </c>
      <c r="F62" s="2" t="inlineStr">
        <is>
          <t>Andalucía</t>
        </is>
      </c>
      <c r="G62" s="2" t="inlineStr">
        <is>
          <t>Sevilla</t>
        </is>
      </c>
      <c r="H62" s="2" t="n"/>
      <c r="I62" s="2" t="inlineStr">
        <is>
          <t>Vicepresidencia del Instituto Municipal de Deportes del Ayuntamiento de Sevilla</t>
        </is>
      </c>
      <c r="J62" s="2" t="inlineStr">
        <is>
          <t>Obras de reparación, renovación y adecuación superficial de los pavimentos de las pistas deportivas exteriores adscritas a los Centros Deportivos (CD) del Instituto Municipal de Deportes (IMD) del Ayuntamiento de Sevilla.</t>
        </is>
      </c>
      <c r="K62" s="2" t="inlineStr">
        <is>
          <t>2026/000905</t>
        </is>
      </c>
      <c r="L62" s="2" t="inlineStr">
        <is>
          <t>Abierto simplificado</t>
        </is>
      </c>
      <c r="M62" s="6" t="n">
        <v>6</v>
      </c>
      <c r="N62" s="2" t="n"/>
      <c r="O62" s="7" t="n">
        <v>0</v>
      </c>
      <c r="P62" s="2" t="inlineStr">
        <is>
          <t>Ampliación del Plazo de Garantía 10 | Criterios medioambientales y de sostenibilidad 30 | OFERTA ECONOMICA 60</t>
        </is>
      </c>
      <c r="Q62" s="2" t="inlineStr">
        <is>
          <t>definitiva 5%; complementaria 5%</t>
        </is>
      </c>
      <c r="R62" s="2" t="n"/>
      <c r="S62" s="4" t="n"/>
      <c r="T62" s="2" t="inlineStr">
        <is>
          <t>45432100; 45212290; 45236119; 45212213</t>
        </is>
      </c>
      <c r="U62" s="8" t="inlineStr">
        <is>
          <t>PCAP</t>
        </is>
      </c>
      <c r="V62" s="8" t="inlineStr">
        <is>
          <t>PPT</t>
        </is>
      </c>
      <c r="W62" s="8" t="inlineStr">
        <is>
          <t>Ver</t>
        </is>
      </c>
      <c r="X62" s="9" t="n">
        <v>46321</v>
      </c>
      <c r="Y62" s="2" t="n"/>
    </row>
    <row r="63">
      <c r="A63" s="2" t="n"/>
      <c r="B63" s="3" t="n">
        <v>46338.99930555555</v>
      </c>
      <c r="C63" s="4">
        <f>IF(B63="","",INT(B63)-TODAY())</f>
        <v/>
      </c>
      <c r="D63" s="5" t="n">
        <v>1900669.71</v>
      </c>
      <c r="E63" s="5" t="n">
        <v>1900669.71</v>
      </c>
      <c r="F63" s="2" t="inlineStr">
        <is>
          <t>Andalucía</t>
        </is>
      </c>
      <c r="G63" s="2" t="inlineStr">
        <is>
          <t>Cádiz</t>
        </is>
      </c>
      <c r="H63" s="2" t="inlineStr">
        <is>
          <t>Puerto Real</t>
        </is>
      </c>
      <c r="I63" s="2" t="inlineStr">
        <is>
          <t>Alcaldía del Ayuntamiento de Puerto Real</t>
        </is>
      </c>
      <c r="J63" s="2" t="inlineStr">
        <is>
          <t>B/006/2026: Ejecución de obras de recuperación integral mediante consolidación estructural del Pabellón municipal de deportes, Plan Cádiz Marcha + 2026.</t>
        </is>
      </c>
      <c r="K63" s="2" t="inlineStr">
        <is>
          <t>13881/2026</t>
        </is>
      </c>
      <c r="L63" s="2" t="inlineStr">
        <is>
          <t>Abierto simplificado</t>
        </is>
      </c>
      <c r="M63" s="6" t="n">
        <v>9</v>
      </c>
      <c r="N63" s="2" t="inlineStr">
        <is>
          <t>C*-4</t>
        </is>
      </c>
      <c r="O63" s="7" t="n">
        <v>0</v>
      </c>
      <c r="P63" s="2" t="inlineStr">
        <is>
          <t>Experiencia del Jefe de obras 30 | Oferta económica 70</t>
        </is>
      </c>
      <c r="Q63" s="2" t="inlineStr">
        <is>
          <t>definitiva 5%</t>
        </is>
      </c>
      <c r="R63" s="2" t="inlineStr">
        <is>
          <t>No</t>
        </is>
      </c>
      <c r="S63" s="4" t="n"/>
      <c r="T63" s="2" t="inlineStr">
        <is>
          <t>45200000; 45223210; 45261213; 45261910; 45111000; 45262400</t>
        </is>
      </c>
      <c r="U63" s="8" t="inlineStr">
        <is>
          <t>PCAP</t>
        </is>
      </c>
      <c r="V63" s="8" t="inlineStr">
        <is>
          <t>PPT</t>
        </is>
      </c>
      <c r="W63" s="8" t="inlineStr">
        <is>
          <t>Ver</t>
        </is>
      </c>
      <c r="X63" s="9" t="n">
        <v>46321</v>
      </c>
      <c r="Y63" s="2" t="n"/>
    </row>
    <row r="64">
      <c r="A64" s="2" t="n"/>
      <c r="B64" s="3" t="n">
        <v>46339.54166666666</v>
      </c>
      <c r="C64" s="4">
        <f>IF(B64="","",INT(B64)-TODAY())</f>
        <v/>
      </c>
      <c r="D64" s="5" t="n">
        <v>900915.88</v>
      </c>
      <c r="E64" s="5" t="n">
        <v>900915.88</v>
      </c>
      <c r="F64" s="2" t="inlineStr">
        <is>
          <t>Comunitat Valenciana</t>
        </is>
      </c>
      <c r="G64" s="2" t="inlineStr">
        <is>
          <t>Castellón</t>
        </is>
      </c>
      <c r="H64" s="2" t="inlineStr">
        <is>
          <t>L'Alcora</t>
        </is>
      </c>
      <c r="I64" s="2" t="inlineStr">
        <is>
          <t>Alcaldía del Ayuntamiento de L'Alcora</t>
        </is>
      </c>
      <c r="J64" s="2" t="inlineStr">
        <is>
          <t>Ejecución del proyecto de obras de "Derribo y adecuación de solar de la antgua fábrica de Azulejos Sanchis de l'Alcora".</t>
        </is>
      </c>
      <c r="K64" s="2" t="inlineStr">
        <is>
          <t>9083/2026</t>
        </is>
      </c>
      <c r="L64" s="2" t="inlineStr">
        <is>
          <t>Abierto simplificado</t>
        </is>
      </c>
      <c r="M64" s="6" t="n">
        <v>4</v>
      </c>
      <c r="N64" s="2" t="inlineStr">
        <is>
          <t>C1-4</t>
        </is>
      </c>
      <c r="O64" s="7" t="n">
        <v>0.25</v>
      </c>
      <c r="P64" s="2" t="inlineStr">
        <is>
          <t>Memoria técnica 25 (JV) | Aumento del plazo de garantía 10 | Precio ofertado 65</t>
        </is>
      </c>
      <c r="Q64" s="2" t="inlineStr">
        <is>
          <t>definitiva 5%</t>
        </is>
      </c>
      <c r="R64" s="2" t="n"/>
      <c r="S64" s="4" t="n"/>
      <c r="T64" s="2" t="inlineStr">
        <is>
          <t>45110000</t>
        </is>
      </c>
      <c r="U64" s="8" t="inlineStr">
        <is>
          <t>PCAP</t>
        </is>
      </c>
      <c r="V64" s="8" t="inlineStr">
        <is>
          <t>PPT</t>
        </is>
      </c>
      <c r="W64" s="8" t="inlineStr">
        <is>
          <t>Ver</t>
        </is>
      </c>
      <c r="X64" s="9" t="n">
        <v>46321</v>
      </c>
      <c r="Y64" s="2" t="n"/>
    </row>
    <row r="65">
      <c r="A65" s="2" t="n"/>
      <c r="B65" s="3" t="n">
        <v>46339.58333333334</v>
      </c>
      <c r="C65" s="4">
        <f>IF(B65="","",INT(B65)-TODAY())</f>
        <v/>
      </c>
      <c r="D65" s="5" t="n">
        <v>392087954.71</v>
      </c>
      <c r="E65" s="5" t="n">
        <v>431296750.18</v>
      </c>
      <c r="F65" s="2" t="inlineStr">
        <is>
          <t>Comunitat Valenciana</t>
        </is>
      </c>
      <c r="G65" s="2" t="inlineStr">
        <is>
          <t>Castellón</t>
        </is>
      </c>
      <c r="H65" s="2" t="inlineStr">
        <is>
          <t>Castelló de la Plana</t>
        </is>
      </c>
      <c r="I65" s="2" t="inlineStr">
        <is>
          <t>Dirección General de Gestión Económica, Contratación e Infraestructuras de la Conselleria de Sanidad</t>
        </is>
      </c>
      <c r="J65" s="2" t="inlineStr">
        <is>
          <t>Obras del Nuevo Hospital General Universitario de Castellón.</t>
        </is>
      </c>
      <c r="K65" s="2" t="inlineStr">
        <is>
          <t>31/2027</t>
        </is>
      </c>
      <c r="L65" s="2" t="inlineStr">
        <is>
          <t>Abierto</t>
        </is>
      </c>
      <c r="M65" s="6" t="n">
        <v>60</v>
      </c>
      <c r="N65" s="2" t="inlineStr">
        <is>
          <t>C*-6</t>
        </is>
      </c>
      <c r="O65" s="7" t="n">
        <v>0.3</v>
      </c>
      <c r="P65" s="2" t="inlineStr">
        <is>
          <t>PROPOSICIÓN TÉCNICA 30 (JV) | CRITERIO MAYOR EXPERIENCIA DEL EQUIPO MÍNIMO DE TRABAJO 10 | PROPOSICIÓN ECONÓMICA 50 | SEGUIMIENTO Y CONTROL DE LA OBRA MEDIANTE NUEVAS TECNOLOGÍAS 5 | INCREMENTO PLAZO DE GARANTÍA 5</t>
        </is>
      </c>
      <c r="Q65" s="2" t="inlineStr">
        <is>
          <t>complementaria 5%; definitiva 5%</t>
        </is>
      </c>
      <c r="R65" s="2" t="inlineStr">
        <is>
          <t>Recogida en el apartado H del Anexo I al PCAP.</t>
        </is>
      </c>
      <c r="S65" s="4" t="n"/>
      <c r="T65" s="2" t="inlineStr">
        <is>
          <t>45215100</t>
        </is>
      </c>
      <c r="U65" s="8" t="inlineStr">
        <is>
          <t>PCAP</t>
        </is>
      </c>
      <c r="V65" s="8" t="inlineStr">
        <is>
          <t>PPT</t>
        </is>
      </c>
      <c r="W65" s="8" t="inlineStr">
        <is>
          <t>Ver</t>
        </is>
      </c>
      <c r="X65" s="9" t="n">
        <v>46310</v>
      </c>
      <c r="Y65" s="2" t="inlineStr">
        <is>
          <t>2026-10-20: plazo 2026-11-03 14:00 → 2026-11-13 14:00</t>
        </is>
      </c>
    </row>
    <row r="66">
      <c r="A66" s="2" t="n"/>
      <c r="B66" s="3" t="n">
        <v>46340.99930555555</v>
      </c>
      <c r="C66" s="4">
        <f>IF(B66="","",INT(B66)-TODAY())</f>
        <v/>
      </c>
      <c r="D66" s="5" t="n">
        <v>3796334.26</v>
      </c>
      <c r="E66" s="5" t="n">
        <v>3796334.26</v>
      </c>
      <c r="F66" s="2" t="inlineStr">
        <is>
          <t>Andalucía</t>
        </is>
      </c>
      <c r="G66" s="2" t="inlineStr">
        <is>
          <t>Málaga</t>
        </is>
      </c>
      <c r="H66" s="2" t="inlineStr">
        <is>
          <t>Coín</t>
        </is>
      </c>
      <c r="I66" s="2" t="inlineStr">
        <is>
          <t>Alcaldía del Ayuntamiento de Coín</t>
        </is>
      </c>
      <c r="J66"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K66" s="2" t="inlineStr">
        <is>
          <t>4835/2026</t>
        </is>
      </c>
      <c r="L66" s="2" t="inlineStr">
        <is>
          <t>Abierto</t>
        </is>
      </c>
      <c r="M66" s="6" t="n">
        <v>18</v>
      </c>
      <c r="N66" s="2" t="inlineStr">
        <is>
          <t>B*-5</t>
        </is>
      </c>
      <c r="O66" s="7" t="n">
        <v>0.25</v>
      </c>
      <c r="P66" s="2" t="inlineStr">
        <is>
          <t>Análisis del Proyecto base de licitación 10 (JV) | Importe ofertado para ejecutar las obras 10 | Memoria Constructiva e Impacto de las Obras 15 (JV) | Plazo de ejecución 45 | Incremento de la duración del plazo de garantía 20</t>
        </is>
      </c>
      <c r="Q66" s="2" t="inlineStr">
        <is>
          <t>definitiva 5%</t>
        </is>
      </c>
      <c r="R66" s="2" t="n"/>
      <c r="S66" s="4" t="n"/>
      <c r="T66" s="2" t="inlineStr">
        <is>
          <t>45221110; 45233222</t>
        </is>
      </c>
      <c r="U66" s="8" t="inlineStr">
        <is>
          <t>PCAP</t>
        </is>
      </c>
      <c r="V66" s="8" t="inlineStr">
        <is>
          <t>PPT</t>
        </is>
      </c>
      <c r="W66" s="8" t="inlineStr">
        <is>
          <t>Ver</t>
        </is>
      </c>
      <c r="X66" s="9" t="n">
        <v>46315</v>
      </c>
      <c r="Y66" s="2" t="n"/>
    </row>
    <row r="67">
      <c r="A67" s="2" t="n"/>
      <c r="B67" s="3" t="n">
        <v>46342.41666666666</v>
      </c>
      <c r="C67" s="4">
        <f>IF(B67="","",INT(B67)-TODAY())</f>
        <v/>
      </c>
      <c r="D67" s="5" t="n">
        <v>538193.71</v>
      </c>
      <c r="E67" s="5" t="n">
        <v>538193.71</v>
      </c>
      <c r="F67" s="2" t="inlineStr">
        <is>
          <t>Andalucía</t>
        </is>
      </c>
      <c r="G67" s="2" t="inlineStr">
        <is>
          <t>Cádiz</t>
        </is>
      </c>
      <c r="H67" s="2" t="inlineStr">
        <is>
          <t>Cádiz</t>
        </is>
      </c>
      <c r="I67" s="2" t="inlineStr">
        <is>
          <t>Junta de Gobierno del Ayuntamiento de Cádiz</t>
        </is>
      </c>
      <c r="J67" s="2" t="inlineStr">
        <is>
          <t>Urbanización calle Juan de la Cierva, Dársena y Fernández Cossío, a implementar en el PAI de Cádiz, Europa transforma nuestros barrios, cofinanciado por la unión europea a través del fondo europeo de desarrollo regional FEDER en el marco del programa plurirregional de España 2021-2027</t>
        </is>
      </c>
      <c r="K67" s="2" t="inlineStr">
        <is>
          <t>2026/143</t>
        </is>
      </c>
      <c r="L67" s="2" t="inlineStr">
        <is>
          <t>Abierto simplificado</t>
        </is>
      </c>
      <c r="M67" s="6" t="n">
        <v>5</v>
      </c>
      <c r="N67" s="2" t="inlineStr">
        <is>
          <t>G6-3</t>
        </is>
      </c>
      <c r="O67" s="7" t="n">
        <v>0</v>
      </c>
      <c r="P67" s="2" t="inlineStr">
        <is>
          <t>Precio 100</t>
        </is>
      </c>
      <c r="Q67" s="2" t="inlineStr">
        <is>
          <t>definitiva 5%</t>
        </is>
      </c>
      <c r="R67" s="2" t="n"/>
      <c r="S67" s="4" t="n"/>
      <c r="T67" s="2" t="inlineStr">
        <is>
          <t>45233140; 45232400</t>
        </is>
      </c>
      <c r="U67" s="8" t="inlineStr">
        <is>
          <t>PCAP</t>
        </is>
      </c>
      <c r="V67" s="8" t="inlineStr">
        <is>
          <t>PPT</t>
        </is>
      </c>
      <c r="W67" s="8" t="inlineStr">
        <is>
          <t>Ver</t>
        </is>
      </c>
      <c r="X67" s="9" t="n">
        <v>46321</v>
      </c>
      <c r="Y67" s="2" t="inlineStr">
        <is>
          <t>2026-10-27: plazo 2026-11-13 10:00 → 2026-11-16 10:00</t>
        </is>
      </c>
    </row>
    <row r="68">
      <c r="A68" s="2" t="n"/>
      <c r="B68" s="3" t="n">
        <v>46342.58333333334</v>
      </c>
      <c r="C68" s="4">
        <f>IF(B68="","",INT(B68)-TODAY())</f>
        <v/>
      </c>
      <c r="D68" s="5" t="n">
        <v>3884750.48</v>
      </c>
      <c r="E68" s="5" t="n">
        <v>3884750.48</v>
      </c>
      <c r="F68" s="2" t="inlineStr">
        <is>
          <t>Andalucía</t>
        </is>
      </c>
      <c r="G68" s="2" t="inlineStr">
        <is>
          <t>Córdoba</t>
        </is>
      </c>
      <c r="H68" s="2" t="inlineStr">
        <is>
          <t>Córdoba</t>
        </is>
      </c>
      <c r="I68" s="2" t="inlineStr">
        <is>
          <t>Viviendas Municipales de Córdoba SA</t>
        </is>
      </c>
      <c r="J68" s="2" t="inlineStr">
        <is>
          <t>El objeto del contrato es la construcción de 30 viviendas protegidas con trasteros y plazas de aparcamiento en régimen de venta.</t>
        </is>
      </c>
      <c r="K68" s="2" t="inlineStr">
        <is>
          <t>3-O/2026</t>
        </is>
      </c>
      <c r="L68" s="2" t="inlineStr">
        <is>
          <t>Abierto</t>
        </is>
      </c>
      <c r="M68" s="6" t="n">
        <v>20</v>
      </c>
      <c r="N68" s="2" t="inlineStr">
        <is>
          <t>C*-4</t>
        </is>
      </c>
      <c r="O68" s="7" t="n">
        <v>0</v>
      </c>
      <c r="P68" s="2" t="inlineStr">
        <is>
          <t>Oferta económica 66 | Plazo de ejecución 2 | Plazo de garantía 10 | Ampliación del plan de control de calidad 10 | Experiencia del jefe de obra y del encargado en ejecución de obras 12</t>
        </is>
      </c>
      <c r="Q68" s="2" t="inlineStr">
        <is>
          <t>complementaria 5%; definitiva 5%</t>
        </is>
      </c>
      <c r="R68" s="2" t="n"/>
      <c r="S68" s="4" t="n"/>
      <c r="T68" s="2" t="inlineStr">
        <is>
          <t>45211340; 45211341</t>
        </is>
      </c>
      <c r="U68" s="8" t="inlineStr">
        <is>
          <t>PCAP</t>
        </is>
      </c>
      <c r="V68" s="8" t="inlineStr">
        <is>
          <t>PPT</t>
        </is>
      </c>
      <c r="W68" s="8" t="inlineStr">
        <is>
          <t>Ver</t>
        </is>
      </c>
      <c r="X68" s="9" t="n">
        <v>46314</v>
      </c>
      <c r="Y68" s="2" t="n"/>
    </row>
    <row r="69">
      <c r="A69" s="2" t="n"/>
      <c r="B69" s="3" t="n">
        <v>46342.58333333334</v>
      </c>
      <c r="C69" s="4">
        <f>IF(B69="","",INT(B69)-TODAY())</f>
        <v/>
      </c>
      <c r="D69" s="5" t="n">
        <v>4299512.47</v>
      </c>
      <c r="E69" s="5" t="n">
        <v>4299512.47</v>
      </c>
      <c r="F69" s="2" t="inlineStr">
        <is>
          <t>Andalucía</t>
        </is>
      </c>
      <c r="G69" s="2" t="inlineStr">
        <is>
          <t>Córdoba</t>
        </is>
      </c>
      <c r="H69" s="2" t="n"/>
      <c r="I69" s="2" t="inlineStr">
        <is>
          <t>Viviendas Municipales de Córdoba SA</t>
        </is>
      </c>
      <c r="J69"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K69" s="2" t="inlineStr">
        <is>
          <t>2-O/2026</t>
        </is>
      </c>
      <c r="L69" s="2" t="inlineStr">
        <is>
          <t>Abierto</t>
        </is>
      </c>
      <c r="M69" s="6" t="n">
        <v>24</v>
      </c>
      <c r="N69" s="2" t="inlineStr">
        <is>
          <t>C*-4</t>
        </is>
      </c>
      <c r="O69" s="7" t="n">
        <v>0</v>
      </c>
      <c r="P69" s="2" t="inlineStr">
        <is>
          <t>Ampliación del Plan de control de calidad 10 | Plazo de garantía 10 | Precio Oferta Integradora - Lotes 1_2 0 | Oferta económica 66 | Plazo de ejecución 2 | Experiencia del jefe de obra y del encargado en ejecución de obras 12</t>
        </is>
      </c>
      <c r="Q69" s="2" t="inlineStr">
        <is>
          <t>definitiva 5%</t>
        </is>
      </c>
      <c r="R69" s="2" t="n"/>
      <c r="S69" s="4" t="n">
        <v>2</v>
      </c>
      <c r="T69" s="2" t="inlineStr">
        <is>
          <t>45211340</t>
        </is>
      </c>
      <c r="U69" s="8" t="inlineStr">
        <is>
          <t>PCAP</t>
        </is>
      </c>
      <c r="V69" s="8" t="inlineStr">
        <is>
          <t>PPT</t>
        </is>
      </c>
      <c r="W69" s="8" t="inlineStr">
        <is>
          <t>Ver</t>
        </is>
      </c>
      <c r="X69" s="9" t="n">
        <v>46314</v>
      </c>
      <c r="Y69" s="2" t="n"/>
    </row>
    <row r="70">
      <c r="A70" s="2" t="n"/>
      <c r="B70" s="3" t="n">
        <v>46342.70833333334</v>
      </c>
      <c r="C70" s="4">
        <f>IF(B70="","",INT(B70)-TODAY())</f>
        <v/>
      </c>
      <c r="D70" s="5" t="n">
        <v>1373863.48</v>
      </c>
      <c r="E70" s="5" t="n">
        <v>1648636.17</v>
      </c>
      <c r="F70" s="2" t="inlineStr">
        <is>
          <t>Comunitat Valenciana</t>
        </is>
      </c>
      <c r="G70" s="2" t="inlineStr">
        <is>
          <t>Alicante</t>
        </is>
      </c>
      <c r="H70" s="2" t="inlineStr">
        <is>
          <t>Alicante (Alacant)</t>
        </is>
      </c>
      <c r="I70" s="2" t="inlineStr">
        <is>
          <t>Alcaldía del Ayuntamiento de Santa Pola</t>
        </is>
      </c>
      <c r="J70" s="2" t="inlineStr">
        <is>
          <t>Obras de Urbanización del bulevar de la Avenida Salamanca, entre Calle Rojales y Avenida Virgen del Pilar, susceptible de ser cofinanciado por la UE a través del</t>
        </is>
      </c>
      <c r="K70" s="2" t="inlineStr">
        <is>
          <t>18222/2026</t>
        </is>
      </c>
      <c r="L70" s="2" t="inlineStr">
        <is>
          <t>Abierto simplificado</t>
        </is>
      </c>
      <c r="M70" s="6" t="n">
        <v>10</v>
      </c>
      <c r="N70" s="2" t="inlineStr">
        <is>
          <t>K6-1; C6-2</t>
        </is>
      </c>
      <c r="O70" s="7" t="n">
        <v>0.45</v>
      </c>
      <c r="P70" s="2" t="inlineStr">
        <is>
          <t>A.3.3. Suministro e instalación de bancos accesibles 10 (JV) | A.2. AMPLIACIÓN DE GARANTÍA 15 (JV) | A.3.1. Incorporación de sensores de humedad del suelo al sistema de riego 10 (JV) | A.3.2. Incorporación de un sistema automático de detección de fugas en la red de riego 10 (JV) | A.1. OFERTA ECONÓMICA 55</t>
        </is>
      </c>
      <c r="Q70" s="2" t="n"/>
      <c r="R70" s="2" t="n"/>
      <c r="S70" s="4" t="n"/>
      <c r="T70" s="2" t="inlineStr">
        <is>
          <t>45112700; 45233294; 45233270; 45233262; 45233291; 45233200; 45233290; 45233293</t>
        </is>
      </c>
      <c r="U70" s="8" t="inlineStr">
        <is>
          <t>PCAP</t>
        </is>
      </c>
      <c r="V70" s="8" t="inlineStr">
        <is>
          <t>PPT</t>
        </is>
      </c>
      <c r="W70" s="8" t="inlineStr">
        <is>
          <t>Ver</t>
        </is>
      </c>
      <c r="X70" s="9" t="n">
        <v>46322</v>
      </c>
      <c r="Y70" s="2" t="n"/>
    </row>
    <row r="71">
      <c r="A71" s="2" t="n"/>
      <c r="B71" s="3" t="n">
        <v>46342.99930555555</v>
      </c>
      <c r="C71" s="4">
        <f>IF(B71="","",INT(B71)-TODAY())</f>
        <v/>
      </c>
      <c r="D71" s="5" t="n">
        <v>2470744.98</v>
      </c>
      <c r="E71" s="5" t="n">
        <v>2470744.98</v>
      </c>
      <c r="F71" s="2" t="inlineStr">
        <is>
          <t>Comunitat Valenciana</t>
        </is>
      </c>
      <c r="G71" s="2" t="inlineStr">
        <is>
          <t>Valencia</t>
        </is>
      </c>
      <c r="H71" s="2" t="n"/>
      <c r="I71" s="2" t="inlineStr">
        <is>
          <t>Pleno del Ayuntamiento de Puçol</t>
        </is>
      </c>
      <c r="J71" s="2" t="inlineStr">
        <is>
          <t>Reforma del Colegio Jaume I de Puçol y construcción de un gimnasio y un aulario para educación infantil (EDIFICANT)</t>
        </is>
      </c>
      <c r="K71" s="2" t="inlineStr">
        <is>
          <t>2138082J</t>
        </is>
      </c>
      <c r="L71" s="2" t="inlineStr">
        <is>
          <t>Abierto</t>
        </is>
      </c>
      <c r="M71" s="6" t="n">
        <v>12</v>
      </c>
      <c r="N71" s="2" t="inlineStr">
        <is>
          <t>C9-4</t>
        </is>
      </c>
      <c r="O71" s="7" t="n">
        <v>0.26</v>
      </c>
      <c r="P71" s="2" t="inlineStr">
        <is>
          <t>6)  Propuesta  ejecución de partidas edificio existente antes vacaciones de verano 6 (JV) | 2) Reducción del plazo parcial de ejecución de la reforma interior del edificio existente 15 | 5) Propuesta organización del solapamiento entre la obra y la actividad docente 6 (JV) | 7) Programación de los trabajos 8 (JV) | 1) Oferta económica 35 | 4) Propuesta de organización y estudio del entorno de la obra 6 (JV) | 3) Mejoras 24</t>
        </is>
      </c>
      <c r="Q71" s="2" t="inlineStr">
        <is>
          <t>definitiva 5%</t>
        </is>
      </c>
      <c r="R71" s="2" t="n"/>
      <c r="S71" s="4" t="n"/>
      <c r="T71" s="2" t="inlineStr">
        <is>
          <t>45200000; 45214200</t>
        </is>
      </c>
      <c r="U71" s="8" t="inlineStr">
        <is>
          <t>PCAP</t>
        </is>
      </c>
      <c r="V71" s="2" t="n"/>
      <c r="W71" s="8" t="inlineStr">
        <is>
          <t>Ver</t>
        </is>
      </c>
      <c r="X71" s="9" t="n">
        <v>46314</v>
      </c>
      <c r="Y71" s="2" t="n"/>
    </row>
    <row r="72">
      <c r="A72" s="2" t="n"/>
      <c r="B72" s="3" t="n">
        <v>46342.99930555555</v>
      </c>
      <c r="C72" s="4">
        <f>IF(B72="","",INT(B72)-TODAY())</f>
        <v/>
      </c>
      <c r="D72" s="5" t="n">
        <v>3900977.87</v>
      </c>
      <c r="E72" s="5" t="n">
        <v>5071271.23</v>
      </c>
      <c r="F72" s="2" t="inlineStr">
        <is>
          <t>Comunitat Valenciana</t>
        </is>
      </c>
      <c r="G72" s="2" t="inlineStr">
        <is>
          <t>Valencia</t>
        </is>
      </c>
      <c r="H72" s="2" t="n"/>
      <c r="I72" s="2" t="inlineStr">
        <is>
          <t>Consorcio Hospital General Universitario de Valencia</t>
        </is>
      </c>
      <c r="J72" s="2" t="inlineStr">
        <is>
          <t>Obra de reforma de la cocina del Consorcio Hospital General Universitario de Valencia.</t>
        </is>
      </c>
      <c r="K72" s="2" t="inlineStr">
        <is>
          <t>CMAYOR/2027/HGUV0/0088</t>
        </is>
      </c>
      <c r="L72" s="2" t="inlineStr">
        <is>
          <t>Abierto</t>
        </is>
      </c>
      <c r="M72" s="6" t="n">
        <v>12</v>
      </c>
      <c r="N72" s="2" t="n"/>
      <c r="O72" s="7" t="n">
        <v>0.23</v>
      </c>
      <c r="P72" s="2" t="inlineStr">
        <is>
          <t>CRITERIOS SUBJETIVOS 23 (JV) | RESTO DE CRITERIOS OBJETIVOS 27 | IMPORTE DE LA OFERTA 50</t>
        </is>
      </c>
      <c r="Q72" s="2" t="inlineStr">
        <is>
          <t>definitiva 5%; complementaria 5%</t>
        </is>
      </c>
      <c r="R72" s="2" t="n"/>
      <c r="S72" s="4" t="n"/>
      <c r="T72" s="2" t="inlineStr">
        <is>
          <t>45215100; 39141400; 45421151; 45215140; 45212500; 45215120</t>
        </is>
      </c>
      <c r="U72" s="8" t="inlineStr">
        <is>
          <t>PCAP</t>
        </is>
      </c>
      <c r="V72" s="8" t="inlineStr">
        <is>
          <t>PPT</t>
        </is>
      </c>
      <c r="W72" s="8" t="inlineStr">
        <is>
          <t>Ver</t>
        </is>
      </c>
      <c r="X72" s="9" t="n">
        <v>46314</v>
      </c>
      <c r="Y72" s="2" t="n"/>
    </row>
    <row r="73">
      <c r="A73" s="2" t="n"/>
      <c r="B73" s="3" t="n">
        <v>46342.99930555555</v>
      </c>
      <c r="C73" s="4">
        <f>IF(B73="","",INT(B73)-TODAY())</f>
        <v/>
      </c>
      <c r="D73" s="5" t="n">
        <v>1332042.22</v>
      </c>
      <c r="E73" s="5" t="n">
        <v>1332042.22</v>
      </c>
      <c r="F73" s="2" t="inlineStr">
        <is>
          <t>Comunitat Valenciana</t>
        </is>
      </c>
      <c r="G73" s="2" t="inlineStr">
        <is>
          <t>Valencia</t>
        </is>
      </c>
      <c r="H73" s="2" t="n"/>
      <c r="I73" s="2" t="inlineStr">
        <is>
          <t>Alcaldía del Ayuntamiento de Manises</t>
        </is>
      </c>
      <c r="J73" s="2" t="inlineStr">
        <is>
          <t>Obras para la ejecución de las actuaciones incluidas en el plan edificant correspondientes a la fase 2 del CEIP Enric Valor ya la adecuación y mejora del CEIP José Garcia Planells</t>
        </is>
      </c>
      <c r="K73" s="2" t="inlineStr">
        <is>
          <t>2754824W</t>
        </is>
      </c>
      <c r="L73" s="2" t="inlineStr">
        <is>
          <t>Abierto</t>
        </is>
      </c>
      <c r="M73" s="6" t="n">
        <v>6</v>
      </c>
      <c r="N73" s="2" t="inlineStr">
        <is>
          <t>J2-3; C4-3; I9-3; C6-3</t>
        </is>
      </c>
      <c r="O73" s="7" t="n">
        <v>0.3</v>
      </c>
      <c r="P73" s="2" t="inlineStr">
        <is>
          <t>Oferta económica 40 | Ampliación del plazo de garantía 10 | Memoria de organización 30 (JV) | Disposición de jefe de obra 20</t>
        </is>
      </c>
      <c r="Q73" s="2" t="n"/>
      <c r="R73" s="2" t="n"/>
      <c r="S73" s="4" t="n">
        <v>2</v>
      </c>
      <c r="T73" s="2" t="inlineStr">
        <is>
          <t>45214200; 45200000; 45300000; 45261410; 45331200</t>
        </is>
      </c>
      <c r="U73" s="8" t="inlineStr">
        <is>
          <t>PCAP</t>
        </is>
      </c>
      <c r="V73" s="8" t="inlineStr">
        <is>
          <t>PPT</t>
        </is>
      </c>
      <c r="W73" s="8" t="inlineStr">
        <is>
          <t>Ver</t>
        </is>
      </c>
      <c r="X73" s="9" t="n">
        <v>46317</v>
      </c>
      <c r="Y73" s="2" t="n"/>
    </row>
    <row r="74">
      <c r="A74" s="2" t="n"/>
      <c r="B74" s="3" t="n">
        <v>46342.99930555555</v>
      </c>
      <c r="C74" s="4">
        <f>IF(B74="","",INT(B74)-TODAY())</f>
        <v/>
      </c>
      <c r="D74" s="5" t="n">
        <v>3636363.64</v>
      </c>
      <c r="E74" s="5" t="n">
        <v>3636363.64</v>
      </c>
      <c r="F74" s="2" t="inlineStr">
        <is>
          <t>Andalucía</t>
        </is>
      </c>
      <c r="G74" s="2" t="inlineStr">
        <is>
          <t>Almería</t>
        </is>
      </c>
      <c r="H74" s="2" t="n"/>
      <c r="I74" s="2" t="inlineStr">
        <is>
          <t>Junta de Gobierno de la Diputación Provincial de Almería</t>
        </is>
      </c>
      <c r="J74" s="2" t="inlineStr">
        <is>
          <t>Gran Eco-bulevard Vera - Palomares. Este Proyecto Podrá Ser Cofinanciado Por La Unión Europea A Través Del Fondo Europeo De Desarrollo Regional (feder) En El Marco Del Programa Plurirregional De Españ 9PAI-LEVANTE30</t>
        </is>
      </c>
      <c r="K74" s="2" t="inlineStr">
        <is>
          <t>2026/D31000/006-002/00004</t>
        </is>
      </c>
      <c r="L74" s="2" t="inlineStr">
        <is>
          <t>Abierto</t>
        </is>
      </c>
      <c r="M74" s="6" t="n">
        <v>12.2</v>
      </c>
      <c r="N74" s="2" t="inlineStr">
        <is>
          <t>I1-4; G6-4</t>
        </is>
      </c>
      <c r="O74" s="7" t="n">
        <v>0.25</v>
      </c>
      <c r="P74" s="2" t="inlineStr">
        <is>
          <t>Precio 75 | Oferta Técnica 25 (JV)</t>
        </is>
      </c>
      <c r="Q74" s="2" t="inlineStr">
        <is>
          <t>complementaria 5%; definitiva 5%</t>
        </is>
      </c>
      <c r="R74" s="2" t="n"/>
      <c r="S74" s="4" t="n"/>
      <c r="T74" s="2" t="inlineStr">
        <is>
          <t>45111291</t>
        </is>
      </c>
      <c r="U74" s="8" t="inlineStr">
        <is>
          <t>PCAP</t>
        </is>
      </c>
      <c r="V74" s="8" t="inlineStr">
        <is>
          <t>PPT</t>
        </is>
      </c>
      <c r="W74" s="8" t="inlineStr">
        <is>
          <t>Ver</t>
        </is>
      </c>
      <c r="X74" s="9" t="n">
        <v>46317</v>
      </c>
      <c r="Y74" s="2" t="n"/>
    </row>
    <row r="75">
      <c r="A75" s="2" t="n"/>
      <c r="B75" s="3" t="n">
        <v>46342.99930555555</v>
      </c>
      <c r="C75" s="4">
        <f>IF(B75="","",INT(B75)-TODAY())</f>
        <v/>
      </c>
      <c r="D75" s="5" t="n">
        <v>661157.03</v>
      </c>
      <c r="E75" s="5" t="n">
        <v>661157.03</v>
      </c>
      <c r="F75" s="2" t="inlineStr">
        <is>
          <t>Andalucía</t>
        </is>
      </c>
      <c r="G75" s="2" t="inlineStr">
        <is>
          <t>Córdoba</t>
        </is>
      </c>
      <c r="H75" s="2" t="n"/>
      <c r="I75" s="2" t="inlineStr">
        <is>
          <t>Junta de Gobierno de la Diputación Provincial de Córdoba</t>
        </is>
      </c>
      <c r="J75" s="2" t="inlineStr">
        <is>
          <t>Obras de mejora del acceso a Priego de Córdoba, en un tramo de 1,64 Km semiurbanizados de la CO-8209 "de Priego de Córdoba a Luque por Fuente Alhama (Priego de Córdoba), Córdoba</t>
        </is>
      </c>
      <c r="K75" s="2" t="inlineStr">
        <is>
          <t>776/26</t>
        </is>
      </c>
      <c r="L75" s="2" t="inlineStr">
        <is>
          <t>Abierto</t>
        </is>
      </c>
      <c r="M75" s="6" t="n">
        <v>6</v>
      </c>
      <c r="N75" s="2" t="inlineStr">
        <is>
          <t>G4-3</t>
        </is>
      </c>
      <c r="O75" s="7" t="n">
        <v>0.4</v>
      </c>
      <c r="P75" s="2" t="inlineStr">
        <is>
          <t>Oferta económica respecto al presupuesto base de licitación 60 | Justificación del aumento de calidad en el proceso de ejecución 10 (JV) | Programa de trabajo con valoración mensual y acumulada a precios de proyecto 10 (JV) | Memoria descriptiva sobre el conocimiento del estado actual del tramo de obra y del proyecto 20 (JV)</t>
        </is>
      </c>
      <c r="Q75" s="2" t="inlineStr">
        <is>
          <t>complementaria 5%; definitiva 5%</t>
        </is>
      </c>
      <c r="R75" s="2" t="n"/>
      <c r="S75" s="4" t="n"/>
      <c r="T75" s="2" t="inlineStr">
        <is>
          <t>45233000</t>
        </is>
      </c>
      <c r="U75" s="8" t="inlineStr">
        <is>
          <t>PCAP</t>
        </is>
      </c>
      <c r="V75" s="8" t="inlineStr">
        <is>
          <t>PPT</t>
        </is>
      </c>
      <c r="W75" s="8" t="inlineStr">
        <is>
          <t>Ver</t>
        </is>
      </c>
      <c r="X75" s="9" t="n">
        <v>46317</v>
      </c>
      <c r="Y75" s="2" t="n"/>
    </row>
    <row r="76">
      <c r="A76" s="2" t="n"/>
      <c r="B76" s="3" t="n">
        <v>46342.99930555555</v>
      </c>
      <c r="C76" s="4">
        <f>IF(B76="","",INT(B76)-TODAY())</f>
        <v/>
      </c>
      <c r="D76" s="5" t="n">
        <v>590117.95</v>
      </c>
      <c r="E76" s="5" t="n">
        <v>590117.95</v>
      </c>
      <c r="F76" s="2" t="inlineStr">
        <is>
          <t>Andalucía</t>
        </is>
      </c>
      <c r="G76" s="2" t="inlineStr">
        <is>
          <t>Sevilla</t>
        </is>
      </c>
      <c r="H76" s="2" t="inlineStr">
        <is>
          <t>Arahal- Sevilla</t>
        </is>
      </c>
      <c r="I76" s="2" t="inlineStr">
        <is>
          <t>Consejo de Administración de la Agencia de Régimen Especial Ciclo Integral Aguas del Retortillo</t>
        </is>
      </c>
      <c r="J76" s="2" t="inlineStr">
        <is>
          <t>(PAS/OBRAS/008/2026) Obras reurbanización de calle Corredera de Arahal. Lote 1. Pavimentación y renovación de Redes</t>
        </is>
      </c>
      <c r="K76" s="2" t="inlineStr">
        <is>
          <t>1301/2026</t>
        </is>
      </c>
      <c r="L76" s="2" t="inlineStr">
        <is>
          <t>Abierto simplificado</t>
        </is>
      </c>
      <c r="M76" s="6" t="n">
        <v>6</v>
      </c>
      <c r="N76" s="2" t="inlineStr">
        <is>
          <t>E1-2; G6-3</t>
        </is>
      </c>
      <c r="O76" s="7" t="n">
        <v>0</v>
      </c>
      <c r="P76" s="2" t="inlineStr">
        <is>
          <t>Experiencia del Jefe de Obras 10 | PRECIO 84 | Calidad: Ampliación de Garantías 6</t>
        </is>
      </c>
      <c r="Q76" s="2" t="inlineStr">
        <is>
          <t>definitiva 5%</t>
        </is>
      </c>
      <c r="R76" s="2" t="n"/>
      <c r="S76" s="4" t="n"/>
      <c r="T76" s="2" t="inlineStr">
        <is>
          <t>45220000; 45233252; 45231000</t>
        </is>
      </c>
      <c r="U76" s="8" t="inlineStr">
        <is>
          <t>PCAP</t>
        </is>
      </c>
      <c r="V76" s="8" t="inlineStr">
        <is>
          <t>PPT</t>
        </is>
      </c>
      <c r="W76" s="8" t="inlineStr">
        <is>
          <t>Ver</t>
        </is>
      </c>
      <c r="X76" s="9" t="n">
        <v>46322</v>
      </c>
      <c r="Y76" s="2" t="n"/>
    </row>
    <row r="77">
      <c r="A77" s="2" t="n"/>
      <c r="B77" s="3" t="n">
        <v>46342.99930555555</v>
      </c>
      <c r="C77" s="4">
        <f>IF(B77="","",INT(B77)-TODAY())</f>
        <v/>
      </c>
      <c r="D77" s="5" t="n">
        <v>826105.87</v>
      </c>
      <c r="E77" s="5" t="n">
        <v>826105.87</v>
      </c>
      <c r="F77" s="2" t="inlineStr">
        <is>
          <t>Andalucía</t>
        </is>
      </c>
      <c r="G77" s="2" t="inlineStr">
        <is>
          <t>Sevilla</t>
        </is>
      </c>
      <c r="H77" s="2" t="inlineStr">
        <is>
          <t>Sanlúcar la Mayor</t>
        </is>
      </c>
      <c r="I77" s="2" t="inlineStr">
        <is>
          <t>Alcaldía del Ayuntamiento de Sanlúcar la Mayor</t>
        </is>
      </c>
      <c r="J77" s="2" t="inlineStr">
        <is>
          <t>Obras de Proyecto de Ordenación y rehabilitación Parque Majarocas - Sanlúcar la Mayor (Sevilla)</t>
        </is>
      </c>
      <c r="K77" s="2" t="inlineStr">
        <is>
          <t>2026/CTT_01/000049 - 44/26.- CTOS</t>
        </is>
      </c>
      <c r="L77" s="2" t="inlineStr">
        <is>
          <t>Abierto simplificado</t>
        </is>
      </c>
      <c r="M77" s="6" t="n">
        <v>8</v>
      </c>
      <c r="N77" s="2" t="n"/>
      <c r="O77" s="7" t="n">
        <v>0</v>
      </c>
      <c r="P77" s="2" t="inlineStr">
        <is>
          <t>Precio 100</t>
        </is>
      </c>
      <c r="Q77" s="2" t="inlineStr">
        <is>
          <t>definitiva 5%</t>
        </is>
      </c>
      <c r="R77" s="2" t="n"/>
      <c r="S77" s="4" t="n"/>
      <c r="T77" s="2" t="inlineStr">
        <is>
          <t>45233200; 45233221; 45233140</t>
        </is>
      </c>
      <c r="U77" s="8" t="inlineStr">
        <is>
          <t>PCAP</t>
        </is>
      </c>
      <c r="V77" s="8" t="inlineStr">
        <is>
          <t>PPT</t>
        </is>
      </c>
      <c r="W77" s="8" t="inlineStr">
        <is>
          <t>Ver</t>
        </is>
      </c>
      <c r="X77" s="9" t="n">
        <v>46322</v>
      </c>
      <c r="Y77" s="2" t="n"/>
    </row>
    <row r="78">
      <c r="A78" s="2" t="n"/>
      <c r="B78" s="3" t="n">
        <v>46342.99930555555</v>
      </c>
      <c r="C78" s="4">
        <f>IF(B78="","",INT(B78)-TODAY())</f>
        <v/>
      </c>
      <c r="D78" s="5" t="n">
        <v>1897107.44</v>
      </c>
      <c r="E78" s="5" t="n">
        <v>1897107.44</v>
      </c>
      <c r="F78" s="2" t="inlineStr">
        <is>
          <t>Andalucía</t>
        </is>
      </c>
      <c r="G78" s="2" t="inlineStr">
        <is>
          <t>Málaga</t>
        </is>
      </c>
      <c r="H78" s="2" t="n"/>
      <c r="I78" s="2" t="inlineStr">
        <is>
          <t>Pleno del Ayuntamiento de Pizarra</t>
        </is>
      </c>
      <c r="J78" s="2" t="inlineStr">
        <is>
          <t>Obras de construcción de un parking subterráneo en la plaza de la Concordia nº 2 de Pizarra.</t>
        </is>
      </c>
      <c r="K78" s="2" t="inlineStr">
        <is>
          <t>252/2026</t>
        </is>
      </c>
      <c r="L78" s="2" t="inlineStr">
        <is>
          <t>Abierto simplificado</t>
        </is>
      </c>
      <c r="M78" s="6" t="n">
        <v>15</v>
      </c>
      <c r="N78" s="2" t="inlineStr">
        <is>
          <t>C*-4</t>
        </is>
      </c>
      <c r="O78" s="7" t="n">
        <v>0.25</v>
      </c>
      <c r="P78" s="2" t="inlineStr">
        <is>
          <t>Programa de actuaciones medioambientales. 5 (JV) | Oferta económica 65 | Calidad 5 (JV) | Incremento del plazo de garantía 10 | Medidas para minimizar afecciones al entorno urbano y a la actividad municipal 5 (JV) | Memoria descriptiva del proceso de ejecución y programa de trabajo. 5 (JV) | Memoria de seguridad y salud. 5 (JV)</t>
        </is>
      </c>
      <c r="Q78" s="2" t="inlineStr">
        <is>
          <t>definitiva 5%</t>
        </is>
      </c>
      <c r="R78" s="2" t="inlineStr">
        <is>
          <t>No</t>
        </is>
      </c>
      <c r="S78" s="4" t="n"/>
      <c r="T78" s="2" t="inlineStr">
        <is>
          <t>45000000; 45223310</t>
        </is>
      </c>
      <c r="U78" s="8" t="inlineStr">
        <is>
          <t>PCAP</t>
        </is>
      </c>
      <c r="V78" s="8" t="inlineStr">
        <is>
          <t>PPT</t>
        </is>
      </c>
      <c r="W78" s="8" t="inlineStr">
        <is>
          <t>Ver</t>
        </is>
      </c>
      <c r="X78" s="9" t="n">
        <v>46323</v>
      </c>
      <c r="Y78" s="2" t="n"/>
    </row>
    <row r="79">
      <c r="A79" s="2" t="n"/>
      <c r="B79" s="3" t="n">
        <v>46342.99930555555</v>
      </c>
      <c r="C79" s="4">
        <f>IF(B79="","",INT(B79)-TODAY())</f>
        <v/>
      </c>
      <c r="D79" s="5" t="n">
        <v>1012255.37</v>
      </c>
      <c r="E79" s="5" t="n">
        <v>1012255.37</v>
      </c>
      <c r="F79" s="2" t="inlineStr">
        <is>
          <t>Andalucía</t>
        </is>
      </c>
      <c r="G79" s="2" t="inlineStr">
        <is>
          <t>Málaga</t>
        </is>
      </c>
      <c r="H79" s="2" t="n"/>
      <c r="I79" s="2" t="inlineStr">
        <is>
          <t>Gerente de la Gerencia Municipal de Urbanismo del Ayuntamiento de Málaga</t>
        </is>
      </c>
      <c r="J79" s="2" t="inlineStr">
        <is>
          <t>Obras del proyecto de reurbanización barriada Las Flores. Fase I (T.M. Málaga). Actuación cofinanciada por la Unión Europea a través del Fondo Europeo de Desarrollo Regional (FEDER), Programa Plurirregional de España (POPE) (2021-2027)</t>
        </is>
      </c>
      <c r="K79" s="2" t="inlineStr">
        <is>
          <t>2026000152/GMU/OBR/ABR_SMPL</t>
        </is>
      </c>
      <c r="L79" s="2" t="inlineStr">
        <is>
          <t>Abierto simplificado</t>
        </is>
      </c>
      <c r="M79" s="6" t="n">
        <v>6</v>
      </c>
      <c r="N79" s="2" t="inlineStr">
        <is>
          <t>G6-4</t>
        </is>
      </c>
      <c r="O79" s="7" t="n">
        <v>0</v>
      </c>
      <c r="P79" s="2" t="inlineStr">
        <is>
          <t>Oferta económica 90 | Ampliación del plazo de garantía 10</t>
        </is>
      </c>
      <c r="Q79" s="2" t="inlineStr">
        <is>
          <t>definitiva 5%</t>
        </is>
      </c>
      <c r="R79" s="2" t="n"/>
      <c r="S79" s="4" t="n"/>
      <c r="T79" s="2" t="inlineStr">
        <is>
          <t>45233140; 45232400</t>
        </is>
      </c>
      <c r="U79" s="8" t="inlineStr">
        <is>
          <t>PCAP</t>
        </is>
      </c>
      <c r="V79" s="8" t="inlineStr">
        <is>
          <t>PPT</t>
        </is>
      </c>
      <c r="W79" s="8" t="inlineStr">
        <is>
          <t>Ver</t>
        </is>
      </c>
      <c r="X79" s="9" t="n">
        <v>46323</v>
      </c>
      <c r="Y79" s="2" t="n"/>
    </row>
    <row r="80">
      <c r="A80" s="2" t="n"/>
      <c r="B80" s="3" t="n">
        <v>46342.99930555555</v>
      </c>
      <c r="C80" s="4">
        <f>IF(B80="","",INT(B80)-TODAY())</f>
        <v/>
      </c>
      <c r="D80" s="5" t="n">
        <v>578512.11</v>
      </c>
      <c r="E80" s="5" t="n">
        <v>111988.16</v>
      </c>
      <c r="F80" s="2" t="inlineStr">
        <is>
          <t>Andalucía</t>
        </is>
      </c>
      <c r="G80" s="2" t="inlineStr">
        <is>
          <t>Granada</t>
        </is>
      </c>
      <c r="H80" s="2" t="inlineStr">
        <is>
          <t>Alhendín</t>
        </is>
      </c>
      <c r="I80" s="2" t="inlineStr">
        <is>
          <t>Junta de Gobierno Local del Ayuntamiento de Alhendín</t>
        </is>
      </c>
      <c r="J80" s="2" t="inlineStr">
        <is>
          <t>Ejecucion de las obras de cubierta de pista polideportiva del Polideportivo Municipal de Alhendin</t>
        </is>
      </c>
      <c r="K80" s="2" t="inlineStr">
        <is>
          <t>5134/2026</t>
        </is>
      </c>
      <c r="L80" s="2" t="inlineStr">
        <is>
          <t>Abierto simplificado</t>
        </is>
      </c>
      <c r="M80" s="6" t="n">
        <v>7</v>
      </c>
      <c r="N80" s="2" t="inlineStr">
        <is>
          <t>C4-3</t>
        </is>
      </c>
      <c r="O80" s="7" t="n">
        <v>0.25</v>
      </c>
      <c r="P80" s="2" t="inlineStr">
        <is>
          <t>Memoria constructiva y programa de trabajo 15 (JV) | AMPLIACIÓN DEL PLAZO DE GARANTÍA DE LAS OBRAS 10 | PROPUESTA ECONÓMICA 40 | PROPUESTA DE REDUCCION DEL PLAZO DE EJECUCION DE LAS OBRAS 15 | Medidas para reducir el impacto urbano de la obra 10 (JV) | POSESIÓN DE LOS CERTIFICADOS ISO 9001:2015, ISO 45001:2018, ISO 14001 10</t>
        </is>
      </c>
      <c r="Q80" s="2" t="inlineStr">
        <is>
          <t>definitiva 5%</t>
        </is>
      </c>
      <c r="R80" s="2" t="n"/>
      <c r="S80" s="4" t="n"/>
      <c r="T80" s="2" t="inlineStr">
        <is>
          <t>45261000; 45212200; 45223100</t>
        </is>
      </c>
      <c r="U80" s="8" t="inlineStr">
        <is>
          <t>PCAP</t>
        </is>
      </c>
      <c r="V80" s="8" t="inlineStr">
        <is>
          <t>PPT</t>
        </is>
      </c>
      <c r="W80" s="8" t="inlineStr">
        <is>
          <t>Ver</t>
        </is>
      </c>
      <c r="X80" s="9" t="n">
        <v>46323</v>
      </c>
      <c r="Y80" s="2" t="n"/>
    </row>
    <row r="81">
      <c r="A81" s="2" t="inlineStr">
        <is>
          <t>SÍ</t>
        </is>
      </c>
      <c r="B81" s="3" t="n">
        <v>46343.58333333334</v>
      </c>
      <c r="C81" s="4">
        <f>IF(B81="","",INT(B81)-TODAY())</f>
        <v/>
      </c>
      <c r="D81" s="5" t="n">
        <v>695584.3</v>
      </c>
      <c r="E81" s="5" t="n">
        <v>695584.3</v>
      </c>
      <c r="F81" s="2" t="inlineStr">
        <is>
          <t>Andalucía</t>
        </is>
      </c>
      <c r="G81" s="2" t="inlineStr">
        <is>
          <t>Jaén</t>
        </is>
      </c>
      <c r="H81" s="2" t="n"/>
      <c r="I81" s="2" t="inlineStr">
        <is>
          <t>Rectorado de la Universidad de Jaén</t>
        </is>
      </c>
      <c r="J81" s="2" t="inlineStr">
        <is>
          <t>Obras de reforma parcial del Edificio D1 para la Casa del Estudiantado en el Campus de las Lagunillas de Jaén.</t>
        </is>
      </c>
      <c r="K81" s="2" t="inlineStr">
        <is>
          <t>EXO-2026/07</t>
        </is>
      </c>
      <c r="L81" s="2" t="inlineStr">
        <is>
          <t>Abierto simplificado</t>
        </is>
      </c>
      <c r="M81" s="6" t="n">
        <v>6</v>
      </c>
      <c r="N81" s="2" t="n"/>
      <c r="O81" s="7" t="n">
        <v>0.25</v>
      </c>
      <c r="P81" s="2" t="inlineStr">
        <is>
          <t>Oferta económica 40 | Compromiso de realización de model oBIM con carácter previo al inicio de las obras, actualización del mismo durante la ejecución y entrega del modelo As Built en formato .pla o .ifc. 35 | Programación detallada: plan de trabajo, medios humanos, técnicos y maquinaria con estudio de rendimientos. 5 (JV) | Plan de análisis de colisiones o interferencias de las diferentes instalaciones bajo metodología BIM. 5 (JV) | Memoria análisis del proyecto, descripción y organización de los trabajos a realizar por la empresa. 15 (JV)</t>
        </is>
      </c>
      <c r="Q81" s="2" t="inlineStr">
        <is>
          <t>definitiva 5%</t>
        </is>
      </c>
      <c r="R81" s="2" t="n"/>
      <c r="S81" s="4" t="n"/>
      <c r="T81" s="2" t="inlineStr">
        <is>
          <t>45000000</t>
        </is>
      </c>
      <c r="U81" s="8" t="inlineStr">
        <is>
          <t>PCAP</t>
        </is>
      </c>
      <c r="V81" s="8" t="inlineStr">
        <is>
          <t>PPT</t>
        </is>
      </c>
      <c r="W81" s="8" t="inlineStr">
        <is>
          <t>Ver</t>
        </is>
      </c>
      <c r="X81" s="9" t="n">
        <v>46324</v>
      </c>
      <c r="Y81" s="2" t="n"/>
    </row>
    <row r="82">
      <c r="A82" s="2" t="inlineStr">
        <is>
          <t>SÍ</t>
        </is>
      </c>
      <c r="B82" s="3" t="n">
        <v>46343.99930555555</v>
      </c>
      <c r="C82" s="4">
        <f>IF(B82="","",INT(B82)-TODAY())</f>
        <v/>
      </c>
      <c r="D82" s="5" t="n">
        <v>1108008.17</v>
      </c>
      <c r="E82" s="5" t="n">
        <v>1108008.17</v>
      </c>
      <c r="F82" s="2" t="inlineStr">
        <is>
          <t>Comunitat Valenciana</t>
        </is>
      </c>
      <c r="G82" s="2" t="inlineStr">
        <is>
          <t>Valencia</t>
        </is>
      </c>
      <c r="H82" s="2" t="inlineStr">
        <is>
          <t>Oliva</t>
        </is>
      </c>
      <c r="I82" s="2" t="inlineStr">
        <is>
          <t>Concejal de Contratación del Ayuntamiento de Oliva</t>
        </is>
      </c>
      <c r="J82" s="2" t="inlineStr">
        <is>
          <t>Reforma de campos de fútbol y pista de atletismo polideportivo municipal de Oliva</t>
        </is>
      </c>
      <c r="K82" s="2" t="inlineStr">
        <is>
          <t>13666/2026</t>
        </is>
      </c>
      <c r="L82" s="2" t="inlineStr">
        <is>
          <t>Abierto simplificado</t>
        </is>
      </c>
      <c r="M82" s="6" t="n">
        <v>5</v>
      </c>
      <c r="N82" s="2" t="n"/>
      <c r="O82" s="7" t="n">
        <v>0.2</v>
      </c>
      <c r="P82" s="2" t="inlineStr">
        <is>
          <t>Certificados deportivos y de calidad 5 | Ampliación de la superficie útil deportiva mediante la ejecución de hasta dos pistas de pádel completas anexas a las existentes 20 | Características del sistema de césped para fútbol propuesto para el campo principal 30 | Ampliación adicional del plazo de garantía 5 | Baja económica en el tipo de licitación 16 | Proposición técnica 20 (JV) | Criterios medioambientales mediante certificados 4</t>
        </is>
      </c>
      <c r="Q82" s="2" t="inlineStr">
        <is>
          <t>complementaria 5%; definitiva 5%</t>
        </is>
      </c>
      <c r="R82" s="2" t="n"/>
      <c r="S82" s="4" t="n"/>
      <c r="T82" s="2" t="inlineStr">
        <is>
          <t>45212200</t>
        </is>
      </c>
      <c r="U82" s="8" t="inlineStr">
        <is>
          <t>PCAP</t>
        </is>
      </c>
      <c r="V82" s="8" t="inlineStr">
        <is>
          <t>PPT</t>
        </is>
      </c>
      <c r="W82" s="8" t="inlineStr">
        <is>
          <t>Ver</t>
        </is>
      </c>
      <c r="X82" s="9" t="n">
        <v>46324</v>
      </c>
      <c r="Y82" s="2" t="n"/>
    </row>
    <row r="83">
      <c r="A83" s="2" t="n"/>
      <c r="B83" s="3" t="n">
        <v>46344.99930555555</v>
      </c>
      <c r="C83" s="4">
        <f>IF(B83="","",INT(B83)-TODAY())</f>
        <v/>
      </c>
      <c r="D83" s="5" t="n">
        <v>1494349.1</v>
      </c>
      <c r="E83" s="5" t="n">
        <v>1494349.1</v>
      </c>
      <c r="F83" s="2" t="inlineStr">
        <is>
          <t>Comunitat Valenciana</t>
        </is>
      </c>
      <c r="G83" s="2" t="inlineStr">
        <is>
          <t>Valencia</t>
        </is>
      </c>
      <c r="H83" s="2" t="inlineStr">
        <is>
          <t>Yátova</t>
        </is>
      </c>
      <c r="I83" s="2" t="inlineStr">
        <is>
          <t>Pleno del Ayuntamiento de Yátova</t>
        </is>
      </c>
      <c r="J83" s="2" t="inlineStr">
        <is>
          <t>Reparación, acondicionamiento y mejora de caminos rurales en el término municipal de Yátova. Subvención Ministerio Dana2024</t>
        </is>
      </c>
      <c r="K83" s="2" t="inlineStr">
        <is>
          <t>899/2026</t>
        </is>
      </c>
      <c r="L83" s="2" t="inlineStr">
        <is>
          <t>Abierto simplificado</t>
        </is>
      </c>
      <c r="M83" s="6" t="n">
        <v>6</v>
      </c>
      <c r="N83" s="2" t="inlineStr">
        <is>
          <t>G*-4</t>
        </is>
      </c>
      <c r="O83" s="7" t="n">
        <v>0</v>
      </c>
      <c r="P83" s="2" t="inlineStr">
        <is>
          <t>Experiencia obras similiares 30 | Reconocimiento del lugar 20 | Mayor baja económica 30 | Ampliación del plazo de garantía 20</t>
        </is>
      </c>
      <c r="Q83" s="2" t="inlineStr">
        <is>
          <t>definitiva 5%</t>
        </is>
      </c>
      <c r="R83" s="2" t="n"/>
      <c r="S83" s="4" t="n"/>
      <c r="T83" s="2" t="inlineStr">
        <is>
          <t>45233250; 45233222; 45233251; 45233140</t>
        </is>
      </c>
      <c r="U83" s="8" t="inlineStr">
        <is>
          <t>PCAP</t>
        </is>
      </c>
      <c r="V83" s="8" t="inlineStr">
        <is>
          <t>PPT</t>
        </is>
      </c>
      <c r="W83" s="8" t="inlineStr">
        <is>
          <t>Ver</t>
        </is>
      </c>
      <c r="X83" s="9" t="n">
        <v>46317</v>
      </c>
      <c r="Y83" s="2" t="n"/>
    </row>
    <row r="84">
      <c r="A84" s="2" t="n"/>
      <c r="B84" s="3" t="n">
        <v>46344.99930555555</v>
      </c>
      <c r="C84" s="4">
        <f>IF(B84="","",INT(B84)-TODAY())</f>
        <v/>
      </c>
      <c r="D84" s="5" t="n">
        <v>2520482.6</v>
      </c>
      <c r="E84" s="5" t="n">
        <v>2520482.6</v>
      </c>
      <c r="F84" s="2" t="inlineStr">
        <is>
          <t>Andalucía</t>
        </is>
      </c>
      <c r="G84" s="2" t="inlineStr">
        <is>
          <t>Málaga</t>
        </is>
      </c>
      <c r="H84" s="2" t="n"/>
      <c r="I84" s="2" t="inlineStr">
        <is>
          <t>Concejalía de Hacienda del Ayuntamiento de Benalmádena</t>
        </is>
      </c>
      <c r="J84" s="2" t="inlineStr">
        <is>
          <t>Plan de Asfaltado 2024 del T.M. de Benalmádena</t>
        </is>
      </c>
      <c r="K84" s="2" t="inlineStr">
        <is>
          <t>2026/60664M</t>
        </is>
      </c>
      <c r="L84" s="2" t="inlineStr">
        <is>
          <t>Abierto</t>
        </is>
      </c>
      <c r="M84" s="6" t="n">
        <v>5</v>
      </c>
      <c r="N84" s="2" t="inlineStr">
        <is>
          <t>G4-5</t>
        </is>
      </c>
      <c r="O84" s="7" t="n">
        <v>0</v>
      </c>
      <c r="P84" s="2" t="inlineStr">
        <is>
          <t>Económico 70 | Plazo de ejecución 6 | Actuaciones sin coste para la Administración 24</t>
        </is>
      </c>
      <c r="Q84" s="2" t="inlineStr">
        <is>
          <t>definitiva 5%</t>
        </is>
      </c>
      <c r="R84" s="2" t="inlineStr">
        <is>
          <t>No aplica, conforme Anexo 1 letra J) del PCAP</t>
        </is>
      </c>
      <c r="S84" s="4" t="n"/>
      <c r="T84" s="2" t="inlineStr">
        <is>
          <t>45233252</t>
        </is>
      </c>
      <c r="U84" s="8" t="inlineStr">
        <is>
          <t>PCAP</t>
        </is>
      </c>
      <c r="V84" s="2" t="n"/>
      <c r="W84" s="8" t="inlineStr">
        <is>
          <t>Ver</t>
        </is>
      </c>
      <c r="X84" s="9" t="n">
        <v>46321</v>
      </c>
      <c r="Y84" s="2" t="n"/>
    </row>
    <row r="85">
      <c r="A85" s="2" t="n"/>
      <c r="B85" s="3" t="n">
        <v>46344.99930555555</v>
      </c>
      <c r="C85" s="4">
        <f>IF(B85="","",INT(B85)-TODAY())</f>
        <v/>
      </c>
      <c r="D85" s="5" t="n">
        <v>2292565.93</v>
      </c>
      <c r="E85" s="5" t="n">
        <v>2292565.93</v>
      </c>
      <c r="F85" s="2" t="inlineStr">
        <is>
          <t>Comunitat Valenciana</t>
        </is>
      </c>
      <c r="G85" s="2" t="inlineStr">
        <is>
          <t>Valencia</t>
        </is>
      </c>
      <c r="H85" s="2" t="n"/>
      <c r="I85" s="2" t="inlineStr">
        <is>
          <t>Pleno del Ayuntamiento de Carlet</t>
        </is>
      </c>
      <c r="J85" s="2" t="inlineStr">
        <is>
          <t>Obras de restitución de la red de saneamiento y pluviales del barrio del Cortijo y reposición de pluviales en la calle Rafael Peris, financiadas con cargo al Fondo de Solidaridad de la Unión Europea</t>
        </is>
      </c>
      <c r="K85" s="2" t="inlineStr">
        <is>
          <t>3126/2026</t>
        </is>
      </c>
      <c r="L85" s="2" t="inlineStr">
        <is>
          <t>Abierto</t>
        </is>
      </c>
      <c r="M85" s="6" t="n">
        <v>9</v>
      </c>
      <c r="N85" s="2" t="inlineStr">
        <is>
          <t>E*-4</t>
        </is>
      </c>
      <c r="O85" s="7" t="n">
        <v>0</v>
      </c>
      <c r="P85" s="2" t="inlineStr">
        <is>
          <t>Ampliación del plazo de garantía 10 | Oferta económica 70 | Uso de materiales con menor huella de carbono 20</t>
        </is>
      </c>
      <c r="Q85" s="2" t="inlineStr">
        <is>
          <t>definitiva 5%</t>
        </is>
      </c>
      <c r="R85" s="2" t="n"/>
      <c r="S85" s="4" t="n"/>
      <c r="T85" s="2" t="inlineStr">
        <is>
          <t>45240000; 45232440; 45233200; 45232150</t>
        </is>
      </c>
      <c r="U85" s="8" t="inlineStr">
        <is>
          <t>PCAP</t>
        </is>
      </c>
      <c r="V85" s="8" t="inlineStr">
        <is>
          <t>PPT</t>
        </is>
      </c>
      <c r="W85" s="8" t="inlineStr">
        <is>
          <t>Ver</t>
        </is>
      </c>
      <c r="X85" s="9" t="n">
        <v>46321</v>
      </c>
      <c r="Y85" s="2" t="n"/>
    </row>
    <row r="86">
      <c r="A86" s="2" t="n"/>
      <c r="B86" s="3" t="n">
        <v>46344.99930555555</v>
      </c>
      <c r="C86" s="4">
        <f>IF(B86="","",INT(B86)-TODAY())</f>
        <v/>
      </c>
      <c r="D86" s="5" t="n">
        <v>782875</v>
      </c>
      <c r="E86" s="5" t="n">
        <v>782875</v>
      </c>
      <c r="F86" s="2" t="inlineStr">
        <is>
          <t>Andalucía</t>
        </is>
      </c>
      <c r="G86" s="2" t="inlineStr">
        <is>
          <t>Sevilla</t>
        </is>
      </c>
      <c r="H86" s="2" t="n"/>
      <c r="I86" s="2" t="inlineStr">
        <is>
          <t>Alcaldía del Ayuntamiento de Lantejuela</t>
        </is>
      </c>
      <c r="J86" s="2" t="inlineStr">
        <is>
          <t>Obras de actuciones de reforma en el complejo polideportivo municipal de lantejuela (Sevilla)</t>
        </is>
      </c>
      <c r="K86" s="2" t="inlineStr">
        <is>
          <t>P4105200B-2026/000230-PAA</t>
        </is>
      </c>
      <c r="L86" s="2" t="inlineStr">
        <is>
          <t>Abierto</t>
        </is>
      </c>
      <c r="M86" s="6" t="n">
        <v>6</v>
      </c>
      <c r="N86" s="2" t="n"/>
      <c r="O86" s="7" t="n">
        <v>0</v>
      </c>
      <c r="P86" s="2" t="inlineStr">
        <is>
          <t>Aspecto Económico (precio) [1] 100</t>
        </is>
      </c>
      <c r="Q86" s="2" t="n"/>
      <c r="R86" s="2" t="n"/>
      <c r="S86" s="4" t="n">
        <v>2</v>
      </c>
      <c r="T86" s="2" t="inlineStr">
        <is>
          <t>45200000; 45212200</t>
        </is>
      </c>
      <c r="U86" s="8" t="inlineStr">
        <is>
          <t>PCAP</t>
        </is>
      </c>
      <c r="V86" s="8" t="inlineStr">
        <is>
          <t>PPT</t>
        </is>
      </c>
      <c r="W86" s="8" t="inlineStr">
        <is>
          <t>Ver</t>
        </is>
      </c>
      <c r="X86" s="9" t="n">
        <v>46321</v>
      </c>
      <c r="Y86" s="2" t="n"/>
    </row>
    <row r="87">
      <c r="A87" s="2" t="n"/>
      <c r="B87" s="3" t="n">
        <v>46345.58333333334</v>
      </c>
      <c r="C87" s="4">
        <f>IF(B87="","",INT(B87)-TODAY())</f>
        <v/>
      </c>
      <c r="D87" s="5" t="n">
        <v>2070399.74</v>
      </c>
      <c r="E87" s="5" t="n">
        <v>2070399.74</v>
      </c>
      <c r="F87" s="2" t="inlineStr">
        <is>
          <t>Comunitat Valenciana</t>
        </is>
      </c>
      <c r="G87" s="2" t="inlineStr">
        <is>
          <t>Valencia</t>
        </is>
      </c>
      <c r="H87" s="2" t="n"/>
      <c r="I87" s="2" t="inlineStr">
        <is>
          <t>Concejalía Delegada de Contratación del Ayuntamiento de Gandía</t>
        </is>
      </c>
      <c r="J87" s="2" t="inlineStr">
        <is>
          <t>Contrato de obras consistente en la ejecución del proyecto actualizado de actuaciones en el CEIP Mondúber, derivado de la modificación de la delegación de competencias_ EDIFICANT.</t>
        </is>
      </c>
      <c r="K87" s="2" t="inlineStr">
        <is>
          <t>CONT-074/2026 (50124/2026)</t>
        </is>
      </c>
      <c r="L87" s="2" t="inlineStr">
        <is>
          <t>Abierto</t>
        </is>
      </c>
      <c r="M87" s="6" t="n">
        <v>14</v>
      </c>
      <c r="N87" s="2" t="inlineStr">
        <is>
          <t>C*-5</t>
        </is>
      </c>
      <c r="O87" s="7" t="n">
        <v>0.25</v>
      </c>
      <c r="P87" s="2" t="inlineStr">
        <is>
          <t>Ampliación plazo de garantía 8 | Incorporación de mejoras 27 | Conocimiento del proyecto 10 (JV) | Metodología y programación 15 (JV) | Oferta económica 40</t>
        </is>
      </c>
      <c r="Q87" s="2" t="n"/>
      <c r="R87" s="2" t="n"/>
      <c r="S87" s="4" t="n"/>
      <c r="T87" s="2" t="inlineStr">
        <is>
          <t>45214210</t>
        </is>
      </c>
      <c r="U87" s="8" t="inlineStr">
        <is>
          <t>PCAP</t>
        </is>
      </c>
      <c r="V87" s="8" t="inlineStr">
        <is>
          <t>PPT</t>
        </is>
      </c>
      <c r="W87" s="8" t="inlineStr">
        <is>
          <t>Ver</t>
        </is>
      </c>
      <c r="X87" s="9" t="n">
        <v>46321</v>
      </c>
      <c r="Y87" s="2" t="n"/>
    </row>
    <row r="88">
      <c r="A88" s="2" t="n"/>
      <c r="B88" s="3" t="n">
        <v>46346.99930555555</v>
      </c>
      <c r="C88" s="4">
        <f>IF(B88="","",INT(B88)-TODAY())</f>
        <v/>
      </c>
      <c r="D88" s="5" t="n">
        <v>8318780.94</v>
      </c>
      <c r="E88" s="5" t="n">
        <v>8318780.94</v>
      </c>
      <c r="F88" s="2" t="inlineStr">
        <is>
          <t>Andalucía</t>
        </is>
      </c>
      <c r="G88" s="2" t="inlineStr">
        <is>
          <t>Sevilla</t>
        </is>
      </c>
      <c r="H88" s="2" t="n"/>
      <c r="I88" s="2" t="inlineStr">
        <is>
          <t>Junta de Gobierno del Ayuntamiento de Carmona</t>
        </is>
      </c>
      <c r="J88" s="2" t="inlineStr">
        <is>
          <t>Obras para la ejecución del complejo de la música y el patrimonio en los antiguos mataderos de Carmona y la adecuación de sus entornos.</t>
        </is>
      </c>
      <c r="K88" s="2" t="inlineStr">
        <is>
          <t>EXP 25-173-22</t>
        </is>
      </c>
      <c r="L88" s="2" t="inlineStr">
        <is>
          <t>Abierto</t>
        </is>
      </c>
      <c r="M88" s="6" t="n">
        <v>20</v>
      </c>
      <c r="N88" s="2" t="inlineStr">
        <is>
          <t>C*-5</t>
        </is>
      </c>
      <c r="O88" s="7" t="n">
        <v>0.45</v>
      </c>
      <c r="P88" s="2" t="inlineStr">
        <is>
          <t>B.2. Ampliación Plazo de Garantía. 10 | A.1. Criterio de Estudio Técnico Detallado: 20 (JV) | B.3. Sistemas de gestión certificados. 10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88" s="2" t="inlineStr">
        <is>
          <t>definitiva 5%</t>
        </is>
      </c>
      <c r="R88" s="2" t="n"/>
      <c r="S88" s="4" t="n"/>
      <c r="T88" s="2" t="inlineStr">
        <is>
          <t>45000000; 45212300; 45213230; 45112700; 45212321; 45454100</t>
        </is>
      </c>
      <c r="U88" s="8" t="inlineStr">
        <is>
          <t>PCAP</t>
        </is>
      </c>
      <c r="V88" s="8" t="inlineStr">
        <is>
          <t>PPT</t>
        </is>
      </c>
      <c r="W88" s="8" t="inlineStr">
        <is>
          <t>Ver</t>
        </is>
      </c>
      <c r="X88" s="9" t="n">
        <v>46311</v>
      </c>
      <c r="Y88" s="2" t="n"/>
    </row>
    <row r="89">
      <c r="A89" s="2" t="n"/>
      <c r="B89" s="3" t="n">
        <v>46349.54166666666</v>
      </c>
      <c r="C89" s="4">
        <f>IF(B89="","",INT(B89)-TODAY())</f>
        <v/>
      </c>
      <c r="D89" s="5" t="n">
        <v>794981.21</v>
      </c>
      <c r="E89" s="5" t="n">
        <v>794981.21</v>
      </c>
      <c r="F89" s="2" t="inlineStr">
        <is>
          <t>Andalucía</t>
        </is>
      </c>
      <c r="G89" s="2" t="inlineStr">
        <is>
          <t>Sevilla</t>
        </is>
      </c>
      <c r="H89" s="2" t="n"/>
      <c r="I89" s="2" t="inlineStr">
        <is>
          <t>Autoridad Portuaria de Sevilla</t>
        </is>
      </c>
      <c r="J89" s="2" t="inlineStr">
        <is>
          <t>Alumbrado público fotovoltaico en Zona Franca, Polígonos Torrecuéllar y Astilleros</t>
        </is>
      </c>
      <c r="K89" s="2" t="inlineStr">
        <is>
          <t>CONT26082</t>
        </is>
      </c>
      <c r="L89" s="2" t="inlineStr">
        <is>
          <t>Abierto</t>
        </is>
      </c>
      <c r="M89" s="6" t="n">
        <v>4</v>
      </c>
      <c r="N89" s="2" t="inlineStr">
        <is>
          <t>I9-3</t>
        </is>
      </c>
      <c r="O89" s="7" t="n">
        <v>0</v>
      </c>
      <c r="P89" s="2" t="inlineStr">
        <is>
          <t>Precio 100</t>
        </is>
      </c>
      <c r="Q89" s="2" t="inlineStr">
        <is>
          <t>definitiva 5%</t>
        </is>
      </c>
      <c r="R89" s="2" t="n"/>
      <c r="S89" s="4" t="n"/>
      <c r="T89" s="2" t="inlineStr">
        <is>
          <t>45316000</t>
        </is>
      </c>
      <c r="U89" s="8" t="inlineStr">
        <is>
          <t>PCAP</t>
        </is>
      </c>
      <c r="V89" s="2" t="n"/>
      <c r="W89" s="8" t="inlineStr">
        <is>
          <t>Ver</t>
        </is>
      </c>
      <c r="X89" s="9" t="n">
        <v>46323</v>
      </c>
      <c r="Y89" s="2" t="n"/>
    </row>
    <row r="90">
      <c r="A90" s="2" t="n"/>
      <c r="B90" s="3" t="n">
        <v>46349.72916666666</v>
      </c>
      <c r="C90" s="4">
        <f>IF(B90="","",INT(B90)-TODAY())</f>
        <v/>
      </c>
      <c r="D90" s="5" t="n">
        <v>1430056.88</v>
      </c>
      <c r="E90" s="5" t="n">
        <v>4290170.64</v>
      </c>
      <c r="F90" s="2" t="inlineStr">
        <is>
          <t>Andalucía</t>
        </is>
      </c>
      <c r="G90" s="2" t="inlineStr">
        <is>
          <t>Granada</t>
        </is>
      </c>
      <c r="H90" s="2" t="n"/>
      <c r="I90" s="2" t="inlineStr">
        <is>
          <t>Junta de Gobierno del Ayuntamiento de Granada</t>
        </is>
      </c>
      <c r="J90" s="2" t="inlineStr">
        <is>
          <t>Contrato de obras para la ejecución material de aquellas actuaciones que deban ser realizadas en régimen de ejecución subsidiaria o actuación urgente por el Ayuntamiento de Granada</t>
        </is>
      </c>
      <c r="K90" s="2" t="inlineStr">
        <is>
          <t>OBR-2026000117</t>
        </is>
      </c>
      <c r="L90" s="2" t="inlineStr">
        <is>
          <t>Abierto</t>
        </is>
      </c>
      <c r="M90" s="6" t="n">
        <v>60</v>
      </c>
      <c r="N90" s="2" t="n"/>
      <c r="O90" s="7" t="n">
        <v>0.4</v>
      </c>
      <c r="P90" s="2" t="inlineStr">
        <is>
          <t>Memoria constructiva 40 (JV) | Oferta económica 60</t>
        </is>
      </c>
      <c r="Q90" s="2" t="inlineStr">
        <is>
          <t>definitiva 5%; complementaria 5%</t>
        </is>
      </c>
      <c r="R90" s="2" t="n"/>
      <c r="S90" s="4" t="n"/>
      <c r="T90" s="2" t="inlineStr">
        <is>
          <t>45000000; 45111100; 45262100</t>
        </is>
      </c>
      <c r="U90" s="8" t="inlineStr">
        <is>
          <t>PCAP</t>
        </is>
      </c>
      <c r="V90" s="8" t="inlineStr">
        <is>
          <t>PPT</t>
        </is>
      </c>
      <c r="W90" s="8" t="inlineStr">
        <is>
          <t>Ver</t>
        </is>
      </c>
      <c r="X90" s="9" t="n">
        <v>46323</v>
      </c>
      <c r="Y90" s="2" t="n"/>
    </row>
    <row r="91">
      <c r="A91" s="2" t="n"/>
      <c r="B91" s="3" t="n">
        <v>46349.99930555555</v>
      </c>
      <c r="C91" s="4">
        <f>IF(B91="","",INT(B91)-TODAY())</f>
        <v/>
      </c>
      <c r="D91" s="5" t="n">
        <v>4566296.26</v>
      </c>
      <c r="E91" s="5" t="n">
        <v>4566296.26</v>
      </c>
      <c r="F91" s="2" t="inlineStr">
        <is>
          <t>Andalucía</t>
        </is>
      </c>
      <c r="G91" s="2" t="inlineStr">
        <is>
          <t>Granada</t>
        </is>
      </c>
      <c r="H91" s="2" t="inlineStr">
        <is>
          <t>OGIJARES</t>
        </is>
      </c>
      <c r="I91" s="2" t="inlineStr">
        <is>
          <t>Presidencia de la Diputación Provincial de Granada</t>
        </is>
      </c>
      <c r="J91" s="2" t="inlineStr">
        <is>
          <t>Refundido final urbanización del Plan Especial "La Aurora" en Ogíjares.</t>
        </is>
      </c>
      <c r="K91" s="2" t="inlineStr">
        <is>
          <t>OB-037/26</t>
        </is>
      </c>
      <c r="L91" s="2" t="inlineStr">
        <is>
          <t>Abierto</t>
        </is>
      </c>
      <c r="M91" s="6" t="n">
        <v>18</v>
      </c>
      <c r="N91" s="2" t="inlineStr">
        <is>
          <t>E7-3; I9-4; G6-4</t>
        </is>
      </c>
      <c r="O91" s="7" t="n">
        <v>0</v>
      </c>
      <c r="P91" s="2" t="inlineStr">
        <is>
          <t>Ampliación del plazo de garantía 10 | El precio más bajo 90</t>
        </is>
      </c>
      <c r="Q91" s="2" t="inlineStr">
        <is>
          <t>definitiva 5%</t>
        </is>
      </c>
      <c r="R91" s="2" t="n"/>
      <c r="S91" s="4" t="n"/>
      <c r="T91" s="2" t="inlineStr">
        <is>
          <t>45220000; 45232200; 45232410; 45233252; 45316110; 45233140; 45232150</t>
        </is>
      </c>
      <c r="U91" s="8" t="inlineStr">
        <is>
          <t>PCAP</t>
        </is>
      </c>
      <c r="V91" s="8" t="inlineStr">
        <is>
          <t>PPT</t>
        </is>
      </c>
      <c r="W91" s="8" t="inlineStr">
        <is>
          <t>Ver</t>
        </is>
      </c>
      <c r="X91" s="9" t="n">
        <v>46310</v>
      </c>
      <c r="Y91" s="2" t="inlineStr">
        <is>
          <t>2026-10-29: plazo 2026-11-09 23:59 → 2026-11-23 23:59</t>
        </is>
      </c>
    </row>
    <row r="92">
      <c r="A92" s="2" t="n"/>
      <c r="B92" s="3" t="n">
        <v>46349.99930555555</v>
      </c>
      <c r="C92" s="4">
        <f>IF(B92="","",INT(B92)-TODAY())</f>
        <v/>
      </c>
      <c r="D92" s="5" t="n">
        <v>2207259.38</v>
      </c>
      <c r="E92" s="5" t="n">
        <v>2207259.38</v>
      </c>
      <c r="F92" s="2" t="inlineStr">
        <is>
          <t>Andalucía</t>
        </is>
      </c>
      <c r="G92" s="2" t="inlineStr">
        <is>
          <t>Cádiz</t>
        </is>
      </c>
      <c r="H92" s="2" t="n"/>
      <c r="I92" s="2" t="inlineStr">
        <is>
          <t>Junta de Gobierno Local del Ayuntamiento de Jerez</t>
        </is>
      </c>
      <c r="J92" s="2" t="inlineStr">
        <is>
          <t>Reasfaltado de diversas calles de Jerez Urbano, zona - 3</t>
        </is>
      </c>
      <c r="K92" s="2" t="inlineStr">
        <is>
          <t>61/2026</t>
        </is>
      </c>
      <c r="L92" s="2" t="inlineStr">
        <is>
          <t>Abierto</t>
        </is>
      </c>
      <c r="M92" s="6" t="n">
        <v>5</v>
      </c>
      <c r="N92" s="2" t="n"/>
      <c r="O92" s="7" t="n">
        <v>0</v>
      </c>
      <c r="P92" s="2" t="inlineStr">
        <is>
          <t>Oferta económica 100</t>
        </is>
      </c>
      <c r="Q92" s="2" t="n"/>
      <c r="R92" s="2" t="n"/>
      <c r="S92" s="4" t="n"/>
      <c r="T92" s="2" t="inlineStr">
        <is>
          <t>45220000</t>
        </is>
      </c>
      <c r="U92" s="8" t="inlineStr">
        <is>
          <t>PCAP</t>
        </is>
      </c>
      <c r="V92" s="8" t="inlineStr">
        <is>
          <t>PPT</t>
        </is>
      </c>
      <c r="W92" s="8" t="inlineStr">
        <is>
          <t>Ver</t>
        </is>
      </c>
      <c r="X92" s="9" t="n">
        <v>46322</v>
      </c>
      <c r="Y92" s="2" t="n"/>
    </row>
    <row r="93">
      <c r="A93" s="2" t="n"/>
      <c r="B93" s="3" t="n">
        <v>46349.99930555555</v>
      </c>
      <c r="C93" s="4">
        <f>IF(B93="","",INT(B93)-TODAY())</f>
        <v/>
      </c>
      <c r="D93" s="5" t="n">
        <v>5241572.84</v>
      </c>
      <c r="E93" s="5" t="n">
        <v>5241572.84</v>
      </c>
      <c r="F93" s="2" t="inlineStr">
        <is>
          <t>Andalucía</t>
        </is>
      </c>
      <c r="G93" s="2" t="inlineStr">
        <is>
          <t>Málaga</t>
        </is>
      </c>
      <c r="H93" s="2" t="n"/>
      <c r="I93" s="2" t="inlineStr">
        <is>
          <t>Alcaldía del Ayuntamiento de Estepona</t>
        </is>
      </c>
      <c r="J93" s="2" t="inlineStr">
        <is>
          <t>Obras del plan de asfaltado 2026-2027</t>
        </is>
      </c>
      <c r="K93" s="2" t="inlineStr">
        <is>
          <t>43075/2026</t>
        </is>
      </c>
      <c r="L93" s="2" t="inlineStr">
        <is>
          <t>Abierto</t>
        </is>
      </c>
      <c r="M93" s="6" t="n">
        <v>7</v>
      </c>
      <c r="N93" s="2" t="inlineStr">
        <is>
          <t>G5-3; G4-5; A1-5</t>
        </is>
      </c>
      <c r="O93" s="7" t="n">
        <v>0.15</v>
      </c>
      <c r="P93" s="2" t="inlineStr">
        <is>
          <t>Mejora oferta 20 | Baja en el precio de ejecución de la obra 25 | Reducción en el plazo de ejecución de la obra 20 | Distancia a planta de fabricación de las mezclas asfáltias a emplear en  obra 20 | Memoria técnica 15 (JV)</t>
        </is>
      </c>
      <c r="Q93" s="2" t="inlineStr">
        <is>
          <t>definitiva 5%</t>
        </is>
      </c>
      <c r="R93" s="2" t="n"/>
      <c r="S93" s="4" t="n"/>
      <c r="T93" s="2" t="inlineStr">
        <is>
          <t>45233140; 45233222; 45233200</t>
        </is>
      </c>
      <c r="U93" s="8" t="inlineStr">
        <is>
          <t>PCAP</t>
        </is>
      </c>
      <c r="V93" s="8" t="inlineStr">
        <is>
          <t>PPT</t>
        </is>
      </c>
      <c r="W93" s="8" t="inlineStr">
        <is>
          <t>Ver</t>
        </is>
      </c>
      <c r="X93" s="9" t="n">
        <v>46322</v>
      </c>
      <c r="Y93" s="2" t="n"/>
    </row>
    <row r="94">
      <c r="A94" s="2" t="n"/>
      <c r="B94" s="3" t="n">
        <v>46349.99930555555</v>
      </c>
      <c r="C94" s="4">
        <f>IF(B94="","",INT(B94)-TODAY())</f>
        <v/>
      </c>
      <c r="D94" s="5" t="n">
        <v>2005218.3</v>
      </c>
      <c r="E94" s="5" t="n">
        <v>2205740.13</v>
      </c>
      <c r="F94" s="2" t="inlineStr">
        <is>
          <t>Comunitat Valenciana</t>
        </is>
      </c>
      <c r="G94" s="2" t="inlineStr">
        <is>
          <t>Castellón</t>
        </is>
      </c>
      <c r="H94" s="2" t="n"/>
      <c r="I94" s="2" t="inlineStr">
        <is>
          <t>Junta de Gobierno del Ayuntamiento de La Vall d'Uixó</t>
        </is>
      </c>
      <c r="J94" s="2" t="inlineStr">
        <is>
          <t>Obres EDIFICANT - CEIP Lleonard Mingarro - Demolició i Construcció Nou Edifici Infantil i Adecuació Edifici Primària</t>
        </is>
      </c>
      <c r="K94" s="2" t="inlineStr">
        <is>
          <t>JGL-OBR/2026000049</t>
        </is>
      </c>
      <c r="L94" s="2" t="inlineStr">
        <is>
          <t>Abierto</t>
        </is>
      </c>
      <c r="M94" s="6" t="n">
        <v>12</v>
      </c>
      <c r="N94" s="2" t="n"/>
      <c r="O94" s="7" t="n">
        <v>0.3</v>
      </c>
      <c r="P94" s="2" t="inlineStr">
        <is>
          <t>Memoria técnica 30 (JV) | Oferta económica y resto criterios objetivos 70</t>
        </is>
      </c>
      <c r="Q94" s="2" t="inlineStr">
        <is>
          <t>definitiva 5%</t>
        </is>
      </c>
      <c r="R94" s="2" t="inlineStr">
        <is>
          <t>No se prevé la revisión periódica y predeterminada de precios dado que el plazo de ejecución de la obra, establecido en doce meses, no alcanza la duración de dos años.</t>
        </is>
      </c>
      <c r="S94" s="4" t="n"/>
      <c r="T94" s="2" t="inlineStr">
        <is>
          <t>45214000</t>
        </is>
      </c>
      <c r="U94" s="8" t="inlineStr">
        <is>
          <t>PCAP</t>
        </is>
      </c>
      <c r="V94" s="8" t="inlineStr">
        <is>
          <t>PPT</t>
        </is>
      </c>
      <c r="W94" s="8" t="inlineStr">
        <is>
          <t>Ver</t>
        </is>
      </c>
      <c r="X94" s="9" t="n">
        <v>46323</v>
      </c>
      <c r="Y94" s="2" t="n"/>
    </row>
    <row r="95">
      <c r="A95" s="2" t="n"/>
      <c r="B95" s="3" t="n">
        <v>46350.45833333334</v>
      </c>
      <c r="C95" s="4">
        <f>IF(B95="","",INT(B95)-TODAY())</f>
        <v/>
      </c>
      <c r="D95" s="5" t="n">
        <v>3246355.87</v>
      </c>
      <c r="E95" s="5" t="n">
        <v>3246355.87</v>
      </c>
      <c r="F95" s="2" t="inlineStr">
        <is>
          <t>Andalucía</t>
        </is>
      </c>
      <c r="G95" s="2" t="inlineStr">
        <is>
          <t>Sevilla</t>
        </is>
      </c>
      <c r="H95" s="2" t="n"/>
      <c r="I95" s="2" t="inlineStr">
        <is>
          <t>Comisión Ejecutiva de la Gerencia de Urbanismo de Sevilla</t>
        </is>
      </c>
      <c r="J95" s="2" t="inlineStr">
        <is>
          <t>Obras del Proyecto básico y de ejecución para rehabilitación, consolidación y puesta en valor de la sala de Profundis y las viviendas anexas del Real Monasterio de Santa Clara.</t>
        </is>
      </c>
      <c r="K95" s="2" t="inlineStr">
        <is>
          <t>19/2026</t>
        </is>
      </c>
      <c r="L95" s="2" t="inlineStr">
        <is>
          <t>Abierto</t>
        </is>
      </c>
      <c r="M95" s="6" t="n">
        <v>18</v>
      </c>
      <c r="N95" s="2" t="inlineStr">
        <is>
          <t>K7-4</t>
        </is>
      </c>
      <c r="O95" s="7" t="n">
        <v>0</v>
      </c>
      <c r="P95"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95" s="2" t="inlineStr">
        <is>
          <t>definitiva 5%; complementaria 5%</t>
        </is>
      </c>
      <c r="R95" s="2" t="inlineStr">
        <is>
          <t>FÓRMULA 831. Obras de restauración de edificios.</t>
        </is>
      </c>
      <c r="S95" s="4" t="n"/>
      <c r="T95" s="2" t="inlineStr">
        <is>
          <t>45212300</t>
        </is>
      </c>
      <c r="U95" s="8" t="inlineStr">
        <is>
          <t>PCAP</t>
        </is>
      </c>
      <c r="V95" s="2" t="n"/>
      <c r="W95" s="8" t="inlineStr">
        <is>
          <t>Ver</t>
        </is>
      </c>
      <c r="X95" s="9" t="n">
        <v>46310</v>
      </c>
      <c r="Y95" s="2" t="n"/>
    </row>
    <row r="96">
      <c r="A96" s="2" t="n"/>
      <c r="B96" s="3" t="n">
        <v>46350.54166666666</v>
      </c>
      <c r="C96" s="4">
        <f>IF(B96="","",INT(B96)-TODAY())</f>
        <v/>
      </c>
      <c r="D96" s="5" t="n">
        <v>22148578.97</v>
      </c>
      <c r="E96" s="5" t="n">
        <v>26338628.76</v>
      </c>
      <c r="F96" s="2" t="inlineStr">
        <is>
          <t>Andalucía</t>
        </is>
      </c>
      <c r="G96" s="2" t="inlineStr">
        <is>
          <t>Málaga</t>
        </is>
      </c>
      <c r="H96" s="2" t="n"/>
      <c r="I96" s="2" t="inlineStr">
        <is>
          <t>Junta de Gobierno del Ayuntamiento de Málaga</t>
        </is>
      </c>
      <c r="J96" s="2" t="inlineStr">
        <is>
          <t>Redacción del proyecto constructivo y ejecución de las obras del soterramiento de la Avenida de Valle-Inclán en la intersección con el Camino de Suárez, la Calle Martínez de la Rosa y el acceso a las barriadas de Carlinda, La Corta y San Alberto, en la ciudad de Málaga</t>
        </is>
      </c>
      <c r="K96" s="2" t="inlineStr">
        <is>
          <t>31/26</t>
        </is>
      </c>
      <c r="L96" s="2" t="inlineStr">
        <is>
          <t>Abierto</t>
        </is>
      </c>
      <c r="M96" s="6" t="n">
        <v>31</v>
      </c>
      <c r="N96" s="2" t="inlineStr">
        <is>
          <t>B2-6; G6-3</t>
        </is>
      </c>
      <c r="O96" s="7" t="n">
        <v>0.49</v>
      </c>
      <c r="P96" s="2" t="inlineStr">
        <is>
          <t>Calidad del Equipo Técnico 20 | Adaptación de espacios aportados por el Ayuntamiento destinados a aparcamientos provisionales para los vecinos durante la ejecución de las obrasobras, por un importe máximo de 150.000€ 2 | Oferta Económica Proyecto Construcción 5 | Oferta Económica Ejecución de las Obras 24 | Propuesta Técnica 49 (JV)</t>
        </is>
      </c>
      <c r="Q96" s="2" t="inlineStr">
        <is>
          <t>definitiva 5%</t>
        </is>
      </c>
      <c r="R96" s="2" t="inlineStr">
        <is>
          <t>RD 1359/2011, Anexo II, Fórmula 111. Estructuras de hormigón armado y pretensado</t>
        </is>
      </c>
      <c r="S96" s="4" t="n"/>
      <c r="T96" s="2" t="inlineStr">
        <is>
          <t>45221000; 71300000</t>
        </is>
      </c>
      <c r="U96" s="8" t="inlineStr">
        <is>
          <t>PCAP</t>
        </is>
      </c>
      <c r="V96" s="8" t="inlineStr">
        <is>
          <t>PPT</t>
        </is>
      </c>
      <c r="W96" s="8" t="inlineStr">
        <is>
          <t>Ver</t>
        </is>
      </c>
      <c r="X96" s="9" t="n">
        <v>46321</v>
      </c>
      <c r="Y96" s="2" t="n"/>
    </row>
    <row r="97">
      <c r="A97" s="2" t="n"/>
      <c r="B97" s="3" t="n">
        <v>46351.54166666666</v>
      </c>
      <c r="C97" s="4">
        <f>IF(B97="","",INT(B97)-TODAY())</f>
        <v/>
      </c>
      <c r="D97" s="5" t="n">
        <v>15485878.79</v>
      </c>
      <c r="E97" s="5" t="n">
        <v>20131642.43</v>
      </c>
      <c r="F97" s="2" t="inlineStr">
        <is>
          <t>Comunitat Valenciana</t>
        </is>
      </c>
      <c r="G97" s="2" t="inlineStr">
        <is>
          <t>Valencia</t>
        </is>
      </c>
      <c r="H97" s="2" t="inlineStr">
        <is>
          <t>Valencia</t>
        </is>
      </c>
      <c r="I97" s="2" t="inlineStr">
        <is>
          <t>Consejo de Administración de la Autoridad Portuaria de Valencia</t>
        </is>
      </c>
      <c r="J97" s="2" t="inlineStr">
        <is>
          <t>Construcción de nueva subestación transformadora de 132/20 kV tipo GIS de interior con dos transformadores 132/20 kV, 55 MVA-ST. Autoridad Portuaria de Valencia 2</t>
        </is>
      </c>
      <c r="K97" s="2" t="inlineStr">
        <is>
          <t>EC26-C02-02310</t>
        </is>
      </c>
      <c r="L97" s="2" t="inlineStr">
        <is>
          <t>Abierto</t>
        </is>
      </c>
      <c r="M97" s="6" t="n">
        <v>20</v>
      </c>
      <c r="N97" s="2" t="inlineStr">
        <is>
          <t>I4-4</t>
        </is>
      </c>
      <c r="O97" s="7" t="n">
        <v>0.49</v>
      </c>
      <c r="P97" s="2" t="inlineStr">
        <is>
          <t>Oferta económica 51 | Criterios evaluables mediante juicio de valor 49 (JV)</t>
        </is>
      </c>
      <c r="Q97" s="2" t="inlineStr">
        <is>
          <t>definitiva 5%; complementaria 5%</t>
        </is>
      </c>
      <c r="R97" s="2" t="n"/>
      <c r="S97" s="4" t="n"/>
      <c r="T97" s="2" t="inlineStr">
        <is>
          <t>45232220</t>
        </is>
      </c>
      <c r="U97" s="8" t="inlineStr">
        <is>
          <t>PCAP</t>
        </is>
      </c>
      <c r="V97" s="8" t="inlineStr">
        <is>
          <t>PPT</t>
        </is>
      </c>
      <c r="W97" s="8" t="inlineStr">
        <is>
          <t>Ver</t>
        </is>
      </c>
      <c r="X97" s="9" t="n">
        <v>46321</v>
      </c>
      <c r="Y97" s="2" t="n"/>
    </row>
    <row r="98">
      <c r="A98" s="2" t="n"/>
      <c r="B98" s="3" t="n">
        <v>46351.99930555555</v>
      </c>
      <c r="C98" s="4">
        <f>IF(B98="","",INT(B98)-TODAY())</f>
        <v/>
      </c>
      <c r="D98" s="5" t="n">
        <v>6566988.52</v>
      </c>
      <c r="E98" s="5" t="n">
        <v>6566988.52</v>
      </c>
      <c r="F98" s="2" t="inlineStr">
        <is>
          <t>Comunitat Valenciana</t>
        </is>
      </c>
      <c r="G98" s="2" t="inlineStr">
        <is>
          <t>Valencia</t>
        </is>
      </c>
      <c r="H98" s="2" t="inlineStr">
        <is>
          <t>Torrent</t>
        </is>
      </c>
      <c r="I98" s="2" t="inlineStr">
        <is>
          <t>Junta de Gobierno del Ayuntamiento de Torrent</t>
        </is>
      </c>
      <c r="J98" s="2" t="inlineStr">
        <is>
          <t>Obras de reposición del colegio CEIP Lope de Vega de Torrent, en el marco del Pla Edificant</t>
        </is>
      </c>
      <c r="K98" s="2" t="inlineStr">
        <is>
          <t>28703/2026</t>
        </is>
      </c>
      <c r="L98" s="2" t="inlineStr">
        <is>
          <t>Abierto</t>
        </is>
      </c>
      <c r="M98" s="6" t="n">
        <v>20</v>
      </c>
      <c r="N98" s="2" t="n"/>
      <c r="O98" s="7" t="n">
        <v>0</v>
      </c>
      <c r="P98" s="2" t="inlineStr">
        <is>
          <t>Oferta económica 100</t>
        </is>
      </c>
      <c r="Q98" s="2" t="inlineStr">
        <is>
          <t>definitiva 5%</t>
        </is>
      </c>
      <c r="R98" s="2" t="n"/>
      <c r="S98" s="4" t="n"/>
      <c r="T98" s="2" t="inlineStr">
        <is>
          <t>45214210</t>
        </is>
      </c>
      <c r="U98" s="8" t="inlineStr">
        <is>
          <t>PCAP</t>
        </is>
      </c>
      <c r="V98" s="8" t="inlineStr">
        <is>
          <t>PPT</t>
        </is>
      </c>
      <c r="W98" s="8" t="inlineStr">
        <is>
          <t>Ver</t>
        </is>
      </c>
      <c r="X98" s="9" t="n">
        <v>46322</v>
      </c>
      <c r="Y98" s="2" t="inlineStr">
        <is>
          <t>2026-10-28: estado PRE → PUB</t>
        </is>
      </c>
    </row>
    <row r="99">
      <c r="A99" s="2" t="n"/>
      <c r="B99" s="3" t="n">
        <v>46356.54166666666</v>
      </c>
      <c r="C99" s="4">
        <f>IF(B99="","",INT(B99)-TODAY())</f>
        <v/>
      </c>
      <c r="D99" s="5" t="n">
        <v>3868203.32</v>
      </c>
      <c r="E99" s="5" t="n">
        <v>3868203.32</v>
      </c>
      <c r="F99" s="2" t="inlineStr">
        <is>
          <t>Andalucía</t>
        </is>
      </c>
      <c r="G99" s="2" t="inlineStr">
        <is>
          <t>Jaén</t>
        </is>
      </c>
      <c r="H99" s="2" t="n"/>
      <c r="I99" s="2" t="inlineStr">
        <is>
          <t>ADIF - Presidencia</t>
        </is>
      </c>
      <c r="J99" s="2" t="inlineStr">
        <is>
          <t>Ejecución de las obras del proyecto de construcción L-400. Tratamiento terraplenes inestables entre los PPKK 323+050 al 323+500 y del proyecto de construcción para la mejora de terraplenes trayecto Vilches – Vadollano.</t>
        </is>
      </c>
      <c r="K99" s="2" t="inlineStr">
        <is>
          <t>3.26/27507.0241</t>
        </is>
      </c>
      <c r="L99" s="2" t="inlineStr">
        <is>
          <t>Abierto</t>
        </is>
      </c>
      <c r="M99" s="6" t="n">
        <v>8</v>
      </c>
      <c r="N99" s="2" t="inlineStr">
        <is>
          <t>D5-5</t>
        </is>
      </c>
      <c r="O99" s="7" t="n">
        <v>0.49</v>
      </c>
      <c r="P99" s="2" t="inlineStr">
        <is>
          <t>Criterio relativo al coste 51 | Criterio evaluable mediante juicio de valor 49 (JV)</t>
        </is>
      </c>
      <c r="Q99" s="2" t="n"/>
      <c r="R99" s="2" t="inlineStr">
        <is>
          <t>Plataformas ferroviarias sin elementos singulares</t>
        </is>
      </c>
      <c r="S99" s="4" t="n"/>
      <c r="T99" s="2" t="inlineStr">
        <is>
          <t>45234110</t>
        </is>
      </c>
      <c r="U99" s="8" t="inlineStr">
        <is>
          <t>PCAP</t>
        </is>
      </c>
      <c r="V99" s="8" t="inlineStr">
        <is>
          <t>PPT</t>
        </is>
      </c>
      <c r="W99" s="8" t="inlineStr">
        <is>
          <t>Ver</t>
        </is>
      </c>
      <c r="X99" s="9" t="n">
        <v>46322</v>
      </c>
      <c r="Y99" s="2" t="n"/>
    </row>
    <row r="100">
      <c r="A100" s="2" t="n"/>
      <c r="B100" s="3" t="n">
        <v>46365.99930555555</v>
      </c>
      <c r="C100" s="4">
        <f>IF(B100="","",INT(B100)-TODAY())</f>
        <v/>
      </c>
      <c r="D100" s="5" t="n">
        <v>1878452.74</v>
      </c>
      <c r="E100" s="5" t="n">
        <v>1878452.74</v>
      </c>
      <c r="F100" s="2" t="inlineStr">
        <is>
          <t>Andalucía</t>
        </is>
      </c>
      <c r="G100" s="2" t="inlineStr">
        <is>
          <t>Sevilla</t>
        </is>
      </c>
      <c r="H100" s="2" t="inlineStr">
        <is>
          <t>Camas</t>
        </is>
      </c>
      <c r="I100" s="2" t="inlineStr">
        <is>
          <t>Junta de Gobierno del Ayuntamiento de Camas</t>
        </is>
      </c>
      <c r="J100" s="2" t="inlineStr">
        <is>
          <t>Contrato de Obras para la Ejecución de Campo de Fútbol 7 e Instalaciones Complementarias en Barriada La Pañoleta y Campo de Fútbol 11 e Instalaciones Complementarias en Parcela EQE 02 del PP4 Poeta Muñoz San Román</t>
        </is>
      </c>
      <c r="K100" s="2" t="inlineStr">
        <is>
          <t>11722/2026</t>
        </is>
      </c>
      <c r="L100" s="2" t="inlineStr">
        <is>
          <t>Abierto simplificado</t>
        </is>
      </c>
      <c r="M100" s="6" t="n">
        <v>10</v>
      </c>
      <c r="N100" s="2" t="n"/>
      <c r="O100" s="7" t="n">
        <v>0</v>
      </c>
      <c r="P100" s="2" t="inlineStr">
        <is>
          <t>[lote 1] | Experiencia Personal Técnico. Jefe de Obra. Lote 1 20 | Mejoras Lote 1 15 | Propuesta Económica Lote 1 40 | Experiencia Personal Técnico. Encargado de Obra. Lote 1 20 | Ampliación del Plazo de Garantía del Contrato. Lote 1 5</t>
        </is>
      </c>
      <c r="Q100" s="2" t="inlineStr">
        <is>
          <t>complementaria 5%; definitiva 5%</t>
        </is>
      </c>
      <c r="R100" s="2" t="n"/>
      <c r="S100" s="4" t="n">
        <v>2</v>
      </c>
      <c r="T100" s="2" t="inlineStr">
        <is>
          <t>45212200; 45212224; 45212221</t>
        </is>
      </c>
      <c r="U100" s="8" t="inlineStr">
        <is>
          <t>PCAP</t>
        </is>
      </c>
      <c r="V100" s="8" t="inlineStr">
        <is>
          <t>PPT</t>
        </is>
      </c>
      <c r="W100" s="8" t="inlineStr">
        <is>
          <t>Ver</t>
        </is>
      </c>
      <c r="X100" s="9" t="n">
        <v>46323</v>
      </c>
      <c r="Y100" s="2" t="n"/>
    </row>
    <row r="101">
      <c r="A101" s="2" t="n"/>
      <c r="B101" s="3" t="n">
        <v>46377.58333333334</v>
      </c>
      <c r="C101" s="4">
        <f>IF(B101="","",INT(B101)-TODAY())</f>
        <v/>
      </c>
      <c r="D101" s="5" t="n">
        <v>21241200</v>
      </c>
      <c r="E101" s="5" t="n">
        <v>25355520</v>
      </c>
      <c r="F101" s="2" t="inlineStr">
        <is>
          <t>Comunitat Valenciana</t>
        </is>
      </c>
      <c r="G101" s="2" t="inlineStr">
        <is>
          <t>Valencia</t>
        </is>
      </c>
      <c r="H101" s="2" t="n"/>
      <c r="I101" s="2" t="inlineStr">
        <is>
          <t>Presidencia de la Entidad Valenciana de Vivienda y Suelo</t>
        </is>
      </c>
      <c r="J101" s="2" t="inlineStr">
        <is>
          <t>Redacción del proyecto, ejecución de las obras y dirección facultativa para la construcción por procedimientos industrializados promovidas por la Entidad Valenciana de Vivienda y Suelo, en Silla y Carcaixent.</t>
        </is>
      </c>
      <c r="K101" s="2" t="inlineStr">
        <is>
          <t>CMAYOR/2026/EVHA0/0014</t>
        </is>
      </c>
      <c r="L101" s="2" t="inlineStr">
        <is>
          <t>Abierto</t>
        </is>
      </c>
      <c r="M101" s="6" t="n">
        <v>12</v>
      </c>
      <c r="N101" s="2" t="n"/>
      <c r="O101" s="7" t="n">
        <v>0.49</v>
      </c>
      <c r="P101" s="2" t="inlineStr">
        <is>
          <t>[lote 1] | Reducción del plazo de ejecución de las obras 12 | Metodología BIM aplicada a la fase de proyecto básico y de ejecución 9 | Reducción del plazo de redacción de proyectos 10 | Integración urbana 5 (JV) | Propuesta económica 20 | Calidad arquitectónica 20 (JV) | Industrialización y gestión 18 (JV) | Sostenibilidad medioambiental 6 (JV)</t>
        </is>
      </c>
      <c r="Q101" s="2" t="inlineStr">
        <is>
          <t>definitiva 5%</t>
        </is>
      </c>
      <c r="R101" s="2" t="n"/>
      <c r="S101" s="4" t="n">
        <v>4</v>
      </c>
      <c r="T101" s="2" t="inlineStr">
        <is>
          <t>45211100; 71000000</t>
        </is>
      </c>
      <c r="U101" s="8" t="inlineStr">
        <is>
          <t>PCAP</t>
        </is>
      </c>
      <c r="V101" s="8" t="inlineStr">
        <is>
          <t>PPT</t>
        </is>
      </c>
      <c r="W101" s="8" t="inlineStr">
        <is>
          <t>Ver</t>
        </is>
      </c>
      <c r="X101" s="9" t="n">
        <v>46314</v>
      </c>
      <c r="Y101" s="2" t="inlineStr">
        <is>
          <t>2026-10-20: plazo 2026-11-19 14:00 → 2026-12-21 14:00</t>
        </is>
      </c>
    </row>
    <row r="102">
      <c r="A102" s="2" t="n"/>
      <c r="B102" s="3" t="n">
        <v>48099.58333333334</v>
      </c>
      <c r="C102" s="4">
        <f>IF(B102="","",INT(B102)-TODAY())</f>
        <v/>
      </c>
      <c r="D102" s="5" t="n">
        <v>3000000</v>
      </c>
      <c r="E102" s="5" t="n">
        <v>3000000</v>
      </c>
      <c r="F102" s="2" t="inlineStr">
        <is>
          <t>Andalucía</t>
        </is>
      </c>
      <c r="G102" s="2" t="inlineStr">
        <is>
          <t>Córdoba</t>
        </is>
      </c>
      <c r="H102" s="2" t="inlineStr">
        <is>
          <t>Córdoba</t>
        </is>
      </c>
      <c r="I102" s="2" t="inlineStr">
        <is>
          <t>Consejo de Administración de la Empresa Municipal de Aguas de Córdoba, S.A. (EMACSA)</t>
        </is>
      </c>
      <c r="J102" s="2" t="inlineStr">
        <is>
          <t>Sistema dinámico de adquisición de obras en redes e instalaciones para la Empresa Municipal de Aguas de Córdoba, S.A.</t>
        </is>
      </c>
      <c r="K102" s="2" t="inlineStr">
        <is>
          <t>SDA32/2026</t>
        </is>
      </c>
      <c r="L102" s="2" t="inlineStr">
        <is>
          <t>Restringido</t>
        </is>
      </c>
      <c r="M102" s="6" t="n"/>
      <c r="N102" s="2" t="n"/>
      <c r="O102" s="7" t="n">
        <v>0</v>
      </c>
      <c r="P102" s="2" t="inlineStr">
        <is>
          <t>[lote 1] | Price 100</t>
        </is>
      </c>
      <c r="Q102" s="2" t="n"/>
      <c r="R102" s="2" t="n"/>
      <c r="S102" s="4" t="n">
        <v>2</v>
      </c>
      <c r="T102" s="2" t="inlineStr">
        <is>
          <t>45231110; 45232152; 45252100; 45231300; 45232423; 45232411; 45252120; 45232150; 45232400; 45232410; 45232151</t>
        </is>
      </c>
      <c r="U102" s="8" t="inlineStr">
        <is>
          <t>PCAP</t>
        </is>
      </c>
      <c r="V102" s="8" t="inlineStr">
        <is>
          <t>PPT</t>
        </is>
      </c>
      <c r="W102" s="8" t="inlineStr">
        <is>
          <t>Ver</t>
        </is>
      </c>
      <c r="X102" s="9" t="n">
        <v>46310</v>
      </c>
      <c r="Y102" s="2" t="n"/>
    </row>
  </sheetData>
  <conditionalFormatting sqref="C2:C102">
    <cfRule type="expression" priority="1" dxfId="0" stopIfTrue="1">
      <formula>AND(ISNUMBER(C2),C2&lt;=7)</formula>
    </cfRule>
    <cfRule type="expression" priority="2" dxfId="1" stopIfTrue="1">
      <formula>AND(ISNUMBER(C2),C2&lt;=14)</formula>
    </cfRule>
  </conditionalFormatting>
  <conditionalFormatting sqref="A2:A102">
    <cfRule type="expression" priority="3" dxfId="2">
      <formula>A2="SÍ"</formula>
    </cfRule>
  </conditionalFormatting>
  <conditionalFormatting sqref="Y2:Y102">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V3" r:id="rId5"/>
    <hyperlink xmlns:r="http://schemas.openxmlformats.org/officeDocument/2006/relationships" ref="W3" r:id="rId6"/>
    <hyperlink xmlns:r="http://schemas.openxmlformats.org/officeDocument/2006/relationships" ref="U4" r:id="rId7"/>
    <hyperlink xmlns:r="http://schemas.openxmlformats.org/officeDocument/2006/relationships" ref="V4" r:id="rId8"/>
    <hyperlink xmlns:r="http://schemas.openxmlformats.org/officeDocument/2006/relationships" ref="W4" r:id="rId9"/>
    <hyperlink xmlns:r="http://schemas.openxmlformats.org/officeDocument/2006/relationships" ref="U5" r:id="rId10"/>
    <hyperlink xmlns:r="http://schemas.openxmlformats.org/officeDocument/2006/relationships" ref="V5" r:id="rId11"/>
    <hyperlink xmlns:r="http://schemas.openxmlformats.org/officeDocument/2006/relationships" ref="W5" r:id="rId12"/>
    <hyperlink xmlns:r="http://schemas.openxmlformats.org/officeDocument/2006/relationships" ref="U6" r:id="rId13"/>
    <hyperlink xmlns:r="http://schemas.openxmlformats.org/officeDocument/2006/relationships" ref="V6" r:id="rId14"/>
    <hyperlink xmlns:r="http://schemas.openxmlformats.org/officeDocument/2006/relationships" ref="W6" r:id="rId15"/>
    <hyperlink xmlns:r="http://schemas.openxmlformats.org/officeDocument/2006/relationships" ref="U7" r:id="rId16"/>
    <hyperlink xmlns:r="http://schemas.openxmlformats.org/officeDocument/2006/relationships" ref="V7" r:id="rId17"/>
    <hyperlink xmlns:r="http://schemas.openxmlformats.org/officeDocument/2006/relationships" ref="W7" r:id="rId18"/>
    <hyperlink xmlns:r="http://schemas.openxmlformats.org/officeDocument/2006/relationships" ref="U8" r:id="rId19"/>
    <hyperlink xmlns:r="http://schemas.openxmlformats.org/officeDocument/2006/relationships" ref="V8" r:id="rId20"/>
    <hyperlink xmlns:r="http://schemas.openxmlformats.org/officeDocument/2006/relationships" ref="W8" r:id="rId21"/>
    <hyperlink xmlns:r="http://schemas.openxmlformats.org/officeDocument/2006/relationships" ref="U9" r:id="rId22"/>
    <hyperlink xmlns:r="http://schemas.openxmlformats.org/officeDocument/2006/relationships" ref="V9" r:id="rId23"/>
    <hyperlink xmlns:r="http://schemas.openxmlformats.org/officeDocument/2006/relationships" ref="W9" r:id="rId24"/>
    <hyperlink xmlns:r="http://schemas.openxmlformats.org/officeDocument/2006/relationships" ref="U10" r:id="rId25"/>
    <hyperlink xmlns:r="http://schemas.openxmlformats.org/officeDocument/2006/relationships" ref="V10" r:id="rId26"/>
    <hyperlink xmlns:r="http://schemas.openxmlformats.org/officeDocument/2006/relationships" ref="W10" r:id="rId27"/>
    <hyperlink xmlns:r="http://schemas.openxmlformats.org/officeDocument/2006/relationships" ref="U11" r:id="rId28"/>
    <hyperlink xmlns:r="http://schemas.openxmlformats.org/officeDocument/2006/relationships" ref="V11" r:id="rId29"/>
    <hyperlink xmlns:r="http://schemas.openxmlformats.org/officeDocument/2006/relationships" ref="W11" r:id="rId30"/>
    <hyperlink xmlns:r="http://schemas.openxmlformats.org/officeDocument/2006/relationships" ref="U12" r:id="rId31"/>
    <hyperlink xmlns:r="http://schemas.openxmlformats.org/officeDocument/2006/relationships" ref="V12" r:id="rId32"/>
    <hyperlink xmlns:r="http://schemas.openxmlformats.org/officeDocument/2006/relationships" ref="W12" r:id="rId33"/>
    <hyperlink xmlns:r="http://schemas.openxmlformats.org/officeDocument/2006/relationships" ref="U13" r:id="rId34"/>
    <hyperlink xmlns:r="http://schemas.openxmlformats.org/officeDocument/2006/relationships" ref="V13" r:id="rId35"/>
    <hyperlink xmlns:r="http://schemas.openxmlformats.org/officeDocument/2006/relationships" ref="W13" r:id="rId36"/>
    <hyperlink xmlns:r="http://schemas.openxmlformats.org/officeDocument/2006/relationships" ref="U14" r:id="rId37"/>
    <hyperlink xmlns:r="http://schemas.openxmlformats.org/officeDocument/2006/relationships" ref="V14" r:id="rId38"/>
    <hyperlink xmlns:r="http://schemas.openxmlformats.org/officeDocument/2006/relationships" ref="W14" r:id="rId39"/>
    <hyperlink xmlns:r="http://schemas.openxmlformats.org/officeDocument/2006/relationships" ref="U15" r:id="rId40"/>
    <hyperlink xmlns:r="http://schemas.openxmlformats.org/officeDocument/2006/relationships" ref="V15" r:id="rId41"/>
    <hyperlink xmlns:r="http://schemas.openxmlformats.org/officeDocument/2006/relationships" ref="W15" r:id="rId42"/>
    <hyperlink xmlns:r="http://schemas.openxmlformats.org/officeDocument/2006/relationships" ref="U16" r:id="rId43"/>
    <hyperlink xmlns:r="http://schemas.openxmlformats.org/officeDocument/2006/relationships" ref="V16" r:id="rId44"/>
    <hyperlink xmlns:r="http://schemas.openxmlformats.org/officeDocument/2006/relationships" ref="W16" r:id="rId45"/>
    <hyperlink xmlns:r="http://schemas.openxmlformats.org/officeDocument/2006/relationships" ref="U17" r:id="rId46"/>
    <hyperlink xmlns:r="http://schemas.openxmlformats.org/officeDocument/2006/relationships" ref="V17" r:id="rId47"/>
    <hyperlink xmlns:r="http://schemas.openxmlformats.org/officeDocument/2006/relationships" ref="W17" r:id="rId48"/>
    <hyperlink xmlns:r="http://schemas.openxmlformats.org/officeDocument/2006/relationships" ref="U18" r:id="rId49"/>
    <hyperlink xmlns:r="http://schemas.openxmlformats.org/officeDocument/2006/relationships" ref="V18" r:id="rId50"/>
    <hyperlink xmlns:r="http://schemas.openxmlformats.org/officeDocument/2006/relationships" ref="W18" r:id="rId51"/>
    <hyperlink xmlns:r="http://schemas.openxmlformats.org/officeDocument/2006/relationships" ref="U19" r:id="rId52"/>
    <hyperlink xmlns:r="http://schemas.openxmlformats.org/officeDocument/2006/relationships" ref="V19" r:id="rId53"/>
    <hyperlink xmlns:r="http://schemas.openxmlformats.org/officeDocument/2006/relationships" ref="W19" r:id="rId54"/>
    <hyperlink xmlns:r="http://schemas.openxmlformats.org/officeDocument/2006/relationships" ref="U20" r:id="rId55"/>
    <hyperlink xmlns:r="http://schemas.openxmlformats.org/officeDocument/2006/relationships" ref="V20" r:id="rId56"/>
    <hyperlink xmlns:r="http://schemas.openxmlformats.org/officeDocument/2006/relationships" ref="W20" r:id="rId57"/>
    <hyperlink xmlns:r="http://schemas.openxmlformats.org/officeDocument/2006/relationships" ref="U21" r:id="rId58"/>
    <hyperlink xmlns:r="http://schemas.openxmlformats.org/officeDocument/2006/relationships" ref="V21" r:id="rId59"/>
    <hyperlink xmlns:r="http://schemas.openxmlformats.org/officeDocument/2006/relationships" ref="W21" r:id="rId60"/>
    <hyperlink xmlns:r="http://schemas.openxmlformats.org/officeDocument/2006/relationships" ref="U22" r:id="rId61"/>
    <hyperlink xmlns:r="http://schemas.openxmlformats.org/officeDocument/2006/relationships" ref="V22" r:id="rId62"/>
    <hyperlink xmlns:r="http://schemas.openxmlformats.org/officeDocument/2006/relationships" ref="W22" r:id="rId63"/>
    <hyperlink xmlns:r="http://schemas.openxmlformats.org/officeDocument/2006/relationships" ref="U23" r:id="rId64"/>
    <hyperlink xmlns:r="http://schemas.openxmlformats.org/officeDocument/2006/relationships" ref="V23" r:id="rId65"/>
    <hyperlink xmlns:r="http://schemas.openxmlformats.org/officeDocument/2006/relationships" ref="W23" r:id="rId66"/>
    <hyperlink xmlns:r="http://schemas.openxmlformats.org/officeDocument/2006/relationships" ref="U24" r:id="rId67"/>
    <hyperlink xmlns:r="http://schemas.openxmlformats.org/officeDocument/2006/relationships" ref="V24" r:id="rId68"/>
    <hyperlink xmlns:r="http://schemas.openxmlformats.org/officeDocument/2006/relationships" ref="W24" r:id="rId69"/>
    <hyperlink xmlns:r="http://schemas.openxmlformats.org/officeDocument/2006/relationships" ref="U25" r:id="rId70"/>
    <hyperlink xmlns:r="http://schemas.openxmlformats.org/officeDocument/2006/relationships" ref="V25" r:id="rId71"/>
    <hyperlink xmlns:r="http://schemas.openxmlformats.org/officeDocument/2006/relationships" ref="W25" r:id="rId72"/>
    <hyperlink xmlns:r="http://schemas.openxmlformats.org/officeDocument/2006/relationships" ref="U26" r:id="rId73"/>
    <hyperlink xmlns:r="http://schemas.openxmlformats.org/officeDocument/2006/relationships" ref="V26" r:id="rId74"/>
    <hyperlink xmlns:r="http://schemas.openxmlformats.org/officeDocument/2006/relationships" ref="W26" r:id="rId75"/>
    <hyperlink xmlns:r="http://schemas.openxmlformats.org/officeDocument/2006/relationships" ref="U27" r:id="rId76"/>
    <hyperlink xmlns:r="http://schemas.openxmlformats.org/officeDocument/2006/relationships" ref="W27" r:id="rId77"/>
    <hyperlink xmlns:r="http://schemas.openxmlformats.org/officeDocument/2006/relationships" ref="U28" r:id="rId78"/>
    <hyperlink xmlns:r="http://schemas.openxmlformats.org/officeDocument/2006/relationships" ref="V28" r:id="rId79"/>
    <hyperlink xmlns:r="http://schemas.openxmlformats.org/officeDocument/2006/relationships" ref="W28" r:id="rId80"/>
    <hyperlink xmlns:r="http://schemas.openxmlformats.org/officeDocument/2006/relationships" ref="U29" r:id="rId81"/>
    <hyperlink xmlns:r="http://schemas.openxmlformats.org/officeDocument/2006/relationships" ref="V29" r:id="rId82"/>
    <hyperlink xmlns:r="http://schemas.openxmlformats.org/officeDocument/2006/relationships" ref="W29" r:id="rId83"/>
    <hyperlink xmlns:r="http://schemas.openxmlformats.org/officeDocument/2006/relationships" ref="U30" r:id="rId84"/>
    <hyperlink xmlns:r="http://schemas.openxmlformats.org/officeDocument/2006/relationships" ref="V30" r:id="rId85"/>
    <hyperlink xmlns:r="http://schemas.openxmlformats.org/officeDocument/2006/relationships" ref="W30" r:id="rId86"/>
    <hyperlink xmlns:r="http://schemas.openxmlformats.org/officeDocument/2006/relationships" ref="U31" r:id="rId87"/>
    <hyperlink xmlns:r="http://schemas.openxmlformats.org/officeDocument/2006/relationships" ref="V31" r:id="rId88"/>
    <hyperlink xmlns:r="http://schemas.openxmlformats.org/officeDocument/2006/relationships" ref="W31" r:id="rId89"/>
    <hyperlink xmlns:r="http://schemas.openxmlformats.org/officeDocument/2006/relationships" ref="U32" r:id="rId90"/>
    <hyperlink xmlns:r="http://schemas.openxmlformats.org/officeDocument/2006/relationships" ref="V32" r:id="rId91"/>
    <hyperlink xmlns:r="http://schemas.openxmlformats.org/officeDocument/2006/relationships" ref="W32" r:id="rId92"/>
    <hyperlink xmlns:r="http://schemas.openxmlformats.org/officeDocument/2006/relationships" ref="U33" r:id="rId93"/>
    <hyperlink xmlns:r="http://schemas.openxmlformats.org/officeDocument/2006/relationships" ref="V33" r:id="rId94"/>
    <hyperlink xmlns:r="http://schemas.openxmlformats.org/officeDocument/2006/relationships" ref="W33" r:id="rId95"/>
    <hyperlink xmlns:r="http://schemas.openxmlformats.org/officeDocument/2006/relationships" ref="U34" r:id="rId96"/>
    <hyperlink xmlns:r="http://schemas.openxmlformats.org/officeDocument/2006/relationships" ref="V34" r:id="rId97"/>
    <hyperlink xmlns:r="http://schemas.openxmlformats.org/officeDocument/2006/relationships" ref="W34" r:id="rId98"/>
    <hyperlink xmlns:r="http://schemas.openxmlformats.org/officeDocument/2006/relationships" ref="U35" r:id="rId99"/>
    <hyperlink xmlns:r="http://schemas.openxmlformats.org/officeDocument/2006/relationships" ref="V35" r:id="rId100"/>
    <hyperlink xmlns:r="http://schemas.openxmlformats.org/officeDocument/2006/relationships" ref="W35" r:id="rId101"/>
    <hyperlink xmlns:r="http://schemas.openxmlformats.org/officeDocument/2006/relationships" ref="U36" r:id="rId102"/>
    <hyperlink xmlns:r="http://schemas.openxmlformats.org/officeDocument/2006/relationships" ref="V36" r:id="rId103"/>
    <hyperlink xmlns:r="http://schemas.openxmlformats.org/officeDocument/2006/relationships" ref="W36" r:id="rId104"/>
    <hyperlink xmlns:r="http://schemas.openxmlformats.org/officeDocument/2006/relationships" ref="U37" r:id="rId105"/>
    <hyperlink xmlns:r="http://schemas.openxmlformats.org/officeDocument/2006/relationships" ref="W37" r:id="rId106"/>
    <hyperlink xmlns:r="http://schemas.openxmlformats.org/officeDocument/2006/relationships" ref="U38" r:id="rId107"/>
    <hyperlink xmlns:r="http://schemas.openxmlformats.org/officeDocument/2006/relationships" ref="V38" r:id="rId108"/>
    <hyperlink xmlns:r="http://schemas.openxmlformats.org/officeDocument/2006/relationships" ref="W38" r:id="rId109"/>
    <hyperlink xmlns:r="http://schemas.openxmlformats.org/officeDocument/2006/relationships" ref="U39" r:id="rId110"/>
    <hyperlink xmlns:r="http://schemas.openxmlformats.org/officeDocument/2006/relationships" ref="W39" r:id="rId111"/>
    <hyperlink xmlns:r="http://schemas.openxmlformats.org/officeDocument/2006/relationships" ref="U40" r:id="rId112"/>
    <hyperlink xmlns:r="http://schemas.openxmlformats.org/officeDocument/2006/relationships" ref="V40" r:id="rId113"/>
    <hyperlink xmlns:r="http://schemas.openxmlformats.org/officeDocument/2006/relationships" ref="W40" r:id="rId114"/>
    <hyperlink xmlns:r="http://schemas.openxmlformats.org/officeDocument/2006/relationships" ref="U41" r:id="rId115"/>
    <hyperlink xmlns:r="http://schemas.openxmlformats.org/officeDocument/2006/relationships" ref="V41" r:id="rId116"/>
    <hyperlink xmlns:r="http://schemas.openxmlformats.org/officeDocument/2006/relationships" ref="W41" r:id="rId117"/>
    <hyperlink xmlns:r="http://schemas.openxmlformats.org/officeDocument/2006/relationships" ref="U42" r:id="rId118"/>
    <hyperlink xmlns:r="http://schemas.openxmlformats.org/officeDocument/2006/relationships" ref="V42" r:id="rId119"/>
    <hyperlink xmlns:r="http://schemas.openxmlformats.org/officeDocument/2006/relationships" ref="W42" r:id="rId120"/>
    <hyperlink xmlns:r="http://schemas.openxmlformats.org/officeDocument/2006/relationships" ref="U43" r:id="rId121"/>
    <hyperlink xmlns:r="http://schemas.openxmlformats.org/officeDocument/2006/relationships" ref="V43" r:id="rId122"/>
    <hyperlink xmlns:r="http://schemas.openxmlformats.org/officeDocument/2006/relationships" ref="W43" r:id="rId123"/>
    <hyperlink xmlns:r="http://schemas.openxmlformats.org/officeDocument/2006/relationships" ref="U44" r:id="rId124"/>
    <hyperlink xmlns:r="http://schemas.openxmlformats.org/officeDocument/2006/relationships" ref="V44" r:id="rId125"/>
    <hyperlink xmlns:r="http://schemas.openxmlformats.org/officeDocument/2006/relationships" ref="W44" r:id="rId126"/>
    <hyperlink xmlns:r="http://schemas.openxmlformats.org/officeDocument/2006/relationships" ref="U45" r:id="rId127"/>
    <hyperlink xmlns:r="http://schemas.openxmlformats.org/officeDocument/2006/relationships" ref="V45" r:id="rId128"/>
    <hyperlink xmlns:r="http://schemas.openxmlformats.org/officeDocument/2006/relationships" ref="W45" r:id="rId129"/>
    <hyperlink xmlns:r="http://schemas.openxmlformats.org/officeDocument/2006/relationships" ref="U46" r:id="rId130"/>
    <hyperlink xmlns:r="http://schemas.openxmlformats.org/officeDocument/2006/relationships" ref="V46" r:id="rId131"/>
    <hyperlink xmlns:r="http://schemas.openxmlformats.org/officeDocument/2006/relationships" ref="W46" r:id="rId132"/>
    <hyperlink xmlns:r="http://schemas.openxmlformats.org/officeDocument/2006/relationships" ref="U47" r:id="rId133"/>
    <hyperlink xmlns:r="http://schemas.openxmlformats.org/officeDocument/2006/relationships" ref="V47" r:id="rId134"/>
    <hyperlink xmlns:r="http://schemas.openxmlformats.org/officeDocument/2006/relationships" ref="W47" r:id="rId135"/>
    <hyperlink xmlns:r="http://schemas.openxmlformats.org/officeDocument/2006/relationships" ref="U48" r:id="rId136"/>
    <hyperlink xmlns:r="http://schemas.openxmlformats.org/officeDocument/2006/relationships" ref="V48" r:id="rId137"/>
    <hyperlink xmlns:r="http://schemas.openxmlformats.org/officeDocument/2006/relationships" ref="W48" r:id="rId138"/>
    <hyperlink xmlns:r="http://schemas.openxmlformats.org/officeDocument/2006/relationships" ref="U49" r:id="rId139"/>
    <hyperlink xmlns:r="http://schemas.openxmlformats.org/officeDocument/2006/relationships" ref="V49" r:id="rId140"/>
    <hyperlink xmlns:r="http://schemas.openxmlformats.org/officeDocument/2006/relationships" ref="W49" r:id="rId141"/>
    <hyperlink xmlns:r="http://schemas.openxmlformats.org/officeDocument/2006/relationships" ref="U50" r:id="rId142"/>
    <hyperlink xmlns:r="http://schemas.openxmlformats.org/officeDocument/2006/relationships" ref="V50" r:id="rId143"/>
    <hyperlink xmlns:r="http://schemas.openxmlformats.org/officeDocument/2006/relationships" ref="W50" r:id="rId144"/>
    <hyperlink xmlns:r="http://schemas.openxmlformats.org/officeDocument/2006/relationships" ref="U51" r:id="rId145"/>
    <hyperlink xmlns:r="http://schemas.openxmlformats.org/officeDocument/2006/relationships" ref="V51" r:id="rId146"/>
    <hyperlink xmlns:r="http://schemas.openxmlformats.org/officeDocument/2006/relationships" ref="W51" r:id="rId147"/>
    <hyperlink xmlns:r="http://schemas.openxmlformats.org/officeDocument/2006/relationships" ref="U52" r:id="rId148"/>
    <hyperlink xmlns:r="http://schemas.openxmlformats.org/officeDocument/2006/relationships" ref="V52" r:id="rId149"/>
    <hyperlink xmlns:r="http://schemas.openxmlformats.org/officeDocument/2006/relationships" ref="W52" r:id="rId150"/>
    <hyperlink xmlns:r="http://schemas.openxmlformats.org/officeDocument/2006/relationships" ref="U53" r:id="rId151"/>
    <hyperlink xmlns:r="http://schemas.openxmlformats.org/officeDocument/2006/relationships" ref="V53" r:id="rId152"/>
    <hyperlink xmlns:r="http://schemas.openxmlformats.org/officeDocument/2006/relationships" ref="W53" r:id="rId153"/>
    <hyperlink xmlns:r="http://schemas.openxmlformats.org/officeDocument/2006/relationships" ref="U54" r:id="rId154"/>
    <hyperlink xmlns:r="http://schemas.openxmlformats.org/officeDocument/2006/relationships" ref="W54" r:id="rId155"/>
    <hyperlink xmlns:r="http://schemas.openxmlformats.org/officeDocument/2006/relationships" ref="U55" r:id="rId156"/>
    <hyperlink xmlns:r="http://schemas.openxmlformats.org/officeDocument/2006/relationships" ref="V55" r:id="rId157"/>
    <hyperlink xmlns:r="http://schemas.openxmlformats.org/officeDocument/2006/relationships" ref="W55" r:id="rId158"/>
    <hyperlink xmlns:r="http://schemas.openxmlformats.org/officeDocument/2006/relationships" ref="U56" r:id="rId159"/>
    <hyperlink xmlns:r="http://schemas.openxmlformats.org/officeDocument/2006/relationships" ref="V56" r:id="rId160"/>
    <hyperlink xmlns:r="http://schemas.openxmlformats.org/officeDocument/2006/relationships" ref="W56" r:id="rId161"/>
    <hyperlink xmlns:r="http://schemas.openxmlformats.org/officeDocument/2006/relationships" ref="U57" r:id="rId162"/>
    <hyperlink xmlns:r="http://schemas.openxmlformats.org/officeDocument/2006/relationships" ref="V57" r:id="rId163"/>
    <hyperlink xmlns:r="http://schemas.openxmlformats.org/officeDocument/2006/relationships" ref="W57" r:id="rId164"/>
    <hyperlink xmlns:r="http://schemas.openxmlformats.org/officeDocument/2006/relationships" ref="U58" r:id="rId165"/>
    <hyperlink xmlns:r="http://schemas.openxmlformats.org/officeDocument/2006/relationships" ref="V58" r:id="rId166"/>
    <hyperlink xmlns:r="http://schemas.openxmlformats.org/officeDocument/2006/relationships" ref="W58" r:id="rId167"/>
    <hyperlink xmlns:r="http://schemas.openxmlformats.org/officeDocument/2006/relationships" ref="U59" r:id="rId168"/>
    <hyperlink xmlns:r="http://schemas.openxmlformats.org/officeDocument/2006/relationships" ref="V59" r:id="rId169"/>
    <hyperlink xmlns:r="http://schemas.openxmlformats.org/officeDocument/2006/relationships" ref="W59" r:id="rId170"/>
    <hyperlink xmlns:r="http://schemas.openxmlformats.org/officeDocument/2006/relationships" ref="U60" r:id="rId171"/>
    <hyperlink xmlns:r="http://schemas.openxmlformats.org/officeDocument/2006/relationships" ref="V60" r:id="rId172"/>
    <hyperlink xmlns:r="http://schemas.openxmlformats.org/officeDocument/2006/relationships" ref="W60" r:id="rId173"/>
    <hyperlink xmlns:r="http://schemas.openxmlformats.org/officeDocument/2006/relationships" ref="U61" r:id="rId174"/>
    <hyperlink xmlns:r="http://schemas.openxmlformats.org/officeDocument/2006/relationships" ref="V61" r:id="rId175"/>
    <hyperlink xmlns:r="http://schemas.openxmlformats.org/officeDocument/2006/relationships" ref="W61" r:id="rId176"/>
    <hyperlink xmlns:r="http://schemas.openxmlformats.org/officeDocument/2006/relationships" ref="U62" r:id="rId177"/>
    <hyperlink xmlns:r="http://schemas.openxmlformats.org/officeDocument/2006/relationships" ref="V62" r:id="rId178"/>
    <hyperlink xmlns:r="http://schemas.openxmlformats.org/officeDocument/2006/relationships" ref="W62" r:id="rId179"/>
    <hyperlink xmlns:r="http://schemas.openxmlformats.org/officeDocument/2006/relationships" ref="U63" r:id="rId180"/>
    <hyperlink xmlns:r="http://schemas.openxmlformats.org/officeDocument/2006/relationships" ref="V63" r:id="rId181"/>
    <hyperlink xmlns:r="http://schemas.openxmlformats.org/officeDocument/2006/relationships" ref="W63" r:id="rId182"/>
    <hyperlink xmlns:r="http://schemas.openxmlformats.org/officeDocument/2006/relationships" ref="U64" r:id="rId183"/>
    <hyperlink xmlns:r="http://schemas.openxmlformats.org/officeDocument/2006/relationships" ref="V64" r:id="rId184"/>
    <hyperlink xmlns:r="http://schemas.openxmlformats.org/officeDocument/2006/relationships" ref="W64" r:id="rId185"/>
    <hyperlink xmlns:r="http://schemas.openxmlformats.org/officeDocument/2006/relationships" ref="U65" r:id="rId186"/>
    <hyperlink xmlns:r="http://schemas.openxmlformats.org/officeDocument/2006/relationships" ref="V65" r:id="rId187"/>
    <hyperlink xmlns:r="http://schemas.openxmlformats.org/officeDocument/2006/relationships" ref="W65" r:id="rId188"/>
    <hyperlink xmlns:r="http://schemas.openxmlformats.org/officeDocument/2006/relationships" ref="U66" r:id="rId189"/>
    <hyperlink xmlns:r="http://schemas.openxmlformats.org/officeDocument/2006/relationships" ref="V66" r:id="rId190"/>
    <hyperlink xmlns:r="http://schemas.openxmlformats.org/officeDocument/2006/relationships" ref="W66" r:id="rId191"/>
    <hyperlink xmlns:r="http://schemas.openxmlformats.org/officeDocument/2006/relationships" ref="U67" r:id="rId192"/>
    <hyperlink xmlns:r="http://schemas.openxmlformats.org/officeDocument/2006/relationships" ref="V67" r:id="rId193"/>
    <hyperlink xmlns:r="http://schemas.openxmlformats.org/officeDocument/2006/relationships" ref="W67" r:id="rId194"/>
    <hyperlink xmlns:r="http://schemas.openxmlformats.org/officeDocument/2006/relationships" ref="U68" r:id="rId195"/>
    <hyperlink xmlns:r="http://schemas.openxmlformats.org/officeDocument/2006/relationships" ref="V68" r:id="rId196"/>
    <hyperlink xmlns:r="http://schemas.openxmlformats.org/officeDocument/2006/relationships" ref="W68" r:id="rId197"/>
    <hyperlink xmlns:r="http://schemas.openxmlformats.org/officeDocument/2006/relationships" ref="U69" r:id="rId198"/>
    <hyperlink xmlns:r="http://schemas.openxmlformats.org/officeDocument/2006/relationships" ref="V69" r:id="rId199"/>
    <hyperlink xmlns:r="http://schemas.openxmlformats.org/officeDocument/2006/relationships" ref="W69" r:id="rId200"/>
    <hyperlink xmlns:r="http://schemas.openxmlformats.org/officeDocument/2006/relationships" ref="U70" r:id="rId201"/>
    <hyperlink xmlns:r="http://schemas.openxmlformats.org/officeDocument/2006/relationships" ref="V70" r:id="rId202"/>
    <hyperlink xmlns:r="http://schemas.openxmlformats.org/officeDocument/2006/relationships" ref="W70" r:id="rId203"/>
    <hyperlink xmlns:r="http://schemas.openxmlformats.org/officeDocument/2006/relationships" ref="U71" r:id="rId204"/>
    <hyperlink xmlns:r="http://schemas.openxmlformats.org/officeDocument/2006/relationships" ref="W71" r:id="rId205"/>
    <hyperlink xmlns:r="http://schemas.openxmlformats.org/officeDocument/2006/relationships" ref="U72" r:id="rId206"/>
    <hyperlink xmlns:r="http://schemas.openxmlformats.org/officeDocument/2006/relationships" ref="V72" r:id="rId207"/>
    <hyperlink xmlns:r="http://schemas.openxmlformats.org/officeDocument/2006/relationships" ref="W72" r:id="rId208"/>
    <hyperlink xmlns:r="http://schemas.openxmlformats.org/officeDocument/2006/relationships" ref="U73" r:id="rId209"/>
    <hyperlink xmlns:r="http://schemas.openxmlformats.org/officeDocument/2006/relationships" ref="V73" r:id="rId210"/>
    <hyperlink xmlns:r="http://schemas.openxmlformats.org/officeDocument/2006/relationships" ref="W73" r:id="rId211"/>
    <hyperlink xmlns:r="http://schemas.openxmlformats.org/officeDocument/2006/relationships" ref="U74" r:id="rId212"/>
    <hyperlink xmlns:r="http://schemas.openxmlformats.org/officeDocument/2006/relationships" ref="V74" r:id="rId213"/>
    <hyperlink xmlns:r="http://schemas.openxmlformats.org/officeDocument/2006/relationships" ref="W74" r:id="rId214"/>
    <hyperlink xmlns:r="http://schemas.openxmlformats.org/officeDocument/2006/relationships" ref="U75" r:id="rId215"/>
    <hyperlink xmlns:r="http://schemas.openxmlformats.org/officeDocument/2006/relationships" ref="V75" r:id="rId216"/>
    <hyperlink xmlns:r="http://schemas.openxmlformats.org/officeDocument/2006/relationships" ref="W75" r:id="rId217"/>
    <hyperlink xmlns:r="http://schemas.openxmlformats.org/officeDocument/2006/relationships" ref="U76" r:id="rId218"/>
    <hyperlink xmlns:r="http://schemas.openxmlformats.org/officeDocument/2006/relationships" ref="V76" r:id="rId219"/>
    <hyperlink xmlns:r="http://schemas.openxmlformats.org/officeDocument/2006/relationships" ref="W76" r:id="rId220"/>
    <hyperlink xmlns:r="http://schemas.openxmlformats.org/officeDocument/2006/relationships" ref="U77" r:id="rId221"/>
    <hyperlink xmlns:r="http://schemas.openxmlformats.org/officeDocument/2006/relationships" ref="V77" r:id="rId222"/>
    <hyperlink xmlns:r="http://schemas.openxmlformats.org/officeDocument/2006/relationships" ref="W77" r:id="rId223"/>
    <hyperlink xmlns:r="http://schemas.openxmlformats.org/officeDocument/2006/relationships" ref="U78" r:id="rId224"/>
    <hyperlink xmlns:r="http://schemas.openxmlformats.org/officeDocument/2006/relationships" ref="V78" r:id="rId225"/>
    <hyperlink xmlns:r="http://schemas.openxmlformats.org/officeDocument/2006/relationships" ref="W78" r:id="rId226"/>
    <hyperlink xmlns:r="http://schemas.openxmlformats.org/officeDocument/2006/relationships" ref="U79" r:id="rId227"/>
    <hyperlink xmlns:r="http://schemas.openxmlformats.org/officeDocument/2006/relationships" ref="V79" r:id="rId228"/>
    <hyperlink xmlns:r="http://schemas.openxmlformats.org/officeDocument/2006/relationships" ref="W79" r:id="rId229"/>
    <hyperlink xmlns:r="http://schemas.openxmlformats.org/officeDocument/2006/relationships" ref="U80" r:id="rId230"/>
    <hyperlink xmlns:r="http://schemas.openxmlformats.org/officeDocument/2006/relationships" ref="V80" r:id="rId231"/>
    <hyperlink xmlns:r="http://schemas.openxmlformats.org/officeDocument/2006/relationships" ref="W80" r:id="rId232"/>
    <hyperlink xmlns:r="http://schemas.openxmlformats.org/officeDocument/2006/relationships" ref="U81" r:id="rId233"/>
    <hyperlink xmlns:r="http://schemas.openxmlformats.org/officeDocument/2006/relationships" ref="V81" r:id="rId234"/>
    <hyperlink xmlns:r="http://schemas.openxmlformats.org/officeDocument/2006/relationships" ref="W81" r:id="rId235"/>
    <hyperlink xmlns:r="http://schemas.openxmlformats.org/officeDocument/2006/relationships" ref="U82" r:id="rId236"/>
    <hyperlink xmlns:r="http://schemas.openxmlformats.org/officeDocument/2006/relationships" ref="V82" r:id="rId237"/>
    <hyperlink xmlns:r="http://schemas.openxmlformats.org/officeDocument/2006/relationships" ref="W82" r:id="rId238"/>
    <hyperlink xmlns:r="http://schemas.openxmlformats.org/officeDocument/2006/relationships" ref="U83" r:id="rId239"/>
    <hyperlink xmlns:r="http://schemas.openxmlformats.org/officeDocument/2006/relationships" ref="V83" r:id="rId240"/>
    <hyperlink xmlns:r="http://schemas.openxmlformats.org/officeDocument/2006/relationships" ref="W83" r:id="rId241"/>
    <hyperlink xmlns:r="http://schemas.openxmlformats.org/officeDocument/2006/relationships" ref="U84" r:id="rId242"/>
    <hyperlink xmlns:r="http://schemas.openxmlformats.org/officeDocument/2006/relationships" ref="W84" r:id="rId243"/>
    <hyperlink xmlns:r="http://schemas.openxmlformats.org/officeDocument/2006/relationships" ref="U85" r:id="rId244"/>
    <hyperlink xmlns:r="http://schemas.openxmlformats.org/officeDocument/2006/relationships" ref="V85" r:id="rId245"/>
    <hyperlink xmlns:r="http://schemas.openxmlformats.org/officeDocument/2006/relationships" ref="W85" r:id="rId246"/>
    <hyperlink xmlns:r="http://schemas.openxmlformats.org/officeDocument/2006/relationships" ref="U86" r:id="rId247"/>
    <hyperlink xmlns:r="http://schemas.openxmlformats.org/officeDocument/2006/relationships" ref="V86" r:id="rId248"/>
    <hyperlink xmlns:r="http://schemas.openxmlformats.org/officeDocument/2006/relationships" ref="W86" r:id="rId249"/>
    <hyperlink xmlns:r="http://schemas.openxmlformats.org/officeDocument/2006/relationships" ref="U87" r:id="rId250"/>
    <hyperlink xmlns:r="http://schemas.openxmlformats.org/officeDocument/2006/relationships" ref="V87" r:id="rId251"/>
    <hyperlink xmlns:r="http://schemas.openxmlformats.org/officeDocument/2006/relationships" ref="W87" r:id="rId252"/>
    <hyperlink xmlns:r="http://schemas.openxmlformats.org/officeDocument/2006/relationships" ref="U88" r:id="rId253"/>
    <hyperlink xmlns:r="http://schemas.openxmlformats.org/officeDocument/2006/relationships" ref="V88" r:id="rId254"/>
    <hyperlink xmlns:r="http://schemas.openxmlformats.org/officeDocument/2006/relationships" ref="W88" r:id="rId255"/>
    <hyperlink xmlns:r="http://schemas.openxmlformats.org/officeDocument/2006/relationships" ref="U89" r:id="rId256"/>
    <hyperlink xmlns:r="http://schemas.openxmlformats.org/officeDocument/2006/relationships" ref="W89" r:id="rId257"/>
    <hyperlink xmlns:r="http://schemas.openxmlformats.org/officeDocument/2006/relationships" ref="U90" r:id="rId258"/>
    <hyperlink xmlns:r="http://schemas.openxmlformats.org/officeDocument/2006/relationships" ref="V90" r:id="rId259"/>
    <hyperlink xmlns:r="http://schemas.openxmlformats.org/officeDocument/2006/relationships" ref="W90" r:id="rId260"/>
    <hyperlink xmlns:r="http://schemas.openxmlformats.org/officeDocument/2006/relationships" ref="U91" r:id="rId261"/>
    <hyperlink xmlns:r="http://schemas.openxmlformats.org/officeDocument/2006/relationships" ref="V91" r:id="rId262"/>
    <hyperlink xmlns:r="http://schemas.openxmlformats.org/officeDocument/2006/relationships" ref="W91" r:id="rId263"/>
    <hyperlink xmlns:r="http://schemas.openxmlformats.org/officeDocument/2006/relationships" ref="U92" r:id="rId264"/>
    <hyperlink xmlns:r="http://schemas.openxmlformats.org/officeDocument/2006/relationships" ref="V92" r:id="rId265"/>
    <hyperlink xmlns:r="http://schemas.openxmlformats.org/officeDocument/2006/relationships" ref="W92" r:id="rId266"/>
    <hyperlink xmlns:r="http://schemas.openxmlformats.org/officeDocument/2006/relationships" ref="U93" r:id="rId267"/>
    <hyperlink xmlns:r="http://schemas.openxmlformats.org/officeDocument/2006/relationships" ref="V93" r:id="rId268"/>
    <hyperlink xmlns:r="http://schemas.openxmlformats.org/officeDocument/2006/relationships" ref="W93" r:id="rId269"/>
    <hyperlink xmlns:r="http://schemas.openxmlformats.org/officeDocument/2006/relationships" ref="U94" r:id="rId270"/>
    <hyperlink xmlns:r="http://schemas.openxmlformats.org/officeDocument/2006/relationships" ref="V94" r:id="rId271"/>
    <hyperlink xmlns:r="http://schemas.openxmlformats.org/officeDocument/2006/relationships" ref="W94" r:id="rId272"/>
    <hyperlink xmlns:r="http://schemas.openxmlformats.org/officeDocument/2006/relationships" ref="U95" r:id="rId273"/>
    <hyperlink xmlns:r="http://schemas.openxmlformats.org/officeDocument/2006/relationships" ref="W95" r:id="rId274"/>
    <hyperlink xmlns:r="http://schemas.openxmlformats.org/officeDocument/2006/relationships" ref="U96" r:id="rId275"/>
    <hyperlink xmlns:r="http://schemas.openxmlformats.org/officeDocument/2006/relationships" ref="V96" r:id="rId276"/>
    <hyperlink xmlns:r="http://schemas.openxmlformats.org/officeDocument/2006/relationships" ref="W96" r:id="rId277"/>
    <hyperlink xmlns:r="http://schemas.openxmlformats.org/officeDocument/2006/relationships" ref="U97" r:id="rId278"/>
    <hyperlink xmlns:r="http://schemas.openxmlformats.org/officeDocument/2006/relationships" ref="V97" r:id="rId279"/>
    <hyperlink xmlns:r="http://schemas.openxmlformats.org/officeDocument/2006/relationships" ref="W97" r:id="rId280"/>
    <hyperlink xmlns:r="http://schemas.openxmlformats.org/officeDocument/2006/relationships" ref="U98" r:id="rId281"/>
    <hyperlink xmlns:r="http://schemas.openxmlformats.org/officeDocument/2006/relationships" ref="V98" r:id="rId282"/>
    <hyperlink xmlns:r="http://schemas.openxmlformats.org/officeDocument/2006/relationships" ref="W98" r:id="rId283"/>
    <hyperlink xmlns:r="http://schemas.openxmlformats.org/officeDocument/2006/relationships" ref="U99" r:id="rId284"/>
    <hyperlink xmlns:r="http://schemas.openxmlformats.org/officeDocument/2006/relationships" ref="V99" r:id="rId285"/>
    <hyperlink xmlns:r="http://schemas.openxmlformats.org/officeDocument/2006/relationships" ref="W99" r:id="rId286"/>
    <hyperlink xmlns:r="http://schemas.openxmlformats.org/officeDocument/2006/relationships" ref="U100" r:id="rId287"/>
    <hyperlink xmlns:r="http://schemas.openxmlformats.org/officeDocument/2006/relationships" ref="V100" r:id="rId288"/>
    <hyperlink xmlns:r="http://schemas.openxmlformats.org/officeDocument/2006/relationships" ref="W100" r:id="rId289"/>
    <hyperlink xmlns:r="http://schemas.openxmlformats.org/officeDocument/2006/relationships" ref="U101" r:id="rId290"/>
    <hyperlink xmlns:r="http://schemas.openxmlformats.org/officeDocument/2006/relationships" ref="V101" r:id="rId291"/>
    <hyperlink xmlns:r="http://schemas.openxmlformats.org/officeDocument/2006/relationships" ref="W101" r:id="rId292"/>
    <hyperlink xmlns:r="http://schemas.openxmlformats.org/officeDocument/2006/relationships" ref="U102" r:id="rId293"/>
    <hyperlink xmlns:r="http://schemas.openxmlformats.org/officeDocument/2006/relationships" ref="V102" r:id="rId294"/>
    <hyperlink xmlns:r="http://schemas.openxmlformats.org/officeDocument/2006/relationships" ref="W102" r:id="rId295"/>
  </hyperlinks>
  <pageMargins left="0.75" right="0.75" top="1" bottom="1" header="0.5" footer="0.5"/>
  <pageSetup orientation="landscape" paperSize="9" fitToHeight="0" fitToWidth="1"/>
  <tableParts count="1">
    <tablePart xmlns:r="http://schemas.openxmlformats.org/officeDocument/2006/relationships" r:id="rId296"/>
  </tableParts>
</worksheet>
</file>

<file path=xl/worksheets/sheet2.xml><?xml version="1.0" encoding="utf-8"?>
<worksheet xmlns="http://schemas.openxmlformats.org/spreadsheetml/2006/main">
  <sheetPr>
    <outlinePr summaryBelow="1" summaryRight="1"/>
    <pageSetUpPr fitToPage="1"/>
  </sheetPr>
  <dimension ref="A1:F35"/>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46324.30741898148</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+ 13 página(s) del feed</t>
        </is>
      </c>
    </row>
    <row r="7">
      <c r="A7" s="11" t="inlineStr">
        <is>
          <t>Entradas leídas</t>
        </is>
      </c>
      <c r="B7" s="14" t="n">
        <v>6221</v>
      </c>
    </row>
    <row r="8">
      <c r="A8" s="11" t="inlineStr">
        <is>
          <t>Periodo cubierto en esta lectura</t>
        </is>
      </c>
      <c r="B8" s="13" t="inlineStr">
        <is>
          <t>26/10/2026 – 28/10/2026</t>
        </is>
      </c>
    </row>
    <row r="9">
      <c r="A9" s="11" t="inlineStr">
        <is>
          <t>Licitaciones en la base</t>
        </is>
      </c>
      <c r="B9" s="14" t="n">
        <v>2408</v>
      </c>
    </row>
    <row r="10">
      <c r="A10" s="11" t="inlineStr">
        <is>
          <t>En plazo</t>
        </is>
      </c>
      <c r="B10" s="14">
        <f>COUNTA('En plazo'!$J$2:$J$102)</f>
        <v/>
      </c>
    </row>
    <row r="11">
      <c r="A11" s="11" t="inlineStr">
        <is>
          <t>Importe total en plazo</t>
        </is>
      </c>
      <c r="B11" s="15">
        <f>SUM('En plazo'!$D$2:$D$102)</f>
        <v/>
      </c>
    </row>
    <row r="12">
      <c r="A12" s="11" t="inlineStr">
        <is>
          <t>Nuevas desde la ejecución anterior</t>
        </is>
      </c>
      <c r="B12" s="14">
        <f>COUNTIF('En plazo'!$A$2:$A$102,"SÍ")</f>
        <v/>
      </c>
    </row>
    <row r="13">
      <c r="A13" s="11" t="inlineStr">
        <is>
          <t>Con cambios registrados</t>
        </is>
      </c>
      <c r="B13" s="14">
        <f>COUNTIF('En plazo'!$Y$2:$Y$102,"?*")</f>
        <v/>
      </c>
    </row>
    <row r="14">
      <c r="A14" s="11" t="inlineStr">
        <is>
          <t>Vencen en 7 días o menos</t>
        </is>
      </c>
      <c r="B14" s="14">
        <f>COUNTIFS('En plazo'!$C$2:$C$102,"&gt;=0",'En plazo'!$C$2:$C$102,"&lt;=7")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Almería</t>
        </is>
      </c>
      <c r="C18" s="18">
        <f>COUNTIFS('En plazo'!$F$2:$F$102,"Andalucía",'En plazo'!$G$2:$G$102,"Almería")</f>
        <v/>
      </c>
      <c r="D18" s="5">
        <f>SUMIFS('En plazo'!$D$2:$D$102,'En plazo'!$F$2:$F$102,"Andalucía",'En plazo'!$G$2:$G$102,"Almería")</f>
        <v/>
      </c>
      <c r="E18" s="18">
        <f>COUNTIFS('En plazo'!$F$2:$F$102,"Andalucía",'En plazo'!$G$2:$G$102,"Almería",'En plazo'!$A$2:$A$102,"SÍ")</f>
        <v/>
      </c>
      <c r="F18" s="18">
        <f>COUNTIFS('En plazo'!$F$2:$F$102,"Andalucía",'En plazo'!$G$2:$G$102,"Almería",'En plazo'!$C$2:$C$102,"&gt;=0",'En plazo'!$C$2:$C$102,"&lt;=7")</f>
        <v/>
      </c>
    </row>
    <row r="19">
      <c r="A19" s="2" t="inlineStr">
        <is>
          <t>Andalucía</t>
        </is>
      </c>
      <c r="B19" s="2" t="inlineStr">
        <is>
          <t>Cádiz</t>
        </is>
      </c>
      <c r="C19" s="18">
        <f>COUNTIFS('En plazo'!$F$2:$F$102,"Andalucía",'En plazo'!$G$2:$G$102,"Cádiz")</f>
        <v/>
      </c>
      <c r="D19" s="5">
        <f>SUMIFS('En plazo'!$D$2:$D$102,'En plazo'!$F$2:$F$102,"Andalucía",'En plazo'!$G$2:$G$102,"Cádiz")</f>
        <v/>
      </c>
      <c r="E19" s="18">
        <f>COUNTIFS('En plazo'!$F$2:$F$102,"Andalucía",'En plazo'!$G$2:$G$102,"Cádiz",'En plazo'!$A$2:$A$102,"SÍ")</f>
        <v/>
      </c>
      <c r="F19" s="18">
        <f>COUNTIFS('En plazo'!$F$2:$F$102,"Andalucía",'En plazo'!$G$2:$G$102,"Cádiz",'En plazo'!$C$2:$C$102,"&gt;=0",'En plazo'!$C$2:$C$102,"&lt;=7")</f>
        <v/>
      </c>
    </row>
    <row r="20">
      <c r="A20" s="2" t="inlineStr">
        <is>
          <t>Andalucía</t>
        </is>
      </c>
      <c r="B20" s="2" t="inlineStr">
        <is>
          <t>Córdoba</t>
        </is>
      </c>
      <c r="C20" s="18">
        <f>COUNTIFS('En plazo'!$F$2:$F$102,"Andalucía",'En plazo'!$G$2:$G$102,"Córdoba")</f>
        <v/>
      </c>
      <c r="D20" s="5">
        <f>SUMIFS('En plazo'!$D$2:$D$102,'En plazo'!$F$2:$F$102,"Andalucía",'En plazo'!$G$2:$G$102,"Córdoba")</f>
        <v/>
      </c>
      <c r="E20" s="18">
        <f>COUNTIFS('En plazo'!$F$2:$F$102,"Andalucía",'En plazo'!$G$2:$G$102,"Córdoba",'En plazo'!$A$2:$A$102,"SÍ")</f>
        <v/>
      </c>
      <c r="F20" s="18">
        <f>COUNTIFS('En plazo'!$F$2:$F$102,"Andalucía",'En plazo'!$G$2:$G$102,"Córdoba",'En plazo'!$C$2:$C$102,"&gt;=0",'En plazo'!$C$2:$C$102,"&lt;=7")</f>
        <v/>
      </c>
    </row>
    <row r="21">
      <c r="A21" s="2" t="inlineStr">
        <is>
          <t>Andalucía</t>
        </is>
      </c>
      <c r="B21" s="2" t="inlineStr">
        <is>
          <t>Granada</t>
        </is>
      </c>
      <c r="C21" s="18">
        <f>COUNTIFS('En plazo'!$F$2:$F$102,"Andalucía",'En plazo'!$G$2:$G$102,"Granada")</f>
        <v/>
      </c>
      <c r="D21" s="5">
        <f>SUMIFS('En plazo'!$D$2:$D$102,'En plazo'!$F$2:$F$102,"Andalucía",'En plazo'!$G$2:$G$102,"Granada")</f>
        <v/>
      </c>
      <c r="E21" s="18">
        <f>COUNTIFS('En plazo'!$F$2:$F$102,"Andalucía",'En plazo'!$G$2:$G$102,"Granada",'En plazo'!$A$2:$A$102,"SÍ")</f>
        <v/>
      </c>
      <c r="F21" s="18">
        <f>COUNTIFS('En plazo'!$F$2:$F$102,"Andalucía",'En plazo'!$G$2:$G$102,"Granada",'En plazo'!$C$2:$C$102,"&gt;=0",'En plazo'!$C$2:$C$102,"&lt;=7")</f>
        <v/>
      </c>
    </row>
    <row r="22">
      <c r="A22" s="2" t="inlineStr">
        <is>
          <t>Andalucía</t>
        </is>
      </c>
      <c r="B22" s="2" t="inlineStr">
        <is>
          <t>Huelva</t>
        </is>
      </c>
      <c r="C22" s="18">
        <f>COUNTIFS('En plazo'!$F$2:$F$102,"Andalucía",'En plazo'!$G$2:$G$102,"Huelva")</f>
        <v/>
      </c>
      <c r="D22" s="5">
        <f>SUMIFS('En plazo'!$D$2:$D$102,'En plazo'!$F$2:$F$102,"Andalucía",'En plazo'!$G$2:$G$102,"Huelva")</f>
        <v/>
      </c>
      <c r="E22" s="18">
        <f>COUNTIFS('En plazo'!$F$2:$F$102,"Andalucía",'En plazo'!$G$2:$G$102,"Huelva",'En plazo'!$A$2:$A$102,"SÍ")</f>
        <v/>
      </c>
      <c r="F22" s="18">
        <f>COUNTIFS('En plazo'!$F$2:$F$102,"Andalucía",'En plazo'!$G$2:$G$102,"Huelva",'En plazo'!$C$2:$C$102,"&gt;=0",'En plazo'!$C$2:$C$102,"&lt;=7")</f>
        <v/>
      </c>
    </row>
    <row r="23">
      <c r="A23" s="2" t="inlineStr">
        <is>
          <t>Andalucía</t>
        </is>
      </c>
      <c r="B23" s="2" t="inlineStr">
        <is>
          <t>Jaén</t>
        </is>
      </c>
      <c r="C23" s="18">
        <f>COUNTIFS('En plazo'!$F$2:$F$102,"Andalucía",'En plazo'!$G$2:$G$102,"Jaén")</f>
        <v/>
      </c>
      <c r="D23" s="5">
        <f>SUMIFS('En plazo'!$D$2:$D$102,'En plazo'!$F$2:$F$102,"Andalucía",'En plazo'!$G$2:$G$102,"Jaén")</f>
        <v/>
      </c>
      <c r="E23" s="18">
        <f>COUNTIFS('En plazo'!$F$2:$F$102,"Andalucía",'En plazo'!$G$2:$G$102,"Jaén",'En plazo'!$A$2:$A$102,"SÍ")</f>
        <v/>
      </c>
      <c r="F23" s="18">
        <f>COUNTIFS('En plazo'!$F$2:$F$102,"Andalucía",'En plazo'!$G$2:$G$102,"Jaén",'En plazo'!$C$2:$C$102,"&gt;=0",'En plazo'!$C$2:$C$102,"&lt;=7")</f>
        <v/>
      </c>
    </row>
    <row r="24">
      <c r="A24" s="2" t="inlineStr">
        <is>
          <t>Andalucía</t>
        </is>
      </c>
      <c r="B24" s="2" t="inlineStr">
        <is>
          <t>Málaga</t>
        </is>
      </c>
      <c r="C24" s="18">
        <f>COUNTIFS('En plazo'!$F$2:$F$102,"Andalucía",'En plazo'!$G$2:$G$102,"Málaga")</f>
        <v/>
      </c>
      <c r="D24" s="5">
        <f>SUMIFS('En plazo'!$D$2:$D$102,'En plazo'!$F$2:$F$102,"Andalucía",'En plazo'!$G$2:$G$102,"Málaga")</f>
        <v/>
      </c>
      <c r="E24" s="18">
        <f>COUNTIFS('En plazo'!$F$2:$F$102,"Andalucía",'En plazo'!$G$2:$G$102,"Málaga",'En plazo'!$A$2:$A$102,"SÍ")</f>
        <v/>
      </c>
      <c r="F24" s="18">
        <f>COUNTIFS('En plazo'!$F$2:$F$102,"Andalucía",'En plazo'!$G$2:$G$102,"Málaga",'En plazo'!$C$2:$C$102,"&gt;=0",'En plazo'!$C$2:$C$102,"&lt;=7")</f>
        <v/>
      </c>
    </row>
    <row r="25">
      <c r="A25" s="2" t="inlineStr">
        <is>
          <t>Andalucía</t>
        </is>
      </c>
      <c r="B25" s="2" t="inlineStr">
        <is>
          <t>Sevilla</t>
        </is>
      </c>
      <c r="C25" s="18">
        <f>COUNTIFS('En plazo'!$F$2:$F$102,"Andalucía",'En plazo'!$G$2:$G$102,"Sevilla")</f>
        <v/>
      </c>
      <c r="D25" s="5">
        <f>SUMIFS('En plazo'!$D$2:$D$102,'En plazo'!$F$2:$F$102,"Andalucía",'En plazo'!$G$2:$G$102,"Sevilla")</f>
        <v/>
      </c>
      <c r="E25" s="18">
        <f>COUNTIFS('En plazo'!$F$2:$F$102,"Andalucía",'En plazo'!$G$2:$G$102,"Sevilla",'En plazo'!$A$2:$A$102,"SÍ")</f>
        <v/>
      </c>
      <c r="F25" s="18">
        <f>COUNTIFS('En plazo'!$F$2:$F$102,"Andalucía",'En plazo'!$G$2:$G$102,"Sevilla",'En plazo'!$C$2:$C$102,"&gt;=0",'En plazo'!$C$2:$C$102,"&lt;=7")</f>
        <v/>
      </c>
    </row>
    <row r="26">
      <c r="A26" s="2" t="inlineStr">
        <is>
          <t>Comunitat Valenciana</t>
        </is>
      </c>
      <c r="B26" s="2" t="inlineStr">
        <is>
          <t>(sin provincia)</t>
        </is>
      </c>
      <c r="C26" s="18">
        <f>COUNTIFS('En plazo'!$F$2:$F$102,"Comunitat Valenciana",'En plazo'!$G$2:$G$102,"")</f>
        <v/>
      </c>
      <c r="D26" s="5">
        <f>SUMIFS('En plazo'!$D$2:$D$102,'En plazo'!$F$2:$F$102,"Comunitat Valenciana",'En plazo'!$G$2:$G$102,"")</f>
        <v/>
      </c>
      <c r="E26" s="18">
        <f>COUNTIFS('En plazo'!$F$2:$F$102,"Comunitat Valenciana",'En plazo'!$G$2:$G$102,"",'En plazo'!$A$2:$A$102,"SÍ")</f>
        <v/>
      </c>
      <c r="F26" s="18">
        <f>COUNTIFS('En plazo'!$F$2:$F$102,"Comunitat Valenciana",'En plazo'!$G$2:$G$102,"",'En plazo'!$C$2:$C$102,"&gt;=0",'En plazo'!$C$2:$C$102,"&lt;=7")</f>
        <v/>
      </c>
    </row>
    <row r="27">
      <c r="A27" s="2" t="inlineStr">
        <is>
          <t>Comunitat Valenciana</t>
        </is>
      </c>
      <c r="B27" s="2" t="inlineStr">
        <is>
          <t>Alicante</t>
        </is>
      </c>
      <c r="C27" s="18">
        <f>COUNTIFS('En plazo'!$F$2:$F$102,"Comunitat Valenciana",'En plazo'!$G$2:$G$102,"Alicante")</f>
        <v/>
      </c>
      <c r="D27" s="5">
        <f>SUMIFS('En plazo'!$D$2:$D$102,'En plazo'!$F$2:$F$102,"Comunitat Valenciana",'En plazo'!$G$2:$G$102,"Alicante")</f>
        <v/>
      </c>
      <c r="E27" s="18">
        <f>COUNTIFS('En plazo'!$F$2:$F$102,"Comunitat Valenciana",'En plazo'!$G$2:$G$102,"Alicante",'En plazo'!$A$2:$A$102,"SÍ")</f>
        <v/>
      </c>
      <c r="F27" s="18">
        <f>COUNTIFS('En plazo'!$F$2:$F$102,"Comunitat Valenciana",'En plazo'!$G$2:$G$102,"Alicante",'En plazo'!$C$2:$C$102,"&gt;=0",'En plazo'!$C$2:$C$102,"&lt;=7")</f>
        <v/>
      </c>
    </row>
    <row r="28">
      <c r="A28" s="2" t="inlineStr">
        <is>
          <t>Comunitat Valenciana</t>
        </is>
      </c>
      <c r="B28" s="2" t="inlineStr">
        <is>
          <t>Castellón</t>
        </is>
      </c>
      <c r="C28" s="18">
        <f>COUNTIFS('En plazo'!$F$2:$F$102,"Comunitat Valenciana",'En plazo'!$G$2:$G$102,"Castellón")</f>
        <v/>
      </c>
      <c r="D28" s="5">
        <f>SUMIFS('En plazo'!$D$2:$D$102,'En plazo'!$F$2:$F$102,"Comunitat Valenciana",'En plazo'!$G$2:$G$102,"Castellón")</f>
        <v/>
      </c>
      <c r="E28" s="18">
        <f>COUNTIFS('En plazo'!$F$2:$F$102,"Comunitat Valenciana",'En plazo'!$G$2:$G$102,"Castellón",'En plazo'!$A$2:$A$102,"SÍ")</f>
        <v/>
      </c>
      <c r="F28" s="18">
        <f>COUNTIFS('En plazo'!$F$2:$F$102,"Comunitat Valenciana",'En plazo'!$G$2:$G$102,"Castellón",'En plazo'!$C$2:$C$102,"&gt;=0",'En plazo'!$C$2:$C$102,"&lt;=7")</f>
        <v/>
      </c>
    </row>
    <row r="29">
      <c r="A29" s="2" t="inlineStr">
        <is>
          <t>Comunitat Valenciana</t>
        </is>
      </c>
      <c r="B29" s="2" t="inlineStr">
        <is>
          <t>Valencia</t>
        </is>
      </c>
      <c r="C29" s="18">
        <f>COUNTIFS('En plazo'!$F$2:$F$102,"Comunitat Valenciana",'En plazo'!$G$2:$G$102,"Valencia")</f>
        <v/>
      </c>
      <c r="D29" s="5">
        <f>SUMIFS('En plazo'!$D$2:$D$102,'En plazo'!$F$2:$F$102,"Comunitat Valenciana",'En plazo'!$G$2:$G$102,"Valencia")</f>
        <v/>
      </c>
      <c r="E29" s="18">
        <f>COUNTIFS('En plazo'!$F$2:$F$102,"Comunitat Valenciana",'En plazo'!$G$2:$G$102,"Valencia",'En plazo'!$A$2:$A$102,"SÍ")</f>
        <v/>
      </c>
      <c r="F29" s="18">
        <f>COUNTIFS('En plazo'!$F$2:$F$102,"Comunitat Valenciana",'En plazo'!$G$2:$G$102,"Valencia",'En plazo'!$C$2:$C$102,"&gt;=0",'En plazo'!$C$2:$C$102,"&lt;=7")</f>
        <v/>
      </c>
    </row>
    <row r="30">
      <c r="A30" s="11" t="inlineStr">
        <is>
          <t>Total</t>
        </is>
      </c>
      <c r="C30" s="19">
        <f>SUM(C18:C29)</f>
        <v/>
      </c>
      <c r="D30" s="20">
        <f>SUM(D18:D29)</f>
        <v/>
      </c>
      <c r="E30" s="19">
        <f>SUM(E18:E29)</f>
        <v/>
      </c>
      <c r="F30" s="19">
        <f>SUM(F18:F29)</f>
        <v/>
      </c>
    </row>
    <row r="32">
      <c r="A32" s="21" t="inlineStr">
        <is>
          <t>Fuente: Plataforma de Contratación del Sector Público (feed ATOM licitacionesPerfilesContratanteCompleto3) y ficheros mensuales de datos abiertos del Ministerio de Hacienda.</t>
        </is>
      </c>
    </row>
    <row r="33">
      <c r="A33" s="21" t="inlineStr">
        <is>
          <t>Los días restantes y los vencimientos se recalculan con la fecha del día al abrir el libro.</t>
        </is>
      </c>
    </row>
    <row r="34">
      <c r="A34" s="21" t="inlineStr">
        <is>
          <t>Plazo de ejecución en meses: los plazos en días se dividen entre 30 y los de años se multiplican por 12.</t>
        </is>
      </c>
    </row>
    <row r="35">
      <c r="A35"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20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Resuelta</t>
        </is>
      </c>
      <c r="B2" s="3" t="n">
        <v>46315.375</v>
      </c>
      <c r="C2" s="5" t="n">
        <v>213745.33</v>
      </c>
      <c r="D2" s="5" t="n">
        <v>213745.33</v>
      </c>
      <c r="E2" s="2" t="inlineStr">
        <is>
          <t>Andalucía</t>
        </is>
      </c>
      <c r="F2" s="2" t="inlineStr">
        <is>
          <t>Cádiz</t>
        </is>
      </c>
      <c r="G2" s="2" t="n"/>
      <c r="H2" s="2" t="inlineStr">
        <is>
          <t>Intendente de San Fernando</t>
        </is>
      </c>
      <c r="I2" s="2" t="inlineStr">
        <is>
          <t>INFRA26-050 CB Reparación en edificio de intervención BN de la Carraca. Lote 1</t>
        </is>
      </c>
      <c r="J2" s="2" t="inlineStr">
        <is>
          <t>2026/AR43U/00002632E</t>
        </is>
      </c>
      <c r="K2" s="2" t="inlineStr">
        <is>
          <t>Abierto</t>
        </is>
      </c>
      <c r="L2" s="6" t="n">
        <v>3.7</v>
      </c>
      <c r="M2" s="2" t="n"/>
      <c r="N2" s="7" t="n">
        <v>0</v>
      </c>
      <c r="O2" s="4" t="n"/>
      <c r="P2" s="2" t="inlineStr">
        <is>
          <t>45000000</t>
        </is>
      </c>
      <c r="Q2" s="8" t="inlineStr">
        <is>
          <t>Ver</t>
        </is>
      </c>
      <c r="R2" s="8" t="inlineStr">
        <is>
          <t>PCAP</t>
        </is>
      </c>
      <c r="S2" s="9" t="n">
        <v>46324</v>
      </c>
      <c r="T2" s="3" t="n">
        <v>46323.81995370371</v>
      </c>
      <c r="U2" s="2" t="n"/>
    </row>
    <row r="3">
      <c r="A3" s="2" t="inlineStr">
        <is>
          <t>Pendiente de adjudicación</t>
        </is>
      </c>
      <c r="B3" s="3" t="n">
        <v>46279.99930555555</v>
      </c>
      <c r="C3" s="5" t="n">
        <v>11333914.79</v>
      </c>
      <c r="D3" s="5" t="n">
        <v>11333914.79</v>
      </c>
      <c r="E3" s="2" t="inlineStr">
        <is>
          <t>Andalucía</t>
        </is>
      </c>
      <c r="F3" s="2" t="inlineStr">
        <is>
          <t>Almería</t>
        </is>
      </c>
      <c r="G3" s="2" t="inlineStr">
        <is>
          <t>Vera</t>
        </is>
      </c>
      <c r="H3" s="2" t="inlineStr">
        <is>
          <t>Consejería Delegada de Gestión de Aguas del Levante Almeriense, S.A. (GALASA)</t>
        </is>
      </c>
      <c r="I3" s="2" t="inlineStr">
        <is>
          <t>Obras de mejora de infraestructuras hidráulicas en el municipio de Huercal-Overa con financiación del contratista y pago aplazado</t>
        </is>
      </c>
      <c r="J3" s="2" t="inlineStr">
        <is>
          <t>DIR260603</t>
        </is>
      </c>
      <c r="K3" s="2" t="inlineStr">
        <is>
          <t>Abierto</t>
        </is>
      </c>
      <c r="L3" s="6" t="n">
        <v>30</v>
      </c>
      <c r="M3" s="2" t="inlineStr">
        <is>
          <t>E1-6</t>
        </is>
      </c>
      <c r="N3" s="7" t="n">
        <v>0.25</v>
      </c>
      <c r="O3" s="4" t="n"/>
      <c r="P3" s="2" t="inlineStr">
        <is>
          <t>45231300; 71300000; 71200000</t>
        </is>
      </c>
      <c r="Q3" s="8" t="inlineStr">
        <is>
          <t>Ver</t>
        </is>
      </c>
      <c r="R3" s="8" t="inlineStr">
        <is>
          <t>PCAP</t>
        </is>
      </c>
      <c r="S3" s="9" t="n">
        <v>46324</v>
      </c>
      <c r="T3" s="3" t="n">
        <v>46323.78041666667</v>
      </c>
      <c r="U3" s="2" t="n"/>
    </row>
    <row r="4">
      <c r="A4" s="2" t="inlineStr">
        <is>
          <t>En plazo</t>
        </is>
      </c>
      <c r="B4" s="3" t="n">
        <v>46338.99930555555</v>
      </c>
      <c r="C4" s="5" t="n">
        <v>54738.07</v>
      </c>
      <c r="D4" s="5" t="n">
        <v>54738.07</v>
      </c>
      <c r="E4" s="2" t="inlineStr">
        <is>
          <t>Andalucía</t>
        </is>
      </c>
      <c r="F4" s="2" t="inlineStr">
        <is>
          <t>Sevilla</t>
        </is>
      </c>
      <c r="G4" s="2" t="n"/>
      <c r="H4" s="2" t="inlineStr">
        <is>
          <t>Alcaldía del Ayuntamiento de Utrera</t>
        </is>
      </c>
      <c r="I4" s="2" t="inlineStr">
        <is>
          <t>Ejecución de las obras de construcción de módulo compuesto por 85 nichos en el Patio de San Vicente. Cementerio Municipal de Utrera (Sevilla).</t>
        </is>
      </c>
      <c r="J4" s="2" t="inlineStr">
        <is>
          <t>OB49/2026</t>
        </is>
      </c>
      <c r="K4" s="2" t="inlineStr">
        <is>
          <t>Abierto simplificado</t>
        </is>
      </c>
      <c r="L4" s="6" t="n">
        <v>2</v>
      </c>
      <c r="M4" s="2" t="n"/>
      <c r="N4" s="7" t="n">
        <v>0</v>
      </c>
      <c r="O4" s="4" t="n"/>
      <c r="P4" s="2" t="inlineStr">
        <is>
          <t>45210000; 45454100; 45223500; 45223200</t>
        </is>
      </c>
      <c r="Q4" s="8" t="inlineStr">
        <is>
          <t>Ver</t>
        </is>
      </c>
      <c r="R4" s="8" t="inlineStr">
        <is>
          <t>PCAP</t>
        </is>
      </c>
      <c r="S4" s="9" t="n">
        <v>46324</v>
      </c>
      <c r="T4" s="3" t="n">
        <v>46323.7461574074</v>
      </c>
      <c r="U4" s="2" t="n"/>
    </row>
    <row r="5">
      <c r="A5" s="2" t="inlineStr">
        <is>
          <t>Adjudicada</t>
        </is>
      </c>
      <c r="B5" s="3" t="n">
        <v>46174.99930555555</v>
      </c>
      <c r="C5" s="5" t="n">
        <v>162659.88</v>
      </c>
      <c r="D5" s="5" t="n">
        <v>162659.88</v>
      </c>
      <c r="E5" s="2" t="inlineStr">
        <is>
          <t>Andalucía</t>
        </is>
      </c>
      <c r="F5" s="2" t="inlineStr">
        <is>
          <t>Málaga</t>
        </is>
      </c>
      <c r="G5" s="2" t="inlineStr">
        <is>
          <t>Torrox</t>
        </is>
      </c>
      <c r="H5" s="2" t="inlineStr">
        <is>
          <t>Alcaldia del Ayuntamiento de Torrox</t>
        </is>
      </c>
      <c r="I5" s="2" t="inlineStr">
        <is>
          <t>Reparación de canalizaciones, conductos y equipos de climatización y cambio de bomba de calor en edificio de usos multiples en Torrox-Costa</t>
        </is>
      </c>
      <c r="J5" s="2" t="inlineStr">
        <is>
          <t>1775/2026</t>
        </is>
      </c>
      <c r="K5" s="2" t="inlineStr">
        <is>
          <t>Abierto simplificado</t>
        </is>
      </c>
      <c r="L5" s="6" t="n">
        <v>3</v>
      </c>
      <c r="M5" s="2" t="n"/>
      <c r="N5" s="7" t="n">
        <v>0.667</v>
      </c>
      <c r="O5" s="4" t="n"/>
      <c r="P5" s="2" t="inlineStr">
        <is>
          <t>45331220; 42512300; 42512000</t>
        </is>
      </c>
      <c r="Q5" s="8" t="inlineStr">
        <is>
          <t>Ver</t>
        </is>
      </c>
      <c r="R5" s="8" t="inlineStr">
        <is>
          <t>PCAP</t>
        </is>
      </c>
      <c r="S5" s="9" t="n">
        <v>46310</v>
      </c>
      <c r="T5" s="3" t="n">
        <v>46323.71269675926</v>
      </c>
      <c r="U5" s="2" t="inlineStr">
        <is>
          <t>2026-10-29: estado EV → ADJ</t>
        </is>
      </c>
    </row>
    <row r="6">
      <c r="A6" s="2" t="inlineStr">
        <is>
          <t>Resuelta</t>
        </is>
      </c>
      <c r="B6" s="3" t="n"/>
      <c r="C6" s="5" t="n">
        <v>7764.26</v>
      </c>
      <c r="D6" s="5" t="n">
        <v>7764.26</v>
      </c>
      <c r="E6" s="2" t="inlineStr">
        <is>
          <t>Comunitat Valenciana</t>
        </is>
      </c>
      <c r="F6" s="2" t="inlineStr">
        <is>
          <t>Alicante</t>
        </is>
      </c>
      <c r="G6" s="2" t="n"/>
      <c r="H6" s="2" t="inlineStr">
        <is>
          <t>Gerencia de Promociones e Iniciativas Municipales de Elche, S.A. (PIMESA)</t>
        </is>
      </c>
      <c r="I6" s="2" t="inlineStr">
        <is>
          <t>Desplazamiento canalización red subterráneo gas natural del Entorno Residencial de Rehabilitación Programada (ERRP) del Barrio Porfirio Pascual de Elche.</t>
        </is>
      </c>
      <c r="J6" s="2" t="inlineStr">
        <is>
          <t>2026/NSP/027</t>
        </is>
      </c>
      <c r="K6" s="2" t="inlineStr">
        <is>
          <t>Negociado sin publicidad</t>
        </is>
      </c>
      <c r="L6" s="6" t="n">
        <v>1</v>
      </c>
      <c r="M6" s="2" t="n"/>
      <c r="N6" s="7" t="n"/>
      <c r="O6" s="4" t="n"/>
      <c r="P6" s="2" t="inlineStr">
        <is>
          <t>45231100; 45220000</t>
        </is>
      </c>
      <c r="Q6" s="8" t="inlineStr">
        <is>
          <t>Ver</t>
        </is>
      </c>
      <c r="R6" s="2" t="n"/>
      <c r="S6" s="9" t="n">
        <v>46324</v>
      </c>
      <c r="T6" s="3" t="n">
        <v>46323.65774305556</v>
      </c>
      <c r="U6" s="2" t="n"/>
    </row>
    <row r="7">
      <c r="A7" s="2" t="inlineStr">
        <is>
          <t>En plazo</t>
        </is>
      </c>
      <c r="B7" s="3" t="n">
        <v>46342.99930555555</v>
      </c>
      <c r="C7" s="5" t="n">
        <v>2470744.98</v>
      </c>
      <c r="D7" s="5" t="n">
        <v>2470744.98</v>
      </c>
      <c r="E7" s="2" t="inlineStr">
        <is>
          <t>Comunitat Valenciana</t>
        </is>
      </c>
      <c r="F7" s="2" t="inlineStr">
        <is>
          <t>Valencia</t>
        </is>
      </c>
      <c r="G7" s="2" t="n"/>
      <c r="H7" s="2" t="inlineStr">
        <is>
          <t>Pleno del Ayuntamiento de Puçol</t>
        </is>
      </c>
      <c r="I7" s="2" t="inlineStr">
        <is>
          <t>Reforma del Colegio Jaume I de Puçol y construcción de un gimnasio y un aulario para educación infantil (EDIFICANT)</t>
        </is>
      </c>
      <c r="J7" s="2" t="inlineStr">
        <is>
          <t>2138082J</t>
        </is>
      </c>
      <c r="K7" s="2" t="inlineStr">
        <is>
          <t>Abierto</t>
        </is>
      </c>
      <c r="L7" s="6" t="n">
        <v>12</v>
      </c>
      <c r="M7" s="2" t="inlineStr">
        <is>
          <t>C9-4</t>
        </is>
      </c>
      <c r="N7" s="7" t="n">
        <v>0.26</v>
      </c>
      <c r="O7" s="4" t="n"/>
      <c r="P7" s="2" t="inlineStr">
        <is>
          <t>45200000; 45214200</t>
        </is>
      </c>
      <c r="Q7" s="8" t="inlineStr">
        <is>
          <t>Ver</t>
        </is>
      </c>
      <c r="R7" s="8" t="inlineStr">
        <is>
          <t>PCAP</t>
        </is>
      </c>
      <c r="S7" s="9" t="n">
        <v>46314</v>
      </c>
      <c r="T7" s="3" t="n">
        <v>46323.63788194444</v>
      </c>
      <c r="U7" s="2" t="n"/>
    </row>
    <row r="8">
      <c r="A8" s="2" t="inlineStr">
        <is>
          <t>En plazo</t>
        </is>
      </c>
      <c r="B8" s="3" t="n">
        <v>46330.99930555555</v>
      </c>
      <c r="C8" s="5" t="n">
        <v>251820.29</v>
      </c>
      <c r="D8" s="5" t="n">
        <v>251820.29</v>
      </c>
      <c r="E8" s="2" t="inlineStr">
        <is>
          <t>Comunitat Valenciana</t>
        </is>
      </c>
      <c r="F8" s="2" t="inlineStr">
        <is>
          <t>Alicante</t>
        </is>
      </c>
      <c r="G8" s="2" t="n"/>
      <c r="H8" s="2" t="inlineStr">
        <is>
          <t>Consejo de Administración de Promociones e Iniciativas Municipales de Elche, S.A. (PIMESA)</t>
        </is>
      </c>
      <c r="I8" s="2" t="inlineStr">
        <is>
          <t>Obra Civil de la Red Subterránea de Baja Tensión - SEPARATA del Proyecto de Reurbanización del Entorno Residencial de Rehabilitación Programada (ERRP) Barrio Porfirio Pascual de Elche.</t>
        </is>
      </c>
      <c r="J8" s="2" t="inlineStr">
        <is>
          <t>2026/AS/025</t>
        </is>
      </c>
      <c r="K8" s="2" t="inlineStr">
        <is>
          <t>Abierto simplificado</t>
        </is>
      </c>
      <c r="L8" s="6" t="n">
        <v>3</v>
      </c>
      <c r="M8" s="2" t="n"/>
      <c r="N8" s="7" t="n">
        <v>0</v>
      </c>
      <c r="O8" s="4" t="n"/>
      <c r="P8" s="2" t="inlineStr">
        <is>
          <t>45220000</t>
        </is>
      </c>
      <c r="Q8" s="8" t="inlineStr">
        <is>
          <t>Ver</t>
        </is>
      </c>
      <c r="R8" s="8" t="inlineStr">
        <is>
          <t>PCAP</t>
        </is>
      </c>
      <c r="S8" s="9" t="n">
        <v>46317</v>
      </c>
      <c r="T8" s="3" t="n">
        <v>46323.63560185185</v>
      </c>
      <c r="U8" s="2" t="n"/>
    </row>
    <row r="9">
      <c r="A9" s="2" t="inlineStr">
        <is>
          <t>Pendiente de adjudicación</t>
        </is>
      </c>
      <c r="B9" s="3" t="n">
        <v>46232.99930555555</v>
      </c>
      <c r="C9" s="5" t="n">
        <v>234308.78</v>
      </c>
      <c r="D9" s="5" t="n">
        <v>234308.78</v>
      </c>
      <c r="E9" s="2" t="inlineStr">
        <is>
          <t>Andalucía</t>
        </is>
      </c>
      <c r="F9" s="2" t="inlineStr">
        <is>
          <t>Málaga</t>
        </is>
      </c>
      <c r="G9" s="2" t="n"/>
      <c r="H9" s="2" t="inlineStr">
        <is>
          <t>Junta de Gobierno del Ayuntamiento de Marbella</t>
        </is>
      </c>
      <c r="I9" s="2" t="inlineStr">
        <is>
          <t>Contratación de la obra denominada: Reforma de Local de Participación Ciudadana en la Patera, T.M. Marbella (Málaga)</t>
        </is>
      </c>
      <c r="J9" s="2" t="inlineStr">
        <is>
          <t>D OB 81/26</t>
        </is>
      </c>
      <c r="K9" s="2" t="inlineStr">
        <is>
          <t>Abierto</t>
        </is>
      </c>
      <c r="L9" s="6" t="n">
        <v>4</v>
      </c>
      <c r="M9" s="2" t="n"/>
      <c r="N9" s="7" t="n">
        <v>0.45</v>
      </c>
      <c r="O9" s="4" t="n"/>
      <c r="P9" s="2" t="inlineStr">
        <is>
          <t>45400000</t>
        </is>
      </c>
      <c r="Q9" s="8" t="inlineStr">
        <is>
          <t>Ver</t>
        </is>
      </c>
      <c r="R9" s="8" t="inlineStr">
        <is>
          <t>PCAP</t>
        </is>
      </c>
      <c r="S9" s="9" t="n">
        <v>46310</v>
      </c>
      <c r="T9" s="3" t="n">
        <v>46323.63340277778</v>
      </c>
      <c r="U9" s="2" t="n"/>
    </row>
    <row r="10">
      <c r="A10" s="2" t="inlineStr">
        <is>
          <t>Pendiente de adjudicación</t>
        </is>
      </c>
      <c r="B10" s="3" t="n">
        <v>46323.99930555555</v>
      </c>
      <c r="C10" s="5" t="n">
        <v>30696.58</v>
      </c>
      <c r="D10" s="5" t="n">
        <v>30696.58</v>
      </c>
      <c r="E10" s="2" t="inlineStr">
        <is>
          <t>Andalucía</t>
        </is>
      </c>
      <c r="F10" s="2" t="inlineStr">
        <is>
          <t>Granada</t>
        </is>
      </c>
      <c r="G10" s="2" t="inlineStr">
        <is>
          <t>Vegas del Genil</t>
        </is>
      </c>
      <c r="H10" s="2" t="inlineStr">
        <is>
          <t>Alcaldía del Ayuntamiento de Vegas del Genil</t>
        </is>
      </c>
      <c r="I10" s="2" t="inlineStr">
        <is>
          <t>Remodelación del parque Atenea (Ambroz)</t>
        </is>
      </c>
      <c r="J10" s="2" t="inlineStr">
        <is>
          <t>3844/2026</t>
        </is>
      </c>
      <c r="K10" s="2" t="inlineStr">
        <is>
          <t>Negociado sin publicidad</t>
        </is>
      </c>
      <c r="L10" s="6" t="n">
        <v>4</v>
      </c>
      <c r="M10" s="2" t="n"/>
      <c r="N10" s="7" t="n">
        <v>0</v>
      </c>
      <c r="O10" s="4" t="n"/>
      <c r="P10" s="2" t="inlineStr">
        <is>
          <t>45112711; 45000000</t>
        </is>
      </c>
      <c r="Q10" s="8" t="inlineStr">
        <is>
          <t>Ver</t>
        </is>
      </c>
      <c r="R10" s="8" t="inlineStr">
        <is>
          <t>PCAP</t>
        </is>
      </c>
      <c r="S10" s="9" t="n">
        <v>46310</v>
      </c>
      <c r="T10" s="3" t="n">
        <v>46323.63003472222</v>
      </c>
      <c r="U10" s="2" t="inlineStr">
        <is>
          <t>2026-10-29: plazo 2026-10-26 23:59 → 2026-10-28 23:59</t>
        </is>
      </c>
    </row>
    <row r="11">
      <c r="A11" s="2" t="inlineStr">
        <is>
          <t>En plazo</t>
        </is>
      </c>
      <c r="B11" s="3" t="n">
        <v>46324.99930555555</v>
      </c>
      <c r="C11" s="5" t="n">
        <v>667189.24</v>
      </c>
      <c r="D11" s="5" t="n">
        <v>667189.24</v>
      </c>
      <c r="E11" s="2" t="inlineStr">
        <is>
          <t>Andalucía</t>
        </is>
      </c>
      <c r="F11" s="2" t="inlineStr">
        <is>
          <t>Huelva</t>
        </is>
      </c>
      <c r="G11" s="2" t="inlineStr">
        <is>
          <t>ISLA CRISTINA</t>
        </is>
      </c>
      <c r="H11" s="2" t="inlineStr">
        <is>
          <t>Alcaldía del Ayuntamiento de Isla Cristina</t>
        </is>
      </c>
      <c r="I11" s="2" t="inlineStr">
        <is>
          <t>Obras Proyecto de renovación y mejora de la eficiencia energética de las instalaciones de alumbrado público exterior del municipio de Isla Cristina.</t>
        </is>
      </c>
      <c r="J11" s="2" t="inlineStr">
        <is>
          <t>5773/2026</t>
        </is>
      </c>
      <c r="K11" s="2" t="inlineStr">
        <is>
          <t>Abierto simplificado</t>
        </is>
      </c>
      <c r="L11" s="6" t="n">
        <v>6.1</v>
      </c>
      <c r="M11" s="2" t="inlineStr">
        <is>
          <t>I1-3</t>
        </is>
      </c>
      <c r="N11" s="7" t="n">
        <v>0.25</v>
      </c>
      <c r="O11" s="4" t="n"/>
      <c r="P11" s="2" t="inlineStr">
        <is>
          <t>45316100; 45315600</t>
        </is>
      </c>
      <c r="Q11" s="8" t="inlineStr">
        <is>
          <t>Ver</t>
        </is>
      </c>
      <c r="R11" s="8" t="inlineStr">
        <is>
          <t>PCAP</t>
        </is>
      </c>
      <c r="S11" s="9" t="n">
        <v>46310</v>
      </c>
      <c r="T11" s="3" t="n">
        <v>46323.62481481482</v>
      </c>
      <c r="U11" s="2" t="n"/>
    </row>
    <row r="12">
      <c r="A12" s="2" t="inlineStr">
        <is>
          <t>En plazo</t>
        </is>
      </c>
      <c r="B12" s="3" t="n">
        <v>46349.99930555555</v>
      </c>
      <c r="C12" s="5" t="n">
        <v>302806.75</v>
      </c>
      <c r="D12" s="5" t="n">
        <v>279905.4</v>
      </c>
      <c r="E12" s="2" t="inlineStr">
        <is>
          <t>Comunitat Valenciana</t>
        </is>
      </c>
      <c r="F12" s="2" t="inlineStr">
        <is>
          <t>Valencia</t>
        </is>
      </c>
      <c r="G12" s="2" t="n"/>
      <c r="H12" s="2" t="inlineStr">
        <is>
          <t>Departamento de Salud de Manises. Dirección Económica-Gerencia</t>
        </is>
      </c>
      <c r="I12" s="2" t="inlineStr">
        <is>
          <t>Ejecución de las obras de reparación de la impermeabilización de las cubiertas del Hospital de Manises, mediante procedimiento abierto y tramitación anticipada.</t>
        </is>
      </c>
      <c r="J12" s="2" t="inlineStr">
        <is>
          <t>1599/2026</t>
        </is>
      </c>
      <c r="K12" s="2" t="inlineStr">
        <is>
          <t>Abierto</t>
        </is>
      </c>
      <c r="L12" s="6" t="n">
        <v>4</v>
      </c>
      <c r="M12" s="2" t="n"/>
      <c r="N12" s="7" t="n">
        <v>0.778</v>
      </c>
      <c r="O12" s="4" t="n"/>
      <c r="P12" s="2" t="inlineStr">
        <is>
          <t>45261420; 45200000; 45215100</t>
        </is>
      </c>
      <c r="Q12" s="8" t="inlineStr">
        <is>
          <t>Ver</t>
        </is>
      </c>
      <c r="R12" s="8" t="inlineStr">
        <is>
          <t>PCAP</t>
        </is>
      </c>
      <c r="S12" s="9" t="n">
        <v>46324</v>
      </c>
      <c r="T12" s="3" t="n">
        <v>46323.62346064814</v>
      </c>
      <c r="U12" s="2" t="n"/>
    </row>
    <row r="13">
      <c r="A13" s="2" t="inlineStr">
        <is>
          <t>Pendiente de adjudicación</t>
        </is>
      </c>
      <c r="B13" s="3" t="n">
        <v>46232.99930555555</v>
      </c>
      <c r="C13" s="5" t="n">
        <v>249569.13</v>
      </c>
      <c r="D13" s="5" t="n">
        <v>249569.13</v>
      </c>
      <c r="E13" s="2" t="inlineStr">
        <is>
          <t>Andalucía</t>
        </is>
      </c>
      <c r="F13" s="2" t="inlineStr">
        <is>
          <t>Málaga</t>
        </is>
      </c>
      <c r="G13" s="2" t="n"/>
      <c r="H13" s="2" t="inlineStr">
        <is>
          <t>Junta de Gobierno del Ayuntamiento de Marbella</t>
        </is>
      </c>
      <c r="I13" s="2" t="inlineStr">
        <is>
          <t>Contratación de las Obras Acondicionamiento del Local Municipal ubicado en calle Juanar, La Patera. T.M. Marbella (Málaga)</t>
        </is>
      </c>
      <c r="J13" s="2" t="inlineStr">
        <is>
          <t>D OB 80/26</t>
        </is>
      </c>
      <c r="K13" s="2" t="inlineStr">
        <is>
          <t>Abierto</t>
        </is>
      </c>
      <c r="L13" s="6" t="n">
        <v>4</v>
      </c>
      <c r="M13" s="2" t="n"/>
      <c r="N13" s="7" t="n">
        <v>0.45</v>
      </c>
      <c r="O13" s="4" t="n"/>
      <c r="P13" s="2" t="inlineStr">
        <is>
          <t>45000000; 45400000</t>
        </is>
      </c>
      <c r="Q13" s="8" t="inlineStr">
        <is>
          <t>Ver</t>
        </is>
      </c>
      <c r="R13" s="8" t="inlineStr">
        <is>
          <t>PCAP</t>
        </is>
      </c>
      <c r="S13" s="9" t="n">
        <v>46310</v>
      </c>
      <c r="T13" s="3" t="n">
        <v>46323.61958333333</v>
      </c>
      <c r="U13" s="2" t="n"/>
    </row>
    <row r="14">
      <c r="A14" s="2" t="inlineStr">
        <is>
          <t>Pendiente de adjudicación</t>
        </is>
      </c>
      <c r="B14" s="3" t="n">
        <v>46286.99930555555</v>
      </c>
      <c r="C14" s="5" t="n">
        <v>85123.78999999999</v>
      </c>
      <c r="D14" s="5" t="n">
        <v>85123.78999999999</v>
      </c>
      <c r="E14" s="2" t="inlineStr">
        <is>
          <t>Andalucía</t>
        </is>
      </c>
      <c r="F14" s="2" t="inlineStr">
        <is>
          <t>Málaga</t>
        </is>
      </c>
      <c r="G14" s="2" t="n"/>
      <c r="H14" s="2" t="inlineStr">
        <is>
          <t>Junta de Gobierno del Ayuntamiento de Marbella</t>
        </is>
      </c>
      <c r="I14" s="2" t="inlineStr">
        <is>
          <t>Contratación de la Obra denominada: Adecuación de Acerado Calle María Zambrano tramo desde Centro Comercial Forum hasta la Residencia Orpea. T.M. Marbella (Málaga)</t>
        </is>
      </c>
      <c r="J14" s="2" t="inlineStr">
        <is>
          <t>OB 318/26</t>
        </is>
      </c>
      <c r="K14" s="2" t="inlineStr">
        <is>
          <t>Abierto</t>
        </is>
      </c>
      <c r="L14" s="6" t="n">
        <v>3</v>
      </c>
      <c r="M14" s="2" t="n"/>
      <c r="N14" s="7" t="n">
        <v>0</v>
      </c>
      <c r="O14" s="4" t="n"/>
      <c r="P14" s="2" t="inlineStr">
        <is>
          <t>45233252</t>
        </is>
      </c>
      <c r="Q14" s="8" t="inlineStr">
        <is>
          <t>Ver</t>
        </is>
      </c>
      <c r="R14" s="8" t="inlineStr">
        <is>
          <t>PCAP</t>
        </is>
      </c>
      <c r="S14" s="9" t="n">
        <v>46318</v>
      </c>
      <c r="T14" s="3" t="n">
        <v>46323.61271990741</v>
      </c>
      <c r="U14" s="2" t="n"/>
    </row>
    <row r="15">
      <c r="A15" s="2" t="inlineStr">
        <is>
          <t>Pendiente de adjudicación</t>
        </is>
      </c>
      <c r="B15" s="3" t="n">
        <v>46260.99930555555</v>
      </c>
      <c r="C15" s="5" t="n">
        <v>330578.51</v>
      </c>
      <c r="D15" s="5" t="n">
        <v>330578.51</v>
      </c>
      <c r="E15" s="2" t="inlineStr">
        <is>
          <t>Andalucía</t>
        </is>
      </c>
      <c r="F15" s="2" t="inlineStr">
        <is>
          <t>Cádiz</t>
        </is>
      </c>
      <c r="G15" s="2" t="n"/>
      <c r="H15" s="2" t="inlineStr">
        <is>
          <t>Alcaldía del Ayuntamiento de Algeciras</t>
        </is>
      </c>
      <c r="I15" s="2" t="inlineStr">
        <is>
          <t>(OAS) TREN DE BORRASCAS. Proyecto de reparaciones y refuerzos en pavimentos de zonas afectadas por raíces en Algeciras</t>
        </is>
      </c>
      <c r="J15" s="2" t="inlineStr">
        <is>
          <t>28216/2026</t>
        </is>
      </c>
      <c r="K15" s="2" t="inlineStr">
        <is>
          <t>Abierto simplificado</t>
        </is>
      </c>
      <c r="L15" s="6" t="n">
        <v>4</v>
      </c>
      <c r="M15" s="2" t="n"/>
      <c r="N15" s="7" t="n">
        <v>0</v>
      </c>
      <c r="O15" s="4" t="n">
        <v>2</v>
      </c>
      <c r="P15" s="2" t="inlineStr">
        <is>
          <t>45233140; 71317210</t>
        </is>
      </c>
      <c r="Q15" s="8" t="inlineStr">
        <is>
          <t>Ver</t>
        </is>
      </c>
      <c r="R15" s="8" t="inlineStr">
        <is>
          <t>PCAP</t>
        </is>
      </c>
      <c r="S15" s="9" t="n">
        <v>46324</v>
      </c>
      <c r="T15" s="3" t="n">
        <v>46323.61244212963</v>
      </c>
      <c r="U15" s="2" t="n"/>
    </row>
    <row r="16">
      <c r="A16" s="2" t="inlineStr">
        <is>
          <t>Pendiente de adjudicación</t>
        </is>
      </c>
      <c r="B16" s="3" t="n">
        <v>46281.99930555555</v>
      </c>
      <c r="C16" s="5" t="n">
        <v>741421.08</v>
      </c>
      <c r="D16" s="5" t="n">
        <v>741421.08</v>
      </c>
      <c r="E16" s="2" t="inlineStr">
        <is>
          <t>Andalucía</t>
        </is>
      </c>
      <c r="F16" s="2" t="inlineStr">
        <is>
          <t>Jaén</t>
        </is>
      </c>
      <c r="G16" s="2" t="inlineStr">
        <is>
          <t>Jaén</t>
        </is>
      </c>
      <c r="H16" s="2" t="inlineStr">
        <is>
          <t>Presidencia de la Diputación Provincial de Jaén</t>
        </is>
      </c>
      <c r="I16" s="2" t="inlineStr">
        <is>
          <t>Contrato de obra JA-9102 Chiclana de Segura a Castellar, mejora de firme</t>
        </is>
      </c>
      <c r="J16" s="2" t="inlineStr">
        <is>
          <t>CO-2026/000605</t>
        </is>
      </c>
      <c r="K16" s="2" t="inlineStr">
        <is>
          <t>Abierto</t>
        </is>
      </c>
      <c r="L16" s="6" t="n">
        <v>4</v>
      </c>
      <c r="M16" s="2" t="inlineStr">
        <is>
          <t>G4-3</t>
        </is>
      </c>
      <c r="N16" s="7" t="n">
        <v>0.4</v>
      </c>
      <c r="O16" s="4" t="n"/>
      <c r="P16" s="2" t="inlineStr">
        <is>
          <t>45233142</t>
        </is>
      </c>
      <c r="Q16" s="8" t="inlineStr">
        <is>
          <t>Ver</t>
        </is>
      </c>
      <c r="R16" s="8" t="inlineStr">
        <is>
          <t>PCAP</t>
        </is>
      </c>
      <c r="S16" s="9" t="n">
        <v>46317</v>
      </c>
      <c r="T16" s="3" t="n">
        <v>46323.61188657407</v>
      </c>
      <c r="U16" s="2" t="n"/>
    </row>
    <row r="17">
      <c r="A17" s="2" t="inlineStr">
        <is>
          <t>Pendiente de adjudicación</t>
        </is>
      </c>
      <c r="B17" s="3" t="n">
        <v>46308.99930555555</v>
      </c>
      <c r="C17" s="5" t="n">
        <v>374093.68</v>
      </c>
      <c r="D17" s="5" t="n">
        <v>374093.68</v>
      </c>
      <c r="E17" s="2" t="inlineStr">
        <is>
          <t>Andalucía</t>
        </is>
      </c>
      <c r="F17" s="2" t="inlineStr">
        <is>
          <t>Cádiz</t>
        </is>
      </c>
      <c r="G17" s="2" t="inlineStr">
        <is>
          <t>Algeciras</t>
        </is>
      </c>
      <c r="H17" s="2" t="inlineStr">
        <is>
          <t>Alcaldía del Ayuntamiento de Algeciras</t>
        </is>
      </c>
      <c r="I17" s="2" t="inlineStr">
        <is>
          <t>Reconstrucción y acondicionamiento del muro y cerramiento del parque infantil MARIA CRISTINA tras los daños sufridos por el tren de borrascas</t>
        </is>
      </c>
      <c r="J17" s="2" t="inlineStr">
        <is>
          <t>35227/2026</t>
        </is>
      </c>
      <c r="K17" s="2" t="inlineStr">
        <is>
          <t>Abierto simplificado</t>
        </is>
      </c>
      <c r="L17" s="6" t="n">
        <v>5</v>
      </c>
      <c r="M17" s="2" t="n"/>
      <c r="N17" s="7" t="n">
        <v>0</v>
      </c>
      <c r="O17" s="4" t="n">
        <v>2</v>
      </c>
      <c r="P17" s="2" t="inlineStr">
        <is>
          <t>45342000; 71317210</t>
        </is>
      </c>
      <c r="Q17" s="8" t="inlineStr">
        <is>
          <t>Ver</t>
        </is>
      </c>
      <c r="R17" s="8" t="inlineStr">
        <is>
          <t>PCAP</t>
        </is>
      </c>
      <c r="S17" s="9" t="n">
        <v>46324</v>
      </c>
      <c r="T17" s="3" t="n">
        <v>46323.60989583333</v>
      </c>
      <c r="U17" s="2" t="n"/>
    </row>
    <row r="18">
      <c r="A18" s="2" t="inlineStr">
        <is>
          <t>Resuelta</t>
        </is>
      </c>
      <c r="B18" s="3" t="n">
        <v>46322.99930555555</v>
      </c>
      <c r="C18" s="5" t="n">
        <v>0</v>
      </c>
      <c r="D18" s="5" t="n">
        <v>35298</v>
      </c>
      <c r="E18" s="2" t="inlineStr">
        <is>
          <t>Comunitat Valenciana</t>
        </is>
      </c>
      <c r="F18" s="2" t="inlineStr">
        <is>
          <t>Valencia</t>
        </is>
      </c>
      <c r="G18" s="2" t="inlineStr">
        <is>
          <t>PUERTO DE SAGUNTO</t>
        </is>
      </c>
      <c r="H18" s="2" t="inlineStr">
        <is>
          <t>Dirección General Societat Anonima de Gestió Sagunt Mitja Propi Municipal S.A.</t>
        </is>
      </c>
      <c r="I18" s="2" t="inlineStr">
        <is>
          <t>Ejecucion de trabajos de renovación de la señalización horizontal con pintura acrílica blanca y amarilla, en calles del término municipal de Sagunto.</t>
        </is>
      </c>
      <c r="J18" s="2" t="inlineStr">
        <is>
          <t>BASADO02 AMSAG2026-01</t>
        </is>
      </c>
      <c r="K18" s="2" t="inlineStr">
        <is>
          <t>Abierto</t>
        </is>
      </c>
      <c r="L18" s="6" t="n">
        <v>1.2</v>
      </c>
      <c r="M18" s="2" t="n"/>
      <c r="N18" s="7" t="n">
        <v>0</v>
      </c>
      <c r="O18" s="4" t="n"/>
      <c r="P18" s="2" t="inlineStr">
        <is>
          <t>45000000; 45233221</t>
        </is>
      </c>
      <c r="Q18" s="8" t="inlineStr">
        <is>
          <t>Ver</t>
        </is>
      </c>
      <c r="R18" s="8" t="inlineStr">
        <is>
          <t>PCAP</t>
        </is>
      </c>
      <c r="S18" s="9" t="n">
        <v>46317</v>
      </c>
      <c r="T18" s="3" t="n">
        <v>46323.60951388889</v>
      </c>
      <c r="U18" s="2" t="inlineStr">
        <is>
          <t>2026-10-29: estado EV → RES</t>
        </is>
      </c>
    </row>
    <row r="19">
      <c r="A19" s="2" t="inlineStr">
        <is>
          <t>Pendiente de adjudicación</t>
        </is>
      </c>
      <c r="B19" s="3" t="n">
        <v>46316.99930555555</v>
      </c>
      <c r="C19" s="5" t="n">
        <v>63239.67</v>
      </c>
      <c r="D19" s="5" t="n">
        <v>63239.67</v>
      </c>
      <c r="E19" s="2" t="inlineStr">
        <is>
          <t>Andalucía</t>
        </is>
      </c>
      <c r="F19" s="2" t="inlineStr">
        <is>
          <t>Granada</t>
        </is>
      </c>
      <c r="G19" s="2" t="n"/>
      <c r="H19" s="2" t="inlineStr">
        <is>
          <t>Junta de Gobierno Local del Ayuntamiento de la Villa de Otura</t>
        </is>
      </c>
      <c r="I19" s="2" t="inlineStr">
        <is>
          <t>Contrato de obras para la remodelación de la Placeta del Tranco por procedimiento abierto simplificado y tramitación ordinaria.</t>
        </is>
      </c>
      <c r="J19" s="2" t="inlineStr">
        <is>
          <t>3332/2026</t>
        </is>
      </c>
      <c r="K19" s="2" t="inlineStr">
        <is>
          <t>Abierto simplificado</t>
        </is>
      </c>
      <c r="L19" s="6" t="n">
        <v>3</v>
      </c>
      <c r="M19" s="2" t="n"/>
      <c r="N19" s="7" t="n">
        <v>0.25</v>
      </c>
      <c r="O19" s="4" t="n"/>
      <c r="P19" s="2" t="inlineStr">
        <is>
          <t>45220000</t>
        </is>
      </c>
      <c r="Q19" s="8" t="inlineStr">
        <is>
          <t>Ver</t>
        </is>
      </c>
      <c r="R19" s="8" t="inlineStr">
        <is>
          <t>PCAP</t>
        </is>
      </c>
      <c r="S19" s="9" t="n">
        <v>46310</v>
      </c>
      <c r="T19" s="3" t="n">
        <v>46323.60890046296</v>
      </c>
      <c r="U19" s="2" t="inlineStr">
        <is>
          <t>2026-10-29: estado PUB → EV</t>
        </is>
      </c>
    </row>
    <row r="20">
      <c r="A20" s="2" t="inlineStr">
        <is>
          <t>En plazo</t>
        </is>
      </c>
      <c r="B20" s="3" t="n">
        <v>46343.99930555555</v>
      </c>
      <c r="C20" s="5" t="n">
        <v>197705.84</v>
      </c>
      <c r="D20" s="5" t="n">
        <v>197705.84</v>
      </c>
      <c r="E20" s="2" t="inlineStr">
        <is>
          <t>Comunitat Valenciana</t>
        </is>
      </c>
      <c r="F20" s="2" t="inlineStr">
        <is>
          <t>Valencia</t>
        </is>
      </c>
      <c r="G20" s="2" t="n"/>
      <c r="H20" s="2" t="inlineStr">
        <is>
          <t>Ajuntament Atzeneta d'Albaida</t>
        </is>
      </c>
      <c r="I20" s="2" t="inlineStr">
        <is>
          <t>Reurbanització dels carrers Sant Vicent i Sant Roc</t>
        </is>
      </c>
      <c r="J20" s="2" t="inlineStr">
        <is>
          <t>POI 472-26 REURBANITZCIÓ C/ S.VICENT I S.ROC</t>
        </is>
      </c>
      <c r="K20" s="2" t="inlineStr">
        <is>
          <t>Abierto simplificado</t>
        </is>
      </c>
      <c r="L20" s="6" t="n">
        <v>5</v>
      </c>
      <c r="M20" s="2" t="n"/>
      <c r="N20" s="7" t="n">
        <v>0</v>
      </c>
      <c r="O20" s="4" t="n"/>
      <c r="P20" s="2" t="inlineStr">
        <is>
          <t>45000000; 45233252</t>
        </is>
      </c>
      <c r="Q20" s="8" t="inlineStr">
        <is>
          <t>Ver</t>
        </is>
      </c>
      <c r="R20" s="8" t="inlineStr">
        <is>
          <t>PCAP</t>
        </is>
      </c>
      <c r="S20" s="9" t="n">
        <v>46324</v>
      </c>
      <c r="T20" s="3" t="n">
        <v>46323.60658564815</v>
      </c>
      <c r="U20" s="2" t="n"/>
    </row>
    <row r="21">
      <c r="A21" s="2" t="inlineStr">
        <is>
          <t>Pendiente de adjudicación</t>
        </is>
      </c>
      <c r="B21" s="3" t="n">
        <v>46287.99930555555</v>
      </c>
      <c r="C21" s="5" t="n">
        <v>817092.0699999999</v>
      </c>
      <c r="D21" s="5" t="n">
        <v>817092.0699999999</v>
      </c>
      <c r="E21" s="2" t="inlineStr">
        <is>
          <t>Andalucía</t>
        </is>
      </c>
      <c r="F21" s="2" t="inlineStr">
        <is>
          <t>Cádiz</t>
        </is>
      </c>
      <c r="G21" s="2" t="n"/>
      <c r="H21" s="2" t="inlineStr">
        <is>
          <t>Alcaldía del Ayuntamiento de Algeciras</t>
        </is>
      </c>
      <c r="I21" s="2" t="inlineStr">
        <is>
          <t>Ejecución pasarela peatonal sobre el río Pícaro, para la conexión de calle Orión con los camarotes de Getares, restauración de parte del margen del río y restitución de senderos peatonales. Parque fluvial de río Pícaro</t>
        </is>
      </c>
      <c r="J21" s="2" t="inlineStr">
        <is>
          <t>28168/2016</t>
        </is>
      </c>
      <c r="K21" s="2" t="inlineStr">
        <is>
          <t>Abierto simplificado</t>
        </is>
      </c>
      <c r="L21" s="6" t="n">
        <v>6</v>
      </c>
      <c r="M21" s="2" t="n"/>
      <c r="N21" s="7" t="n">
        <v>0</v>
      </c>
      <c r="O21" s="4" t="n">
        <v>3</v>
      </c>
      <c r="P21" s="2" t="inlineStr">
        <is>
          <t>45262210; 45246200; 71317210; 45246510; 45262211; 45316100; 45233261; 45221113</t>
        </is>
      </c>
      <c r="Q21" s="8" t="inlineStr">
        <is>
          <t>Ver</t>
        </is>
      </c>
      <c r="R21" s="8" t="inlineStr">
        <is>
          <t>PCAP</t>
        </is>
      </c>
      <c r="S21" s="9" t="n">
        <v>46310</v>
      </c>
      <c r="T21" s="3" t="n">
        <v>46323.60637731481</v>
      </c>
      <c r="U21" s="2" t="n"/>
    </row>
    <row r="22">
      <c r="A22" s="2" t="inlineStr">
        <is>
          <t>En plazo</t>
        </is>
      </c>
      <c r="B22" s="3" t="n">
        <v>46343.75</v>
      </c>
      <c r="C22" s="5" t="n">
        <v>441907.04</v>
      </c>
      <c r="D22" s="5" t="n">
        <v>441907.04</v>
      </c>
      <c r="E22" s="2" t="inlineStr">
        <is>
          <t>Andalucía</t>
        </is>
      </c>
      <c r="F22" s="2" t="inlineStr">
        <is>
          <t>Cádiz</t>
        </is>
      </c>
      <c r="G22" s="2" t="inlineStr">
        <is>
          <t>Cádiz</t>
        </is>
      </c>
      <c r="H22" s="2" t="inlineStr">
        <is>
          <t>Consejo de Administración de Promoción y Gestión de Viviendas de Cádiz, S.A</t>
        </is>
      </c>
      <c r="I22" s="2" t="inlineStr">
        <is>
          <t>Obras de mantenimiento de edificios de viviendas del parque público gestionado por PROCASA.</t>
        </is>
      </c>
      <c r="J22" s="2" t="inlineStr">
        <is>
          <t>1087/2026</t>
        </is>
      </c>
      <c r="K22" s="2" t="inlineStr">
        <is>
          <t>Abierto simplificado</t>
        </is>
      </c>
      <c r="L22" s="6" t="n">
        <v>3</v>
      </c>
      <c r="M22" s="2" t="n"/>
      <c r="N22" s="7" t="n">
        <v>0</v>
      </c>
      <c r="O22" s="4" t="n">
        <v>6</v>
      </c>
      <c r="P22" s="2" t="inlineStr">
        <is>
          <t>45400000; 45320000; 45261000; 45232410; 45340000</t>
        </is>
      </c>
      <c r="Q22" s="8" t="inlineStr">
        <is>
          <t>Ver</t>
        </is>
      </c>
      <c r="R22" s="8" t="inlineStr">
        <is>
          <t>PCAP</t>
        </is>
      </c>
      <c r="S22" s="9" t="n">
        <v>46324</v>
      </c>
      <c r="T22" s="3" t="n">
        <v>46323.60375</v>
      </c>
      <c r="U22" s="2" t="n"/>
    </row>
    <row r="23">
      <c r="A23" s="2" t="inlineStr">
        <is>
          <t>Pendiente de adjudicación</t>
        </is>
      </c>
      <c r="B23" s="3" t="n">
        <v>46315.54166666666</v>
      </c>
      <c r="C23" s="5" t="n">
        <v>387132.54</v>
      </c>
      <c r="D23" s="5" t="n">
        <v>387132.54</v>
      </c>
      <c r="E23" s="2" t="inlineStr">
        <is>
          <t>Comunitat Valenciana</t>
        </is>
      </c>
      <c r="F23" s="2" t="inlineStr">
        <is>
          <t>Alicante</t>
        </is>
      </c>
      <c r="G23" s="2" t="n"/>
      <c r="H23" s="2" t="inlineStr">
        <is>
          <t>Junta de Gobierno Local del Ayuntamiento de Alicante</t>
        </is>
      </c>
      <c r="I23" s="2" t="inlineStr">
        <is>
          <t>Ejecución de las obras comprendidas en el proyecto de Intervención, reparación y consolidación de las Torres de la Casa Consistorial.</t>
        </is>
      </c>
      <c r="J23" s="2" t="inlineStr">
        <is>
          <t>91/26</t>
        </is>
      </c>
      <c r="K23" s="2" t="inlineStr">
        <is>
          <t>Abierto simplificado</t>
        </is>
      </c>
      <c r="L23" s="6" t="n">
        <v>8</v>
      </c>
      <c r="M23" s="2" t="n"/>
      <c r="N23" s="7" t="n">
        <v>0.25</v>
      </c>
      <c r="O23" s="4" t="n"/>
      <c r="P23" s="2" t="inlineStr">
        <is>
          <t>45212350</t>
        </is>
      </c>
      <c r="Q23" s="8" t="inlineStr">
        <is>
          <t>Ver</t>
        </is>
      </c>
      <c r="R23" s="8" t="inlineStr">
        <is>
          <t>PCAP</t>
        </is>
      </c>
      <c r="S23" s="9" t="n">
        <v>46310</v>
      </c>
      <c r="T23" s="3" t="n">
        <v>46323.60141203704</v>
      </c>
      <c r="U23" s="2" t="inlineStr">
        <is>
          <t>2026-10-23: estado PUB → EV</t>
        </is>
      </c>
    </row>
    <row r="24">
      <c r="A24" s="2" t="inlineStr">
        <is>
          <t>En plazo</t>
        </is>
      </c>
      <c r="B24" s="3" t="n">
        <v>46343.58333333334</v>
      </c>
      <c r="C24" s="5" t="n">
        <v>695584.3</v>
      </c>
      <c r="D24" s="5" t="n">
        <v>695584.3</v>
      </c>
      <c r="E24" s="2" t="inlineStr">
        <is>
          <t>Andalucía</t>
        </is>
      </c>
      <c r="F24" s="2" t="inlineStr">
        <is>
          <t>Jaén</t>
        </is>
      </c>
      <c r="G24" s="2" t="n"/>
      <c r="H24" s="2" t="inlineStr">
        <is>
          <t>Rectorado de la Universidad de Jaén</t>
        </is>
      </c>
      <c r="I24" s="2" t="inlineStr">
        <is>
          <t>Obras de reforma parcial del Edificio D1 para la Casa del Estudiantado en el Campus de las Lagunillas de Jaén.</t>
        </is>
      </c>
      <c r="J24" s="2" t="inlineStr">
        <is>
          <t>EXO-2026/07</t>
        </is>
      </c>
      <c r="K24" s="2" t="inlineStr">
        <is>
          <t>Abierto simplificado</t>
        </is>
      </c>
      <c r="L24" s="6" t="n">
        <v>6</v>
      </c>
      <c r="M24" s="2" t="n"/>
      <c r="N24" s="7" t="n">
        <v>0.25</v>
      </c>
      <c r="O24" s="4" t="n"/>
      <c r="P24" s="2" t="inlineStr">
        <is>
          <t>45000000</t>
        </is>
      </c>
      <c r="Q24" s="8" t="inlineStr">
        <is>
          <t>Ver</t>
        </is>
      </c>
      <c r="R24" s="8" t="inlineStr">
        <is>
          <t>PCAP</t>
        </is>
      </c>
      <c r="S24" s="9" t="n">
        <v>46324</v>
      </c>
      <c r="T24" s="3" t="n">
        <v>46323.60054398148</v>
      </c>
      <c r="U24" s="2" t="n"/>
    </row>
    <row r="25">
      <c r="A25" s="2" t="inlineStr">
        <is>
          <t>Resuelta</t>
        </is>
      </c>
      <c r="B25" s="3" t="n">
        <v>46041.54166666666</v>
      </c>
      <c r="C25" s="5" t="n">
        <v>55995.53</v>
      </c>
      <c r="D25" s="5" t="n">
        <v>55995.53</v>
      </c>
      <c r="E25" s="2" t="inlineStr">
        <is>
          <t>Comunitat Valenciana</t>
        </is>
      </c>
      <c r="F25" s="2" t="inlineStr">
        <is>
          <t>Alicante</t>
        </is>
      </c>
      <c r="G25" s="2" t="n"/>
      <c r="H25" s="2" t="inlineStr">
        <is>
          <t>Junta de Gobierno Local del Ayuntamiento de Alicante</t>
        </is>
      </c>
      <c r="I25" s="2" t="inlineStr">
        <is>
          <t>Remodelación pistas deportivas de la calle Barítono Paco La Torre - Barrio Juan XXIII</t>
        </is>
      </c>
      <c r="J25" s="2" t="inlineStr">
        <is>
          <t>128/25</t>
        </is>
      </c>
      <c r="K25" s="2" t="inlineStr">
        <is>
          <t>Abierto simplificado</t>
        </is>
      </c>
      <c r="L25" s="6" t="n">
        <v>2</v>
      </c>
      <c r="M25" s="2" t="n"/>
      <c r="N25" s="7" t="n">
        <v>0</v>
      </c>
      <c r="O25" s="4" t="n"/>
      <c r="P25" s="2" t="inlineStr">
        <is>
          <t>45236119</t>
        </is>
      </c>
      <c r="Q25" s="8" t="inlineStr">
        <is>
          <t>Ver</t>
        </is>
      </c>
      <c r="R25" s="8" t="inlineStr">
        <is>
          <t>PCAP</t>
        </is>
      </c>
      <c r="S25" s="9" t="n">
        <v>46310</v>
      </c>
      <c r="T25" s="3" t="n">
        <v>46323.59793981481</v>
      </c>
      <c r="U25" s="2" t="inlineStr">
        <is>
          <t>2026-10-29: estado ADJ → RES</t>
        </is>
      </c>
    </row>
    <row r="26">
      <c r="A26" s="2" t="inlineStr">
        <is>
          <t>Pendiente de adjudicación</t>
        </is>
      </c>
      <c r="B26" s="3" t="n">
        <v>46316.625</v>
      </c>
      <c r="C26" s="5" t="n">
        <v>639812.96</v>
      </c>
      <c r="D26" s="5" t="n">
        <v>639812.96</v>
      </c>
      <c r="E26" s="2" t="inlineStr">
        <is>
          <t>Comunitat Valenciana</t>
        </is>
      </c>
      <c r="F26" s="2" t="inlineStr">
        <is>
          <t>Alicante</t>
        </is>
      </c>
      <c r="G26" s="2" t="inlineStr">
        <is>
          <t>Alicante (Alacant)</t>
        </is>
      </c>
      <c r="H26" s="2" t="inlineStr">
        <is>
          <t>Junta de Gobierno del Ayuntamiento de La Nucía</t>
        </is>
      </c>
      <c r="I26" s="2" t="inlineStr">
        <is>
          <t>Obras del proyecto paisajístico de la Ruta Patrimonial del Agua de la Nucía a Polop: Explanada Porvilla y tirolina</t>
        </is>
      </c>
      <c r="J26" s="2" t="inlineStr">
        <is>
          <t>12189/2026</t>
        </is>
      </c>
      <c r="K26" s="2" t="inlineStr">
        <is>
          <t>Abierto simplificado</t>
        </is>
      </c>
      <c r="L26" s="6" t="n">
        <v>3</v>
      </c>
      <c r="M26" s="2" t="n"/>
      <c r="N26" s="7" t="n"/>
      <c r="O26" s="4" t="n"/>
      <c r="P26" s="2" t="inlineStr">
        <is>
          <t>45212100</t>
        </is>
      </c>
      <c r="Q26" s="8" t="inlineStr">
        <is>
          <t>Ver</t>
        </is>
      </c>
      <c r="R26" s="8" t="inlineStr">
        <is>
          <t>PCAP</t>
        </is>
      </c>
      <c r="S26" s="9" t="n">
        <v>46322</v>
      </c>
      <c r="T26" s="3" t="n">
        <v>46323.5971412037</v>
      </c>
      <c r="U26" s="2" t="n"/>
    </row>
    <row r="27">
      <c r="A27" s="2" t="inlineStr">
        <is>
          <t>Pendiente de adjudicación</t>
        </is>
      </c>
      <c r="B27" s="3" t="n">
        <v>46321.54166666666</v>
      </c>
      <c r="C27" s="5" t="n">
        <v>3837538.71</v>
      </c>
      <c r="D27" s="5" t="n">
        <v>4221292.58</v>
      </c>
      <c r="E27" s="2" t="inlineStr">
        <is>
          <t>Andalucía</t>
        </is>
      </c>
      <c r="F27" s="2" t="inlineStr">
        <is>
          <t>Sevilla</t>
        </is>
      </c>
      <c r="G27" s="2" t="n"/>
      <c r="H27" s="2" t="inlineStr">
        <is>
          <t>Gerencia de Sevilla Activa SAU</t>
        </is>
      </c>
      <c r="I27" s="2" t="inlineStr">
        <is>
          <t>Terminación de 50 Viviendas Protegidas</t>
        </is>
      </c>
      <c r="J27" s="2" t="inlineStr">
        <is>
          <t>A41420191-2026/000082-PaA</t>
        </is>
      </c>
      <c r="K27" s="2" t="inlineStr">
        <is>
          <t>Abierto</t>
        </is>
      </c>
      <c r="L27" s="6" t="n">
        <v>12</v>
      </c>
      <c r="M27" s="2" t="inlineStr">
        <is>
          <t>G*-5; C4-4; G6-4; C*-5</t>
        </is>
      </c>
      <c r="N27" s="7" t="n">
        <v>0.3</v>
      </c>
      <c r="O27" s="4" t="n"/>
      <c r="P27" s="2" t="inlineStr">
        <is>
          <t>45211000</t>
        </is>
      </c>
      <c r="Q27" s="8" t="inlineStr">
        <is>
          <t>Ver</t>
        </is>
      </c>
      <c r="R27" s="8" t="inlineStr">
        <is>
          <t>PCAP</t>
        </is>
      </c>
      <c r="S27" s="9" t="n">
        <v>46310</v>
      </c>
      <c r="T27" s="3" t="n">
        <v>46323.59645833333</v>
      </c>
      <c r="U27" s="2" t="inlineStr">
        <is>
          <t>2026-10-29: estado PUB → EV</t>
        </is>
      </c>
    </row>
    <row r="28">
      <c r="A28" s="2" t="inlineStr">
        <is>
          <t>Adjudicada</t>
        </is>
      </c>
      <c r="B28" s="3" t="n">
        <v>46289.99930555555</v>
      </c>
      <c r="C28" s="5" t="n">
        <v>79017.36</v>
      </c>
      <c r="D28" s="5" t="n">
        <v>79017.36</v>
      </c>
      <c r="E28" s="2" t="inlineStr">
        <is>
          <t>Andalucía</t>
        </is>
      </c>
      <c r="F28" s="2" t="inlineStr">
        <is>
          <t>Sevilla</t>
        </is>
      </c>
      <c r="G28" s="2" t="inlineStr">
        <is>
          <t>LA ALGABA</t>
        </is>
      </c>
      <c r="H28" s="2" t="inlineStr">
        <is>
          <t>Alcaldía del Ayuntamiento de La Algaba</t>
        </is>
      </c>
      <c r="I28" s="2" t="inlineStr">
        <is>
          <t>Contrato de obras para el asfaltado de las avenidas Juan Molina Romero y Primero de Mayo de La Algaba (Sevilla) financiadas por el plan "Mas Sevilla" de la Diputación Provincial</t>
        </is>
      </c>
      <c r="J28" s="2" t="inlineStr">
        <is>
          <t>2221/2026</t>
        </is>
      </c>
      <c r="K28" s="2" t="inlineStr">
        <is>
          <t>Abierto simplificado</t>
        </is>
      </c>
      <c r="L28" s="6" t="n">
        <v>4</v>
      </c>
      <c r="M28" s="2" t="n"/>
      <c r="N28" s="7" t="n">
        <v>0</v>
      </c>
      <c r="O28" s="4" t="n"/>
      <c r="P28" s="2" t="inlineStr">
        <is>
          <t>45233252</t>
        </is>
      </c>
      <c r="Q28" s="8" t="inlineStr">
        <is>
          <t>Ver</t>
        </is>
      </c>
      <c r="R28" s="8" t="inlineStr">
        <is>
          <t>PCAP</t>
        </is>
      </c>
      <c r="S28" s="9" t="n">
        <v>46324</v>
      </c>
      <c r="T28" s="3" t="n">
        <v>46323.59552083333</v>
      </c>
      <c r="U28" s="2" t="n"/>
    </row>
    <row r="29">
      <c r="A29" s="2" t="inlineStr">
        <is>
          <t>En plazo</t>
        </is>
      </c>
      <c r="B29" s="3" t="n">
        <v>46343.99930555555</v>
      </c>
      <c r="C29" s="5" t="n">
        <v>146060.36</v>
      </c>
      <c r="D29" s="5" t="n">
        <v>146060.36</v>
      </c>
      <c r="E29" s="2" t="inlineStr">
        <is>
          <t>Comunitat Valenciana</t>
        </is>
      </c>
      <c r="F29" s="2" t="inlineStr">
        <is>
          <t>Valencia</t>
        </is>
      </c>
      <c r="G29" s="2" t="inlineStr">
        <is>
          <t>Benifaió</t>
        </is>
      </c>
      <c r="H29" s="2" t="inlineStr">
        <is>
          <t>Alcaldía del ayuntamiento de Benifaió</t>
        </is>
      </c>
      <c r="I29" s="2" t="inlineStr">
        <is>
          <t>Obras de reasfaltado de un tramo de la urbanización Pla de les Clotxes</t>
        </is>
      </c>
      <c r="J29" s="2" t="inlineStr">
        <is>
          <t>2909/2026</t>
        </is>
      </c>
      <c r="K29" s="2" t="inlineStr">
        <is>
          <t>Abierto simplificado</t>
        </is>
      </c>
      <c r="L29" s="6" t="n">
        <v>1</v>
      </c>
      <c r="M29" s="2" t="n"/>
      <c r="N29" s="7" t="n">
        <v>0</v>
      </c>
      <c r="O29" s="4" t="n"/>
      <c r="P29" s="2" t="inlineStr">
        <is>
          <t>45233200; 45233223; 45233221; 45233222</t>
        </is>
      </c>
      <c r="Q29" s="8" t="inlineStr">
        <is>
          <t>Ver</t>
        </is>
      </c>
      <c r="R29" s="8" t="inlineStr">
        <is>
          <t>PCAP</t>
        </is>
      </c>
      <c r="S29" s="9" t="n">
        <v>46324</v>
      </c>
      <c r="T29" s="3" t="n">
        <v>46323.59233796296</v>
      </c>
      <c r="U29" s="2" t="n"/>
    </row>
    <row r="30">
      <c r="A30" s="2" t="inlineStr">
        <is>
          <t>Adjudicada</t>
        </is>
      </c>
      <c r="B30" s="3" t="n">
        <v>46268.99930555555</v>
      </c>
      <c r="C30" s="5" t="n">
        <v>1697727.74</v>
      </c>
      <c r="D30" s="5" t="n">
        <v>1697727.74</v>
      </c>
      <c r="E30" s="2" t="inlineStr">
        <is>
          <t>Andalucía</t>
        </is>
      </c>
      <c r="F30" s="2" t="inlineStr">
        <is>
          <t>Almería</t>
        </is>
      </c>
      <c r="G30" s="2" t="inlineStr">
        <is>
          <t>Huércal-Overa</t>
        </is>
      </c>
      <c r="H30" s="2" t="inlineStr">
        <is>
          <t>Junta De Gobierno Local del Ayuntamiento de Huércal-Overa</t>
        </is>
      </c>
      <c r="I30" s="2" t="inlineStr">
        <is>
          <t>Contrato de obras de construcción de Pistas de Atletismo y dos Campos de Fútbol 7 en Huércal-Overa</t>
        </is>
      </c>
      <c r="J30" s="2" t="inlineStr">
        <is>
          <t>611/2026</t>
        </is>
      </c>
      <c r="K30" s="2" t="inlineStr">
        <is>
          <t>Abierto simplificado</t>
        </is>
      </c>
      <c r="L30" s="6" t="n">
        <v>8</v>
      </c>
      <c r="M30" s="2" t="inlineStr">
        <is>
          <t>G*-1</t>
        </is>
      </c>
      <c r="N30" s="7" t="n">
        <v>0.25</v>
      </c>
      <c r="O30" s="4" t="n"/>
      <c r="P30" s="2" t="inlineStr">
        <is>
          <t>45212200</t>
        </is>
      </c>
      <c r="Q30" s="8" t="inlineStr">
        <is>
          <t>Ver</t>
        </is>
      </c>
      <c r="R30" s="8" t="inlineStr">
        <is>
          <t>PCAP</t>
        </is>
      </c>
      <c r="S30" s="9" t="n">
        <v>46310</v>
      </c>
      <c r="T30" s="3" t="n">
        <v>46323.59011574074</v>
      </c>
      <c r="U30" s="2" t="inlineStr">
        <is>
          <t>2026-10-29: estado EV → ADJ</t>
        </is>
      </c>
    </row>
    <row r="31">
      <c r="A31" s="2" t="inlineStr">
        <is>
          <t>Pendiente de adjudicación</t>
        </is>
      </c>
      <c r="B31" s="3" t="n">
        <v>46248.99930555555</v>
      </c>
      <c r="C31" s="5" t="n">
        <v>6404132.22</v>
      </c>
      <c r="D31" s="5" t="n">
        <v>6404132.22</v>
      </c>
      <c r="E31" s="2" t="inlineStr">
        <is>
          <t>Andalucía</t>
        </is>
      </c>
      <c r="F31" s="2" t="inlineStr">
        <is>
          <t>Sevilla</t>
        </is>
      </c>
      <c r="G31" s="2" t="n"/>
      <c r="H31" s="2" t="inlineStr">
        <is>
          <t>Junta de Gobierno del Ayuntamiento de Dos Hermanas</t>
        </is>
      </c>
      <c r="I31" s="2" t="inlineStr">
        <is>
          <t>Ejecución de Biobulevar Rafael Escudero Rodríguez, que podrá ser cofinanciado por la Unión Europea a través del Fondo Europeo de Desarrollo Regional (FEDER) en el marco del Programa Plurirregional de España 2021-2027 dentro de la Estrategia de Desarrollo Integrado Local (PLAN EDIL)</t>
        </is>
      </c>
      <c r="J31" s="2" t="inlineStr">
        <is>
          <t>2026000016</t>
        </is>
      </c>
      <c r="K31" s="2" t="inlineStr">
        <is>
          <t>Abierto</t>
        </is>
      </c>
      <c r="L31" s="6" t="n">
        <v>12</v>
      </c>
      <c r="M31" s="2" t="inlineStr">
        <is>
          <t>G6-4; A2-4</t>
        </is>
      </c>
      <c r="N31" s="7" t="n">
        <v>0</v>
      </c>
      <c r="O31" s="4" t="n"/>
      <c r="P31" s="2" t="inlineStr">
        <is>
          <t>45233140; 45112000; 45112700; 45316000</t>
        </is>
      </c>
      <c r="Q31" s="8" t="inlineStr">
        <is>
          <t>Ver</t>
        </is>
      </c>
      <c r="R31" s="8" t="inlineStr">
        <is>
          <t>PCAP</t>
        </is>
      </c>
      <c r="S31" s="9" t="n">
        <v>46317</v>
      </c>
      <c r="T31" s="3" t="n">
        <v>46323.58876157407</v>
      </c>
      <c r="U31" s="2" t="n"/>
    </row>
    <row r="32">
      <c r="A32" s="2" t="inlineStr">
        <is>
          <t>En plazo</t>
        </is>
      </c>
      <c r="B32" s="3" t="n">
        <v>46351.99930555555</v>
      </c>
      <c r="C32" s="5" t="n">
        <v>6566988.52</v>
      </c>
      <c r="D32" s="5" t="n">
        <v>6566988.52</v>
      </c>
      <c r="E32" s="2" t="inlineStr">
        <is>
          <t>Comunitat Valenciana</t>
        </is>
      </c>
      <c r="F32" s="2" t="inlineStr">
        <is>
          <t>Valencia</t>
        </is>
      </c>
      <c r="G32" s="2" t="inlineStr">
        <is>
          <t>Torrent</t>
        </is>
      </c>
      <c r="H32" s="2" t="inlineStr">
        <is>
          <t>Junta de Gobierno del Ayuntamiento de Torrent</t>
        </is>
      </c>
      <c r="I32" s="2" t="inlineStr">
        <is>
          <t>Obras de reposición del colegio CEIP Lope de Vega de Torrent, en el marco del Pla Edificant</t>
        </is>
      </c>
      <c r="J32" s="2" t="inlineStr">
        <is>
          <t>28703/2026</t>
        </is>
      </c>
      <c r="K32" s="2" t="inlineStr">
        <is>
          <t>Abierto</t>
        </is>
      </c>
      <c r="L32" s="6" t="n">
        <v>20</v>
      </c>
      <c r="M32" s="2" t="n"/>
      <c r="N32" s="7" t="n">
        <v>0</v>
      </c>
      <c r="O32" s="4" t="n"/>
      <c r="P32" s="2" t="inlineStr">
        <is>
          <t>45214210</t>
        </is>
      </c>
      <c r="Q32" s="8" t="inlineStr">
        <is>
          <t>Ver</t>
        </is>
      </c>
      <c r="R32" s="8" t="inlineStr">
        <is>
          <t>PCAP</t>
        </is>
      </c>
      <c r="S32" s="9" t="n">
        <v>46322</v>
      </c>
      <c r="T32" s="3" t="n">
        <v>46323.58797453704</v>
      </c>
      <c r="U32" s="2" t="inlineStr">
        <is>
          <t>2026-10-28: estado PRE → PUB</t>
        </is>
      </c>
    </row>
    <row r="33">
      <c r="A33" s="2" t="inlineStr">
        <is>
          <t>En plazo</t>
        </is>
      </c>
      <c r="B33" s="3" t="n">
        <v>46336.99930555555</v>
      </c>
      <c r="C33" s="5" t="n">
        <v>123486.58</v>
      </c>
      <c r="D33" s="5" t="n">
        <v>123486.58</v>
      </c>
      <c r="E33" s="2" t="inlineStr">
        <is>
          <t>Comunitat Valenciana</t>
        </is>
      </c>
      <c r="F33" s="2" t="inlineStr">
        <is>
          <t>Valencia</t>
        </is>
      </c>
      <c r="G33" s="2" t="inlineStr">
        <is>
          <t>Xeresa</t>
        </is>
      </c>
      <c r="H33" s="2" t="inlineStr">
        <is>
          <t>Alcaldía del Ayuntamiento de Xeresa</t>
        </is>
      </c>
      <c r="I33" s="2" t="inlineStr">
        <is>
          <t>Obras de mejora del polígono industrial Xeresa, en Xeresa. Lotes 3, 4 y 5: saneamiento, carril bici, red viaria y señalización. IVACE, anualidad 2026.</t>
        </is>
      </c>
      <c r="J33" s="2" t="inlineStr">
        <is>
          <t>806/2026</t>
        </is>
      </c>
      <c r="K33" s="2" t="inlineStr">
        <is>
          <t>Abierto</t>
        </is>
      </c>
      <c r="L33" s="6" t="n">
        <v>1</v>
      </c>
      <c r="M33" s="2" t="n"/>
      <c r="N33" s="7" t="n">
        <v>0</v>
      </c>
      <c r="O33" s="4" t="n">
        <v>3</v>
      </c>
      <c r="P33" s="2" t="inlineStr">
        <is>
          <t>45232400; 45233162; 45233140</t>
        </is>
      </c>
      <c r="Q33" s="8" t="inlineStr">
        <is>
          <t>Ver</t>
        </is>
      </c>
      <c r="R33" s="8" t="inlineStr">
        <is>
          <t>PCAP</t>
        </is>
      </c>
      <c r="S33" s="9" t="n">
        <v>46324</v>
      </c>
      <c r="T33" s="3" t="n">
        <v>46323.58428240741</v>
      </c>
      <c r="U33" s="2" t="n"/>
    </row>
    <row r="34">
      <c r="A34" s="2" t="inlineStr">
        <is>
          <t>Pendiente de adjudicación</t>
        </is>
      </c>
      <c r="B34" s="3" t="n">
        <v>46273.58333333334</v>
      </c>
      <c r="C34" s="5" t="n">
        <v>63814.35</v>
      </c>
      <c r="D34" s="5" t="n">
        <v>63814.35</v>
      </c>
      <c r="E34" s="2" t="inlineStr">
        <is>
          <t>Comunitat Valenciana</t>
        </is>
      </c>
      <c r="F34" s="2" t="inlineStr">
        <is>
          <t>Alicante</t>
        </is>
      </c>
      <c r="G34" s="2" t="inlineStr">
        <is>
          <t>Alicante (Alacant)</t>
        </is>
      </c>
      <c r="H34" s="2" t="inlineStr">
        <is>
          <t>Junta de Gobierno del Ayuntamiento de Altea</t>
        </is>
      </c>
      <c r="I34" s="2" t="inlineStr">
        <is>
          <t>Obras de acondicionamiento del consultorio médico de Altea. Instalación de ascensor hidráulico accesible.</t>
        </is>
      </c>
      <c r="J34" s="2" t="inlineStr">
        <is>
          <t>C12/2026 (Expte. Gestiona 3426/2026)</t>
        </is>
      </c>
      <c r="K34" s="2" t="inlineStr">
        <is>
          <t>Abierto simplificado</t>
        </is>
      </c>
      <c r="L34" s="6" t="n">
        <v>6</v>
      </c>
      <c r="M34" s="2" t="n"/>
      <c r="N34" s="7" t="n">
        <v>0</v>
      </c>
      <c r="O34" s="4" t="n"/>
      <c r="P34" s="2" t="inlineStr">
        <is>
          <t>45313100</t>
        </is>
      </c>
      <c r="Q34" s="8" t="inlineStr">
        <is>
          <t>Ver</t>
        </is>
      </c>
      <c r="R34" s="8" t="inlineStr">
        <is>
          <t>PCAP</t>
        </is>
      </c>
      <c r="S34" s="9" t="n">
        <v>46311</v>
      </c>
      <c r="T34" s="3" t="n">
        <v>46323.58181712963</v>
      </c>
      <c r="U34" s="2" t="n"/>
    </row>
    <row r="35">
      <c r="A35" s="2" t="inlineStr">
        <is>
          <t>Adjudicada</t>
        </is>
      </c>
      <c r="B35" s="3" t="n">
        <v>46101.41666666666</v>
      </c>
      <c r="C35" s="5" t="n">
        <v>704900.14</v>
      </c>
      <c r="D35" s="5" t="n">
        <v>704900.14</v>
      </c>
      <c r="E35" s="2" t="inlineStr">
        <is>
          <t>Andalucía</t>
        </is>
      </c>
      <c r="F35" s="2" t="inlineStr">
        <is>
          <t>Sevilla</t>
        </is>
      </c>
      <c r="G35" s="2" t="n"/>
      <c r="H35" s="2" t="inlineStr">
        <is>
          <t>Empresa de Transformación Agraria S.A.,S.M.E., M.P., (TRAGSA)</t>
        </is>
      </c>
      <c r="I35"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35" s="2" t="inlineStr">
        <is>
          <t>TSA0082829</t>
        </is>
      </c>
      <c r="K35" s="2" t="inlineStr">
        <is>
          <t>Abierto simplificado</t>
        </is>
      </c>
      <c r="L35" s="6" t="n">
        <v>6</v>
      </c>
      <c r="M35" s="2" t="n"/>
      <c r="N35" s="7" t="n">
        <v>0</v>
      </c>
      <c r="O35" s="4" t="n">
        <v>2</v>
      </c>
      <c r="P35" s="2" t="inlineStr">
        <is>
          <t>45240000</t>
        </is>
      </c>
      <c r="Q35" s="8" t="inlineStr">
        <is>
          <t>Ver</t>
        </is>
      </c>
      <c r="R35" s="8" t="inlineStr">
        <is>
          <t>PCAP</t>
        </is>
      </c>
      <c r="S35" s="9" t="n">
        <v>46311</v>
      </c>
      <c r="T35" s="3" t="n">
        <v>46323.58137731482</v>
      </c>
      <c r="U35" s="2" t="inlineStr">
        <is>
          <t>2026-10-23: estado EV → ADJ</t>
        </is>
      </c>
    </row>
    <row r="36">
      <c r="A36" s="2" t="inlineStr">
        <is>
          <t>Resuelta</t>
        </is>
      </c>
      <c r="B36" s="3" t="n">
        <v>45184.58333333334</v>
      </c>
      <c r="C36" s="5" t="n">
        <v>128504.64</v>
      </c>
      <c r="D36" s="5" t="n">
        <v>128504.64</v>
      </c>
      <c r="E36" s="2" t="inlineStr">
        <is>
          <t>Comunitat Valenciana</t>
        </is>
      </c>
      <c r="F36" s="2" t="inlineStr">
        <is>
          <t>Valencia</t>
        </is>
      </c>
      <c r="G36" s="2" t="n"/>
      <c r="H36" s="2" t="inlineStr">
        <is>
          <t>Empresa de Transformación Agraria S.A.,S.M.E., M.P., (TRAGSA)</t>
        </is>
      </c>
      <c r="I36" s="2" t="inlineStr">
        <is>
          <t>Contratación de los trabajos de proyectados de aislamiento térmico e ignifugación para la obra de "servicio de colaboración logística, gestión complementaria y acompañamiento en la organización del servicio de bomberos forestales. Fase VI. (Valencia)".</t>
        </is>
      </c>
      <c r="J36" s="2" t="inlineStr">
        <is>
          <t>TSA0076197</t>
        </is>
      </c>
      <c r="K36" s="2" t="inlineStr">
        <is>
          <t>Abierto simplificado</t>
        </is>
      </c>
      <c r="L36" s="6" t="n">
        <v>12</v>
      </c>
      <c r="M36" s="2" t="inlineStr">
        <is>
          <t>C7-1</t>
        </is>
      </c>
      <c r="N36" s="7" t="n">
        <v>0</v>
      </c>
      <c r="O36" s="4" t="n"/>
      <c r="P36" s="2" t="inlineStr">
        <is>
          <t>45343100</t>
        </is>
      </c>
      <c r="Q36" s="8" t="inlineStr">
        <is>
          <t>Ver</t>
        </is>
      </c>
      <c r="R36" s="8" t="inlineStr">
        <is>
          <t>PCAP</t>
        </is>
      </c>
      <c r="S36" s="9" t="n">
        <v>46324</v>
      </c>
      <c r="T36" s="3" t="n">
        <v>46323.57936342592</v>
      </c>
      <c r="U36" s="2" t="n"/>
    </row>
    <row r="37">
      <c r="A37" s="2" t="inlineStr">
        <is>
          <t>En plazo</t>
        </is>
      </c>
      <c r="B37" s="3" t="n">
        <v>46336.99930555555</v>
      </c>
      <c r="C37" s="5" t="n">
        <v>53846.53</v>
      </c>
      <c r="D37" s="5" t="n">
        <v>53846.53</v>
      </c>
      <c r="E37" s="2" t="inlineStr">
        <is>
          <t>Comunitat Valenciana</t>
        </is>
      </c>
      <c r="F37" s="2" t="inlineStr">
        <is>
          <t>Valencia</t>
        </is>
      </c>
      <c r="G37" s="2" t="inlineStr">
        <is>
          <t>Xeresa</t>
        </is>
      </c>
      <c r="H37" s="2" t="inlineStr">
        <is>
          <t>Alcaldía del Ayuntamiento de Xeresa</t>
        </is>
      </c>
      <c r="I37" s="2" t="inlineStr">
        <is>
          <t>Obras de mejora del polígono industrial La Pellería, en Xeresa. Lotes 2 y 3. IVACE, anualidad 2026</t>
        </is>
      </c>
      <c r="J37" s="2" t="inlineStr">
        <is>
          <t>770/2026</t>
        </is>
      </c>
      <c r="K37" s="2" t="inlineStr">
        <is>
          <t>Abierto</t>
        </is>
      </c>
      <c r="L37" s="6" t="n">
        <v>1</v>
      </c>
      <c r="M37" s="2" t="n"/>
      <c r="N37" s="7" t="n">
        <v>0</v>
      </c>
      <c r="O37" s="4" t="n">
        <v>2</v>
      </c>
      <c r="P37" s="2" t="inlineStr">
        <is>
          <t>45233140; 45316100</t>
        </is>
      </c>
      <c r="Q37" s="8" t="inlineStr">
        <is>
          <t>Ver</t>
        </is>
      </c>
      <c r="R37" s="8" t="inlineStr">
        <is>
          <t>PCAP</t>
        </is>
      </c>
      <c r="S37" s="9" t="n">
        <v>46324</v>
      </c>
      <c r="T37" s="3" t="n">
        <v>46323.57848379629</v>
      </c>
      <c r="U37" s="2" t="n"/>
    </row>
    <row r="38">
      <c r="A38" s="2" t="inlineStr">
        <is>
          <t>En plazo</t>
        </is>
      </c>
      <c r="B38" s="3" t="n">
        <v>46346.58333333334</v>
      </c>
      <c r="C38" s="5" t="n">
        <v>413223.14</v>
      </c>
      <c r="D38" s="5" t="n">
        <v>413223.14</v>
      </c>
      <c r="E38" s="2" t="inlineStr">
        <is>
          <t>Andalucía</t>
        </is>
      </c>
      <c r="F38" s="2" t="inlineStr">
        <is>
          <t>Sevilla</t>
        </is>
      </c>
      <c r="G38" s="2" t="n"/>
      <c r="H38" s="2" t="inlineStr">
        <is>
          <t>Pleno del Ayuntamiento de Guadalcanal</t>
        </is>
      </c>
      <c r="I38" s="2" t="inlineStr">
        <is>
          <t>Terminación y puesta en funcionamiento de Albergue Municipal de Guadalcanal</t>
        </is>
      </c>
      <c r="J38" s="2" t="inlineStr">
        <is>
          <t>P4104800J-2026/000013-PAAS</t>
        </is>
      </c>
      <c r="K38" s="2" t="inlineStr">
        <is>
          <t>Abierto simplificado</t>
        </is>
      </c>
      <c r="L38" s="6" t="n">
        <v>5</v>
      </c>
      <c r="M38" s="2" t="n"/>
      <c r="N38" s="7" t="n">
        <v>0</v>
      </c>
      <c r="O38" s="4" t="n"/>
      <c r="P38" s="2" t="inlineStr">
        <is>
          <t>45400000</t>
        </is>
      </c>
      <c r="Q38" s="8" t="inlineStr">
        <is>
          <t>Ver</t>
        </is>
      </c>
      <c r="R38" s="8" t="inlineStr">
        <is>
          <t>PCAP</t>
        </is>
      </c>
      <c r="S38" s="9" t="n">
        <v>46318</v>
      </c>
      <c r="T38" s="3" t="n">
        <v>46323.57784722222</v>
      </c>
      <c r="U38" s="2" t="n"/>
    </row>
    <row r="39">
      <c r="A39" s="2" t="inlineStr">
        <is>
          <t>Pendiente de adjudicación</t>
        </is>
      </c>
      <c r="B39" s="3" t="n">
        <v>46322.99930555555</v>
      </c>
      <c r="C39" s="5" t="n">
        <v>66527.74000000001</v>
      </c>
      <c r="D39" s="5" t="n">
        <v>66527.74000000001</v>
      </c>
      <c r="E39" s="2" t="inlineStr">
        <is>
          <t>Andalucía</t>
        </is>
      </c>
      <c r="F39" s="2" t="inlineStr">
        <is>
          <t>Cádiz</t>
        </is>
      </c>
      <c r="G39" s="2" t="inlineStr">
        <is>
          <t>Puerto Real</t>
        </is>
      </c>
      <c r="H39" s="2" t="inlineStr">
        <is>
          <t>Alcaldía del Ayuntamiento de Puerto Real</t>
        </is>
      </c>
      <c r="I39" s="2" t="inlineStr">
        <is>
          <t>B/005/2026: Obras de mejora de la iluminación y eficiencia energética de la instalación deportiva Sala de Barrio 512 de Puerto Real.</t>
        </is>
      </c>
      <c r="J39" s="2" t="inlineStr">
        <is>
          <t>12921/2026</t>
        </is>
      </c>
      <c r="K39" s="2" t="inlineStr">
        <is>
          <t>Abierto simplificado</t>
        </is>
      </c>
      <c r="L39" s="6" t="n">
        <v>0.9</v>
      </c>
      <c r="M39" s="2" t="n"/>
      <c r="N39" s="7" t="n">
        <v>0</v>
      </c>
      <c r="O39" s="4" t="n"/>
      <c r="P39" s="2" t="inlineStr">
        <is>
          <t>45310000; 45316000</t>
        </is>
      </c>
      <c r="Q39" s="8" t="inlineStr">
        <is>
          <t>Ver</t>
        </is>
      </c>
      <c r="R39" s="8" t="inlineStr">
        <is>
          <t>PCAP</t>
        </is>
      </c>
      <c r="S39" s="9" t="n">
        <v>46310</v>
      </c>
      <c r="T39" s="3" t="n">
        <v>46323.57745370371</v>
      </c>
      <c r="U39" s="2" t="inlineStr">
        <is>
          <t>2026-10-29: estado PUB → EV</t>
        </is>
      </c>
    </row>
    <row r="40">
      <c r="A40" s="2" t="inlineStr">
        <is>
          <t>Resuelta</t>
        </is>
      </c>
      <c r="B40" s="3" t="n">
        <v>46247.75</v>
      </c>
      <c r="C40" s="5" t="n">
        <v>87500</v>
      </c>
      <c r="D40" s="5" t="n">
        <v>87500</v>
      </c>
      <c r="E40" s="2" t="inlineStr">
        <is>
          <t>Comunitat Valenciana</t>
        </is>
      </c>
      <c r="F40" s="2" t="inlineStr">
        <is>
          <t>Alicante</t>
        </is>
      </c>
      <c r="G40" s="2" t="n"/>
      <c r="H40" s="2" t="inlineStr">
        <is>
          <t>Empresa de Transformación Agraria S.A.,S.M.E., M.P., (TRAGSA)</t>
        </is>
      </c>
      <c r="I40" s="2" t="inlineStr">
        <is>
          <t>UT2-contrato derivado del acuerdo marco para arrendamiento de maquinaria autopropulsada con conductor en "proyecto de mejora de la capacidad hidráulica en la vega baja del río segura. corredor verde azarbe el señor. fase 1" Nº 0745114 CORREDOR VERDE AZARBE I, PRTR</t>
        </is>
      </c>
      <c r="J40" s="2" t="inlineStr">
        <is>
          <t>TSA0082640-025</t>
        </is>
      </c>
      <c r="K40" s="2" t="inlineStr">
        <is>
          <t>Abierto</t>
        </is>
      </c>
      <c r="L40" s="6" t="n">
        <v>9</v>
      </c>
      <c r="M40" s="2" t="n"/>
      <c r="N40" s="7" t="n">
        <v>0</v>
      </c>
      <c r="O40" s="4" t="n"/>
      <c r="P40" s="2" t="inlineStr">
        <is>
          <t>45500000</t>
        </is>
      </c>
      <c r="Q40" s="8" t="inlineStr">
        <is>
          <t>Ver</t>
        </is>
      </c>
      <c r="R40" s="8" t="inlineStr">
        <is>
          <t>PCAP</t>
        </is>
      </c>
      <c r="S40" s="9" t="n">
        <v>46324</v>
      </c>
      <c r="T40" s="3" t="n">
        <v>46323.57670138889</v>
      </c>
      <c r="U40" s="2" t="n"/>
    </row>
    <row r="41">
      <c r="A41" s="2" t="inlineStr">
        <is>
          <t>Pendiente de adjudicación</t>
        </is>
      </c>
      <c r="B41" s="3" t="n">
        <v>46275.99930555555</v>
      </c>
      <c r="C41" s="5" t="n">
        <v>156906.8</v>
      </c>
      <c r="D41" s="5" t="n">
        <v>156906.8</v>
      </c>
      <c r="E41" s="2" t="inlineStr">
        <is>
          <t>Andalucía</t>
        </is>
      </c>
      <c r="F41" s="2" t="inlineStr">
        <is>
          <t>Granada</t>
        </is>
      </c>
      <c r="G41" s="2" t="inlineStr">
        <is>
          <t>Huéscar</t>
        </is>
      </c>
      <c r="H41" s="2" t="inlineStr">
        <is>
          <t>Alcaldía del Ayuntamiento de Huéscar</t>
        </is>
      </c>
      <c r="I41" s="2" t="inlineStr">
        <is>
          <t>Remodelación de un tramo de la Plaza de Santa Adela y Calle Pasaje de Santa Adela, de Huéscar</t>
        </is>
      </c>
      <c r="J41" s="2" t="inlineStr">
        <is>
          <t>3916/2026</t>
        </is>
      </c>
      <c r="K41" s="2" t="inlineStr">
        <is>
          <t>Abierto simplificado</t>
        </is>
      </c>
      <c r="L41" s="6" t="n">
        <v>3</v>
      </c>
      <c r="M41" s="2" t="inlineStr">
        <is>
          <t>G*-1</t>
        </is>
      </c>
      <c r="N41" s="7" t="n">
        <v>0.25</v>
      </c>
      <c r="O41" s="4" t="n"/>
      <c r="P41" s="2" t="inlineStr">
        <is>
          <t>45233222; 45233140; 45316110; 45232150; 45232410</t>
        </is>
      </c>
      <c r="Q41" s="8" t="inlineStr">
        <is>
          <t>Ver</t>
        </is>
      </c>
      <c r="R41" s="8" t="inlineStr">
        <is>
          <t>PCAP</t>
        </is>
      </c>
      <c r="S41" s="9" t="n">
        <v>46324</v>
      </c>
      <c r="T41" s="3" t="n">
        <v>46323.5743287037</v>
      </c>
      <c r="U41" s="2" t="n"/>
    </row>
    <row r="42">
      <c r="A42" s="2" t="inlineStr">
        <is>
          <t>Pendiente de adjudicación</t>
        </is>
      </c>
      <c r="B42" s="3" t="n">
        <v>46308.99930555555</v>
      </c>
      <c r="C42" s="5" t="n">
        <v>247753.82</v>
      </c>
      <c r="D42" s="5" t="n">
        <v>247753.82</v>
      </c>
      <c r="E42" s="2" t="inlineStr">
        <is>
          <t>Andalucía</t>
        </is>
      </c>
      <c r="F42" s="2" t="inlineStr">
        <is>
          <t>Sevilla</t>
        </is>
      </c>
      <c r="G42" s="2" t="n"/>
      <c r="H42" s="2" t="inlineStr">
        <is>
          <t>Alcaldía del Ayuntamiento de Espartinas</t>
        </is>
      </c>
      <c r="I42" s="2" t="inlineStr">
        <is>
          <t>Ejecución de las obras del Proyecto Constructivo de Rehabilitación de Acerados del Viario Público, conforme a lo previsto en el Proyecto Técnico que establece las características de la actuación.</t>
        </is>
      </c>
      <c r="J42" s="2" t="inlineStr">
        <is>
          <t>2322/2026</t>
        </is>
      </c>
      <c r="K42" s="2" t="inlineStr">
        <is>
          <t>Abierto simplificado</t>
        </is>
      </c>
      <c r="L42" s="6" t="n">
        <v>1.3</v>
      </c>
      <c r="M42" s="2" t="n"/>
      <c r="N42" s="7" t="n">
        <v>0</v>
      </c>
      <c r="O42" s="4" t="n"/>
      <c r="P42" s="2" t="inlineStr">
        <is>
          <t>45233222; 45233252</t>
        </is>
      </c>
      <c r="Q42" s="8" t="inlineStr">
        <is>
          <t>Ver</t>
        </is>
      </c>
      <c r="R42" s="8" t="inlineStr">
        <is>
          <t>PCAP</t>
        </is>
      </c>
      <c r="S42" s="9" t="n">
        <v>46310</v>
      </c>
      <c r="T42" s="3" t="n">
        <v>46323.57140046296</v>
      </c>
      <c r="U42" s="2" t="inlineStr">
        <is>
          <t>2026-10-16: estado PUB → EV</t>
        </is>
      </c>
    </row>
    <row r="43">
      <c r="A43" s="2" t="inlineStr">
        <is>
          <t>Pendiente de adjudicación</t>
        </is>
      </c>
      <c r="B43" s="3" t="n">
        <v>46245.99930555555</v>
      </c>
      <c r="C43" s="5" t="n">
        <v>177332.61</v>
      </c>
      <c r="D43" s="5" t="n">
        <v>177332.61</v>
      </c>
      <c r="E43" s="2" t="inlineStr">
        <is>
          <t>Andalucía</t>
        </is>
      </c>
      <c r="F43" s="2" t="inlineStr">
        <is>
          <t>Almería</t>
        </is>
      </c>
      <c r="G43" s="2" t="n"/>
      <c r="H43" s="2" t="inlineStr">
        <is>
          <t>Junta de Gobierno del Ayuntamiento de Almería</t>
        </is>
      </c>
      <c r="I43" s="2" t="inlineStr">
        <is>
          <t>Contrato de Obras para la reposición y reparación de barandillas en vía pública</t>
        </is>
      </c>
      <c r="J43" s="2" t="inlineStr">
        <is>
          <t>AYAL-2026000152</t>
        </is>
      </c>
      <c r="K43" s="2" t="inlineStr">
        <is>
          <t>Abierto simplificado</t>
        </is>
      </c>
      <c r="L43" s="6" t="n">
        <v>3</v>
      </c>
      <c r="M43" s="2" t="n"/>
      <c r="N43" s="7" t="n">
        <v>0</v>
      </c>
      <c r="O43" s="4" t="n"/>
      <c r="P43" s="2" t="inlineStr">
        <is>
          <t>45342000; 45262640; 45233293</t>
        </is>
      </c>
      <c r="Q43" s="8" t="inlineStr">
        <is>
          <t>Ver</t>
        </is>
      </c>
      <c r="R43" s="8" t="inlineStr">
        <is>
          <t>PCAP</t>
        </is>
      </c>
      <c r="S43" s="9" t="n">
        <v>46310</v>
      </c>
      <c r="T43" s="3" t="n">
        <v>46323.56884259259</v>
      </c>
      <c r="U43" s="2" t="n"/>
    </row>
    <row r="44">
      <c r="A44" s="2" t="inlineStr">
        <is>
          <t>En plazo</t>
        </is>
      </c>
      <c r="B44" s="3" t="n">
        <v>46343.99930555555</v>
      </c>
      <c r="C44" s="5" t="n">
        <v>135097.13</v>
      </c>
      <c r="D44" s="5" t="n">
        <v>135097.13</v>
      </c>
      <c r="E44" s="2" t="inlineStr">
        <is>
          <t>Comunitat Valenciana</t>
        </is>
      </c>
      <c r="F44" s="2" t="inlineStr">
        <is>
          <t>Valencia</t>
        </is>
      </c>
      <c r="G44" s="2" t="n"/>
      <c r="H44" s="2" t="inlineStr">
        <is>
          <t>Junta de Gobierno del Ayuntamiento de La Pobla de Farnals</t>
        </is>
      </c>
      <c r="I44" s="2" t="inlineStr">
        <is>
          <t>Contrato de obras para la adecuación de bajo a escuela infantil en Avda. Rei en Jaume nº13</t>
        </is>
      </c>
      <c r="J44" s="2" t="inlineStr">
        <is>
          <t>2135/2026</t>
        </is>
      </c>
      <c r="K44" s="2" t="inlineStr">
        <is>
          <t>Abierto simplificado</t>
        </is>
      </c>
      <c r="L44" s="6" t="n">
        <v>6</v>
      </c>
      <c r="M44" s="2" t="n"/>
      <c r="N44" s="7" t="n">
        <v>0</v>
      </c>
      <c r="O44" s="4" t="n"/>
      <c r="P44" s="2" t="inlineStr">
        <is>
          <t>45000000; 45300000; 45262700; 45453100</t>
        </is>
      </c>
      <c r="Q44" s="8" t="inlineStr">
        <is>
          <t>Ver</t>
        </is>
      </c>
      <c r="R44" s="8" t="inlineStr">
        <is>
          <t>PCAP</t>
        </is>
      </c>
      <c r="S44" s="9" t="n">
        <v>46324</v>
      </c>
      <c r="T44" s="3" t="n">
        <v>46323.56818287037</v>
      </c>
      <c r="U44" s="2" t="n"/>
    </row>
    <row r="45">
      <c r="A45" s="2" t="inlineStr">
        <is>
          <t>Pendiente de adjudicación</t>
        </is>
      </c>
      <c r="B45" s="3" t="n">
        <v>46322.58333333334</v>
      </c>
      <c r="C45" s="5" t="n">
        <v>239004.6</v>
      </c>
      <c r="D45" s="5" t="n">
        <v>239004.6</v>
      </c>
      <c r="E45" s="2" t="inlineStr">
        <is>
          <t>Comunitat Valenciana</t>
        </is>
      </c>
      <c r="F45" s="2" t="inlineStr">
        <is>
          <t>Castellón</t>
        </is>
      </c>
      <c r="G45" s="2" t="inlineStr">
        <is>
          <t>Cinctorres</t>
        </is>
      </c>
      <c r="H45" s="2" t="inlineStr">
        <is>
          <t>Pleno del Ayuntamiento de Cinctorres</t>
        </is>
      </c>
      <c r="I45" s="2" t="inlineStr">
        <is>
          <t>Contrato Abierto Simplificado Obras "Segunda fase Cambio de uso viviendas a edifico administrativo. Nueva Sede Ayuntamiento Cinctorres"</t>
        </is>
      </c>
      <c r="J45" s="2" t="inlineStr">
        <is>
          <t>318/2026</t>
        </is>
      </c>
      <c r="K45" s="2" t="inlineStr">
        <is>
          <t>Abierto simplificado</t>
        </is>
      </c>
      <c r="L45" s="6" t="n"/>
      <c r="M45" s="2" t="n"/>
      <c r="N45" s="7" t="n">
        <v>0</v>
      </c>
      <c r="O45" s="4" t="n"/>
      <c r="P45" s="2" t="inlineStr">
        <is>
          <t>45000000; 45210000; 45213150; 45300000</t>
        </is>
      </c>
      <c r="Q45" s="8" t="inlineStr">
        <is>
          <t>Ver</t>
        </is>
      </c>
      <c r="R45" s="8" t="inlineStr">
        <is>
          <t>PCAP</t>
        </is>
      </c>
      <c r="S45" s="9" t="n">
        <v>46310</v>
      </c>
      <c r="T45" s="3" t="n">
        <v>46323.56775462963</v>
      </c>
      <c r="U45" s="2" t="inlineStr">
        <is>
          <t>2026-10-29: estado PUB → EV</t>
        </is>
      </c>
    </row>
    <row r="46">
      <c r="A46" s="2" t="inlineStr">
        <is>
          <t>Resuelta</t>
        </is>
      </c>
      <c r="B46" s="3" t="n">
        <v>46245.75</v>
      </c>
      <c r="C46" s="5" t="n">
        <v>55650</v>
      </c>
      <c r="D46" s="5" t="n">
        <v>55650</v>
      </c>
      <c r="E46" s="2" t="inlineStr">
        <is>
          <t>Comunitat Valenciana</t>
        </is>
      </c>
      <c r="F46" s="2" t="inlineStr">
        <is>
          <t>Alicante</t>
        </is>
      </c>
      <c r="G46" s="2" t="n"/>
      <c r="H46" s="2" t="inlineStr">
        <is>
          <t>Empresa de Transformación Agraria S.A.,S.M.E., M.P., (TRAGSA)</t>
        </is>
      </c>
      <c r="I46" s="2" t="inlineStr">
        <is>
          <t>UT2-contrato derivado del acuerdo marco para arrendamiento de maquinaria autopropulsada con conductor en "proyecto de mejora de la capacidad hidráulica en la vega baja del río segura. corredor verde azarbe el señor. fase 1" Nº 0745114 CORREDOR VERDE AZARBE I, PRTR</t>
        </is>
      </c>
      <c r="J46" s="2" t="inlineStr">
        <is>
          <t>TSA0082640-021</t>
        </is>
      </c>
      <c r="K46" s="2" t="inlineStr">
        <is>
          <t>Abierto</t>
        </is>
      </c>
      <c r="L46" s="6" t="n">
        <v>6</v>
      </c>
      <c r="M46" s="2" t="n"/>
      <c r="N46" s="7" t="n">
        <v>0</v>
      </c>
      <c r="O46" s="4" t="n"/>
      <c r="P46" s="2" t="inlineStr">
        <is>
          <t>45500000</t>
        </is>
      </c>
      <c r="Q46" s="8" t="inlineStr">
        <is>
          <t>Ver</t>
        </is>
      </c>
      <c r="R46" s="8" t="inlineStr">
        <is>
          <t>PCAP</t>
        </is>
      </c>
      <c r="S46" s="9" t="n">
        <v>46324</v>
      </c>
      <c r="T46" s="3" t="n">
        <v>46323.5667824074</v>
      </c>
      <c r="U46" s="2" t="n"/>
    </row>
    <row r="47">
      <c r="A47" s="2" t="inlineStr">
        <is>
          <t>Adjudicada</t>
        </is>
      </c>
      <c r="B47" s="3" t="n">
        <v>46283.5</v>
      </c>
      <c r="C47" s="5" t="n">
        <v>299626.16</v>
      </c>
      <c r="D47" s="5" t="n">
        <v>299626.16</v>
      </c>
      <c r="E47" s="2" t="inlineStr">
        <is>
          <t>Andalucía</t>
        </is>
      </c>
      <c r="F47" s="2" t="inlineStr">
        <is>
          <t>Almería</t>
        </is>
      </c>
      <c r="G47" s="2" t="n"/>
      <c r="H47" s="2" t="inlineStr">
        <is>
          <t>Jefatura de Intendencia de Asuntos Económicos Sur</t>
        </is>
      </c>
      <c r="I47" s="2" t="inlineStr">
        <is>
          <t>OBRA TC 201-12/25 de adecuación de líneas eléctricas y del alumbrado exterior de varias zonas, Polvorín de Viator, Viator (Almería)</t>
        </is>
      </c>
      <c r="J47" s="2" t="inlineStr">
        <is>
          <t>2026/ETSAE0226/00005783E</t>
        </is>
      </c>
      <c r="K47" s="2" t="inlineStr">
        <is>
          <t>Abierto simplificado</t>
        </is>
      </c>
      <c r="L47" s="6" t="n">
        <v>5</v>
      </c>
      <c r="M47" s="2" t="n"/>
      <c r="N47" s="7" t="n">
        <v>0</v>
      </c>
      <c r="O47" s="4" t="n"/>
      <c r="P47" s="2" t="inlineStr">
        <is>
          <t>45216200</t>
        </is>
      </c>
      <c r="Q47" s="8" t="inlineStr">
        <is>
          <t>Ver</t>
        </is>
      </c>
      <c r="R47" s="8" t="inlineStr">
        <is>
          <t>PCAP</t>
        </is>
      </c>
      <c r="S47" s="9" t="n">
        <v>46324</v>
      </c>
      <c r="T47" s="3" t="n">
        <v>46323.5652662037</v>
      </c>
      <c r="U47" s="2" t="n"/>
    </row>
    <row r="48">
      <c r="A48" s="2" t="inlineStr">
        <is>
          <t>Adjudicada</t>
        </is>
      </c>
      <c r="B48" s="3" t="n">
        <v>46281.99930555555</v>
      </c>
      <c r="C48" s="5" t="n">
        <v>345182.87</v>
      </c>
      <c r="D48" s="5" t="n">
        <v>345182.87</v>
      </c>
      <c r="E48" s="2" t="inlineStr">
        <is>
          <t>Andalucía</t>
        </is>
      </c>
      <c r="F48" s="2" t="inlineStr">
        <is>
          <t>Granada</t>
        </is>
      </c>
      <c r="G48" s="2" t="inlineStr">
        <is>
          <t>FERREIRA</t>
        </is>
      </c>
      <c r="H48" s="2" t="inlineStr">
        <is>
          <t>Pleno del Ayuntamiento de Ferreira</t>
        </is>
      </c>
      <c r="I48" s="2" t="inlineStr">
        <is>
          <t>Construcción de 3 viviendas de protección oficial unifamiliares adosadas en el municipio de Ferreira (Granada). Programa de ayuda a la construcción de viviendas en alquiler social en edificios energéticamente eficientes en el marco del Cap. VII del Real Decreto 853/2021, de 5 de octubre, con referencia de expediente NGP6-017-22. Y PPOYS.</t>
        </is>
      </c>
      <c r="J48" s="2" t="inlineStr">
        <is>
          <t>24-2022-1</t>
        </is>
      </c>
      <c r="K48" s="2" t="inlineStr">
        <is>
          <t>Abierto simplificado</t>
        </is>
      </c>
      <c r="L48" s="6" t="n">
        <v>12</v>
      </c>
      <c r="M48" s="2" t="n"/>
      <c r="N48" s="7" t="n">
        <v>0</v>
      </c>
      <c r="O48" s="4" t="n"/>
      <c r="P48" s="2" t="inlineStr">
        <is>
          <t>45211300; 45211000; 45210000</t>
        </is>
      </c>
      <c r="Q48" s="8" t="inlineStr">
        <is>
          <t>Ver</t>
        </is>
      </c>
      <c r="R48" s="8" t="inlineStr">
        <is>
          <t>PCAP</t>
        </is>
      </c>
      <c r="S48" s="9" t="n">
        <v>46324</v>
      </c>
      <c r="T48" s="3" t="n">
        <v>46323.56493055556</v>
      </c>
      <c r="U48" s="2" t="n"/>
    </row>
    <row r="49">
      <c r="A49" s="2" t="inlineStr">
        <is>
          <t>En plazo</t>
        </is>
      </c>
      <c r="B49" s="3" t="n">
        <v>46329.99930555555</v>
      </c>
      <c r="C49" s="5" t="n">
        <v>2153684.34</v>
      </c>
      <c r="D49" s="5" t="n">
        <v>2153684.34</v>
      </c>
      <c r="E49" s="2" t="inlineStr">
        <is>
          <t>Comunitat Valenciana</t>
        </is>
      </c>
      <c r="F49" s="2" t="inlineStr">
        <is>
          <t>Valencia</t>
        </is>
      </c>
      <c r="G49" s="2" t="inlineStr">
        <is>
          <t>Torrent</t>
        </is>
      </c>
      <c r="H49" s="2" t="inlineStr">
        <is>
          <t>Junta de Gobierno del Ayuntamiento de Torrent</t>
        </is>
      </c>
      <c r="I49" s="2" t="inlineStr">
        <is>
          <t>Obras de mejora de baños, eficiencia energética, accesibilidad, patios, adaptación al CTE del CEIP Virgen del Rosario de Torrent, en el marco del Pla Edificant</t>
        </is>
      </c>
      <c r="J49" s="2" t="inlineStr">
        <is>
          <t>32643/2026</t>
        </is>
      </c>
      <c r="K49" s="2" t="inlineStr">
        <is>
          <t>Abierto</t>
        </is>
      </c>
      <c r="L49" s="6" t="n">
        <v>12</v>
      </c>
      <c r="M49" s="2" t="n"/>
      <c r="N49" s="7" t="n">
        <v>0</v>
      </c>
      <c r="O49" s="4" t="n"/>
      <c r="P49" s="2" t="inlineStr">
        <is>
          <t>45214210</t>
        </is>
      </c>
      <c r="Q49" s="8" t="inlineStr">
        <is>
          <t>Ver</t>
        </is>
      </c>
      <c r="R49" s="8" t="inlineStr">
        <is>
          <t>PCAP</t>
        </is>
      </c>
      <c r="S49" s="9" t="n">
        <v>46317</v>
      </c>
      <c r="T49" s="3" t="n">
        <v>46323.56488425926</v>
      </c>
      <c r="U49" s="2" t="n"/>
    </row>
    <row r="50">
      <c r="A50" s="2" t="inlineStr">
        <is>
          <t>En plazo</t>
        </is>
      </c>
      <c r="B50" s="3" t="n">
        <v>46343.99930555555</v>
      </c>
      <c r="C50" s="5" t="n">
        <v>316582.81</v>
      </c>
      <c r="D50" s="5" t="n">
        <v>316582.81</v>
      </c>
      <c r="E50" s="2" t="inlineStr">
        <is>
          <t>Comunitat Valenciana</t>
        </is>
      </c>
      <c r="F50" s="2" t="inlineStr">
        <is>
          <t>Valencia</t>
        </is>
      </c>
      <c r="G50" s="2" t="inlineStr">
        <is>
          <t>GUADASSUAR</t>
        </is>
      </c>
      <c r="H50" s="2" t="inlineStr">
        <is>
          <t>Junta de Gobierno del Ayuntamiento de Guadassuar</t>
        </is>
      </c>
      <c r="I50" s="2" t="inlineStr">
        <is>
          <t>Contrato de obras de "Reconstrucción de los daños ocasionados por la DANA en las instalaciones del Parking Subterráneo municipal de Guadassuar.</t>
        </is>
      </c>
      <c r="J50" s="2" t="inlineStr">
        <is>
          <t>3029500P</t>
        </is>
      </c>
      <c r="K50" s="2" t="inlineStr">
        <is>
          <t>Abierto simplificado</t>
        </is>
      </c>
      <c r="L50" s="6" t="n">
        <v>2</v>
      </c>
      <c r="M50" s="2" t="n"/>
      <c r="N50" s="7" t="n">
        <v>0</v>
      </c>
      <c r="O50" s="4" t="n"/>
      <c r="P50" s="2" t="inlineStr">
        <is>
          <t>45453000; 45310000; 45223310; 45343200; 45312100; 45313100; 45331200</t>
        </is>
      </c>
      <c r="Q50" s="8" t="inlineStr">
        <is>
          <t>Ver</t>
        </is>
      </c>
      <c r="R50" s="8" t="inlineStr">
        <is>
          <t>PCAP</t>
        </is>
      </c>
      <c r="S50" s="9" t="n">
        <v>46324</v>
      </c>
      <c r="T50" s="3" t="n">
        <v>46323.56384259259</v>
      </c>
      <c r="U50" s="2" t="n"/>
    </row>
    <row r="51">
      <c r="A51" s="2" t="inlineStr">
        <is>
          <t>Pendiente de adjudicación</t>
        </is>
      </c>
      <c r="B51" s="3" t="n">
        <v>46311.58333333334</v>
      </c>
      <c r="C51" s="5" t="n">
        <v>123966.94</v>
      </c>
      <c r="D51" s="5" t="n">
        <v>123966.94</v>
      </c>
      <c r="E51" s="2" t="inlineStr">
        <is>
          <t>Andalucía</t>
        </is>
      </c>
      <c r="F51" s="2" t="inlineStr">
        <is>
          <t>Jaén</t>
        </is>
      </c>
      <c r="G51" s="2" t="n"/>
      <c r="H51" s="2" t="inlineStr">
        <is>
          <t>Organismo Autónomo Parques Nacionales</t>
        </is>
      </c>
      <c r="I51" s="2" t="inlineStr">
        <is>
          <t>Obras de adaptación de la Casa del Pinar de Lugar Nuevo para apoyo a la gestión de la biodiversidad en el Parque Nacional de Monfragüe</t>
        </is>
      </c>
      <c r="J51" s="2" t="inlineStr">
        <is>
          <t>52026001</t>
        </is>
      </c>
      <c r="K51" s="2" t="inlineStr">
        <is>
          <t>Abierto simplificado</t>
        </is>
      </c>
      <c r="L51" s="6" t="n">
        <v>6</v>
      </c>
      <c r="M51" s="2" t="n"/>
      <c r="N51" s="7" t="n">
        <v>0</v>
      </c>
      <c r="O51" s="4" t="n"/>
      <c r="P51" s="2" t="inlineStr">
        <is>
          <t>45000000</t>
        </is>
      </c>
      <c r="Q51" s="8" t="inlineStr">
        <is>
          <t>Ver</t>
        </is>
      </c>
      <c r="R51" s="8" t="inlineStr">
        <is>
          <t>PCAP</t>
        </is>
      </c>
      <c r="S51" s="9" t="n">
        <v>46324</v>
      </c>
      <c r="T51" s="3" t="n">
        <v>46323.5637037037</v>
      </c>
      <c r="U51" s="2" t="n"/>
    </row>
    <row r="52">
      <c r="A52" s="2" t="inlineStr">
        <is>
          <t>En plazo</t>
        </is>
      </c>
      <c r="B52" s="3" t="n">
        <v>46346.41666666666</v>
      </c>
      <c r="C52" s="5" t="n">
        <v>165269.47</v>
      </c>
      <c r="D52" s="5" t="n">
        <v>165269.47</v>
      </c>
      <c r="E52" s="2" t="inlineStr">
        <is>
          <t>Andalucía</t>
        </is>
      </c>
      <c r="F52" s="2" t="inlineStr">
        <is>
          <t>Granada</t>
        </is>
      </c>
      <c r="G52" s="2" t="n"/>
      <c r="H52" s="2" t="inlineStr">
        <is>
          <t>Empresa de Transformación Agraria S.A.,S.M.E., M.P., (TRAGSA)</t>
        </is>
      </c>
      <c r="I52" s="2" t="inlineStr">
        <is>
          <t>Suministro e instalación eléctrica en media tensión de la estación de bombeo para el suministro de agua al municipio de Otura (Granada). Cofinanciado mediante el Fondo Europeo de Desarrollo Rural (FEDER)</t>
        </is>
      </c>
      <c r="J52" s="2" t="inlineStr">
        <is>
          <t>TSA0084315</t>
        </is>
      </c>
      <c r="K52" s="2" t="inlineStr">
        <is>
          <t>Abierto simplificado</t>
        </is>
      </c>
      <c r="L52" s="6" t="n">
        <v>6</v>
      </c>
      <c r="M52" s="2" t="inlineStr">
        <is>
          <t>I5-2</t>
        </is>
      </c>
      <c r="N52" s="7" t="n">
        <v>0</v>
      </c>
      <c r="O52" s="4" t="n"/>
      <c r="P52" s="2" t="inlineStr">
        <is>
          <t>45310000</t>
        </is>
      </c>
      <c r="Q52" s="8" t="inlineStr">
        <is>
          <t>Ver</t>
        </is>
      </c>
      <c r="R52" s="8" t="inlineStr">
        <is>
          <t>PCAP</t>
        </is>
      </c>
      <c r="S52" s="9" t="n">
        <v>46324</v>
      </c>
      <c r="T52" s="3" t="n">
        <v>46323.56172453704</v>
      </c>
      <c r="U52" s="2" t="n"/>
    </row>
    <row r="53">
      <c r="A53" s="2" t="inlineStr">
        <is>
          <t>Pendiente de adjudicación</t>
        </is>
      </c>
      <c r="B53" s="3" t="n">
        <v>46210.99930555555</v>
      </c>
      <c r="C53" s="5" t="n">
        <v>654043.4</v>
      </c>
      <c r="D53" s="5" t="n">
        <v>654043.4</v>
      </c>
      <c r="E53" s="2" t="inlineStr">
        <is>
          <t>Andalucía</t>
        </is>
      </c>
      <c r="F53" s="2" t="inlineStr">
        <is>
          <t>Almería</t>
        </is>
      </c>
      <c r="G53" s="2" t="n"/>
      <c r="H53" s="2" t="inlineStr">
        <is>
          <t>Junta de Gobierno del Ayuntamiento de Almería</t>
        </is>
      </c>
      <c r="I53" s="2" t="inlineStr">
        <is>
          <t>Contratación de las obras de Ejecución de circuito BMX en parcela del Recinto Ferial de Almería, Almería (SGEL-09)</t>
        </is>
      </c>
      <c r="J53" s="2" t="inlineStr">
        <is>
          <t>AYAL-2026000112</t>
        </is>
      </c>
      <c r="K53" s="2" t="inlineStr">
        <is>
          <t>Abierto</t>
        </is>
      </c>
      <c r="L53" s="6" t="n">
        <v>6</v>
      </c>
      <c r="M53" s="2" t="n"/>
      <c r="N53" s="7" t="n">
        <v>0.45</v>
      </c>
      <c r="O53" s="4" t="n"/>
      <c r="P53" s="2" t="inlineStr">
        <is>
          <t>45212200; 45262300; 45112700</t>
        </is>
      </c>
      <c r="Q53" s="8" t="inlineStr">
        <is>
          <t>Ver</t>
        </is>
      </c>
      <c r="R53" s="8" t="inlineStr">
        <is>
          <t>PCAP</t>
        </is>
      </c>
      <c r="S53" s="9" t="n">
        <v>46324</v>
      </c>
      <c r="T53" s="3" t="n">
        <v>46323.56097222222</v>
      </c>
      <c r="U53" s="2" t="n"/>
    </row>
    <row r="54">
      <c r="A54" s="2" t="inlineStr">
        <is>
          <t>Adjudicada</t>
        </is>
      </c>
      <c r="B54" s="3" t="n">
        <v>46275.99930555555</v>
      </c>
      <c r="C54" s="5" t="n">
        <v>2019964.57</v>
      </c>
      <c r="D54" s="5" t="n">
        <v>2019964.57</v>
      </c>
      <c r="E54" s="2" t="inlineStr">
        <is>
          <t>Andalucía</t>
        </is>
      </c>
      <c r="F54" s="2" t="inlineStr">
        <is>
          <t>Sevilla</t>
        </is>
      </c>
      <c r="G54" s="2" t="inlineStr">
        <is>
          <t>Alcalá de Guadaíra</t>
        </is>
      </c>
      <c r="H54" s="2" t="inlineStr">
        <is>
          <t>Junta de Gobierno Local del Ayuntamiento de Alcalá de Guadaíra</t>
        </is>
      </c>
      <c r="I54" s="2" t="inlineStr">
        <is>
          <t>obras de urbanización de la Ronda Sur (variante Este en SUNP-R2 "La Estrella")(C-2026/017)</t>
        </is>
      </c>
      <c r="J54" s="2" t="inlineStr">
        <is>
          <t>2075/2026</t>
        </is>
      </c>
      <c r="K54" s="2" t="inlineStr">
        <is>
          <t>Abierto</t>
        </is>
      </c>
      <c r="L54" s="6" t="n">
        <v>4</v>
      </c>
      <c r="M54" s="2" t="n"/>
      <c r="N54" s="7" t="n">
        <v>0</v>
      </c>
      <c r="O54" s="4" t="n"/>
      <c r="P54" s="2" t="inlineStr">
        <is>
          <t>45233122; 45233128</t>
        </is>
      </c>
      <c r="Q54" s="8" t="inlineStr">
        <is>
          <t>Ver</t>
        </is>
      </c>
      <c r="R54" s="8" t="inlineStr">
        <is>
          <t>PCAP</t>
        </is>
      </c>
      <c r="S54" s="9" t="n">
        <v>46324</v>
      </c>
      <c r="T54" s="3" t="n">
        <v>46323.55768518519</v>
      </c>
      <c r="U54" s="2" t="n"/>
    </row>
    <row r="55">
      <c r="A55" s="2" t="inlineStr">
        <is>
          <t>En plazo</t>
        </is>
      </c>
      <c r="B55" s="3" t="n">
        <v>46345.99930555555</v>
      </c>
      <c r="C55" s="5" t="n">
        <v>93024.69</v>
      </c>
      <c r="D55" s="5" t="n">
        <v>93024.69</v>
      </c>
      <c r="E55" s="2" t="inlineStr">
        <is>
          <t>Andalucía</t>
        </is>
      </c>
      <c r="F55" s="2" t="inlineStr">
        <is>
          <t>Sevilla</t>
        </is>
      </c>
      <c r="G55" s="2" t="n"/>
      <c r="H55" s="2" t="inlineStr">
        <is>
          <t>Presidencia de la Diputación Provincial de Sevilla</t>
        </is>
      </c>
      <c r="I55" s="2" t="inlineStr">
        <is>
          <t>Contratación de Obras para la Rehabilitación, reparación y puesta en uso del pozo situado en la zona de formación del Cortijo de Cuarto</t>
        </is>
      </c>
      <c r="J55" s="2" t="inlineStr">
        <is>
          <t>2026/000714-PAAS</t>
        </is>
      </c>
      <c r="K55" s="2" t="inlineStr">
        <is>
          <t>Abierto simplificado</t>
        </is>
      </c>
      <c r="L55" s="6" t="n">
        <v>4</v>
      </c>
      <c r="M55" s="2" t="n"/>
      <c r="N55" s="7" t="n">
        <v>0</v>
      </c>
      <c r="O55" s="4" t="n"/>
      <c r="P55" s="2" t="inlineStr">
        <is>
          <t>45221200</t>
        </is>
      </c>
      <c r="Q55" s="8" t="inlineStr">
        <is>
          <t>Ver</t>
        </is>
      </c>
      <c r="R55" s="8" t="inlineStr">
        <is>
          <t>PCAP</t>
        </is>
      </c>
      <c r="S55" s="9" t="n">
        <v>46324</v>
      </c>
      <c r="T55" s="3" t="n">
        <v>46323.55646990741</v>
      </c>
      <c r="U55" s="2" t="n"/>
    </row>
    <row r="56">
      <c r="A56" s="2" t="inlineStr">
        <is>
          <t>Adjudicada</t>
        </is>
      </c>
      <c r="B56" s="3" t="n">
        <v>46274.99930555555</v>
      </c>
      <c r="C56" s="5" t="n">
        <v>660954.04</v>
      </c>
      <c r="D56" s="5" t="n">
        <v>660954.04</v>
      </c>
      <c r="E56" s="2" t="inlineStr">
        <is>
          <t>Andalucía</t>
        </is>
      </c>
      <c r="F56" s="2" t="inlineStr">
        <is>
          <t>Sevilla</t>
        </is>
      </c>
      <c r="G56" s="2" t="inlineStr">
        <is>
          <t>MAIRENA DEL ALCOR</t>
        </is>
      </c>
      <c r="H56"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56" s="2" t="inlineStr">
        <is>
          <t>Obra de Reurbanización de Calles del Barrio HUERTA PABLO de Mairena del Alcor</t>
        </is>
      </c>
      <c r="J56" s="2" t="inlineStr">
        <is>
          <t>1190/2025</t>
        </is>
      </c>
      <c r="K56" s="2" t="inlineStr">
        <is>
          <t>Abierto simplificado</t>
        </is>
      </c>
      <c r="L56" s="6" t="n">
        <v>12</v>
      </c>
      <c r="M56" s="2" t="inlineStr">
        <is>
          <t>G*-3</t>
        </is>
      </c>
      <c r="N56" s="7" t="n">
        <v>0</v>
      </c>
      <c r="O56" s="4" t="n"/>
      <c r="P56" s="2" t="inlineStr">
        <is>
          <t>45233252</t>
        </is>
      </c>
      <c r="Q56" s="8" t="inlineStr">
        <is>
          <t>Ver</t>
        </is>
      </c>
      <c r="R56" s="8" t="inlineStr">
        <is>
          <t>PCAP</t>
        </is>
      </c>
      <c r="S56" s="9" t="n">
        <v>46324</v>
      </c>
      <c r="T56" s="3" t="n">
        <v>46323.55642361111</v>
      </c>
      <c r="U56" s="2" t="n"/>
    </row>
    <row r="57">
      <c r="A57" s="2" t="inlineStr">
        <is>
          <t>Resuelta</t>
        </is>
      </c>
      <c r="B57" s="3" t="n">
        <v>46315.75</v>
      </c>
      <c r="C57" s="5" t="n">
        <v>314000</v>
      </c>
      <c r="D57" s="5" t="n">
        <v>314000</v>
      </c>
      <c r="E57" s="2" t="inlineStr">
        <is>
          <t>Comunitat Valenciana</t>
        </is>
      </c>
      <c r="F57" s="2" t="inlineStr">
        <is>
          <t>Castellón</t>
        </is>
      </c>
      <c r="G57" s="2" t="n"/>
      <c r="H57" s="2" t="inlineStr">
        <is>
          <t>Empresa de Transformación Agraria S.A.,S.M.E., M.P., (TRAGSA)</t>
        </is>
      </c>
      <c r="I57" s="2" t="inlineStr">
        <is>
          <t>UT2-contrato derivado del acuerdo marco para el arrendamiento de maquinaria autopropulsada con conductor en el ámbito territorial de la gerencia de castellón durante los años 2025-2029, Nº 0725012 DANA24 NF. PREV. INCENDIO. CS</t>
        </is>
      </c>
      <c r="J57" s="2" t="inlineStr">
        <is>
          <t>TSA0082096-043</t>
        </is>
      </c>
      <c r="K57" s="2" t="inlineStr">
        <is>
          <t>Abierto</t>
        </is>
      </c>
      <c r="L57" s="6" t="n">
        <v>6</v>
      </c>
      <c r="M57" s="2" t="n"/>
      <c r="N57" s="7" t="n">
        <v>0</v>
      </c>
      <c r="O57" s="4" t="n"/>
      <c r="P57" s="2" t="inlineStr">
        <is>
          <t>45500000</t>
        </is>
      </c>
      <c r="Q57" s="8" t="inlineStr">
        <is>
          <t>Ver</t>
        </is>
      </c>
      <c r="R57" s="8" t="inlineStr">
        <is>
          <t>PCAP</t>
        </is>
      </c>
      <c r="S57" s="9" t="n">
        <v>46324</v>
      </c>
      <c r="T57" s="3" t="n">
        <v>46323.55641203704</v>
      </c>
      <c r="U57" s="2" t="n"/>
    </row>
    <row r="58">
      <c r="A58" s="2" t="inlineStr">
        <is>
          <t>Pendiente de adjudicación</t>
        </is>
      </c>
      <c r="B58" s="3" t="n">
        <v>46314.99930555555</v>
      </c>
      <c r="C58" s="5" t="n">
        <v>774060.5</v>
      </c>
      <c r="D58" s="5" t="n">
        <v>774060.5</v>
      </c>
      <c r="E58" s="2" t="inlineStr">
        <is>
          <t>Andalucía</t>
        </is>
      </c>
      <c r="F58" s="2" t="inlineStr">
        <is>
          <t>Cádiz</t>
        </is>
      </c>
      <c r="G58" s="2" t="inlineStr">
        <is>
          <t>JEREZ DE LA FRONTERA</t>
        </is>
      </c>
      <c r="H58" s="2" t="inlineStr">
        <is>
          <t>Presidencia del Circuito de Jerez, S.A.</t>
        </is>
      </c>
      <c r="I58" s="2" t="inlineStr">
        <is>
          <t>Obras de ampliación de las escapatorias de la curva 4 del Circuito de Jerez</t>
        </is>
      </c>
      <c r="J58" s="2" t="inlineStr">
        <is>
          <t>PA-005-2026</t>
        </is>
      </c>
      <c r="K58" s="2" t="inlineStr">
        <is>
          <t>Abierto simplificado</t>
        </is>
      </c>
      <c r="L58" s="6" t="n">
        <v>3</v>
      </c>
      <c r="M58" s="2" t="n"/>
      <c r="N58" s="7" t="n">
        <v>0</v>
      </c>
      <c r="O58" s="4" t="n"/>
      <c r="P58" s="2" t="inlineStr">
        <is>
          <t>45223500</t>
        </is>
      </c>
      <c r="Q58" s="8" t="inlineStr">
        <is>
          <t>Ver</t>
        </is>
      </c>
      <c r="R58" s="8" t="inlineStr">
        <is>
          <t>PCAP</t>
        </is>
      </c>
      <c r="S58" s="9" t="n">
        <v>46324</v>
      </c>
      <c r="T58" s="3" t="n">
        <v>46323.5552662037</v>
      </c>
      <c r="U58" s="2" t="n"/>
    </row>
    <row r="59">
      <c r="A59" s="2" t="inlineStr">
        <is>
          <t>Pendiente de adjudicación</t>
        </is>
      </c>
      <c r="B59" s="3" t="n">
        <v>47483.99930555555</v>
      </c>
      <c r="C59" s="5" t="n">
        <v>5174000</v>
      </c>
      <c r="D59" s="5" t="n">
        <v>5174000</v>
      </c>
      <c r="E59" s="2" t="inlineStr">
        <is>
          <t>Andalucía</t>
        </is>
      </c>
      <c r="F59" s="2" t="inlineStr">
        <is>
          <t>Almería</t>
        </is>
      </c>
      <c r="G59" s="2" t="n"/>
      <c r="H59" s="2" t="inlineStr">
        <is>
          <t>Pleno del Ayuntamiento de Cuevas del Almanzora</t>
        </is>
      </c>
      <c r="I59" s="2" t="inlineStr">
        <is>
          <t>Sistema DIinámico de Adquisición de obras habituales para prestar los servicios públicos de competencia municpal del Ayuntamiento de Cuevas del Almanzora, mediante 8 categorías, establecidas por CPV en el PCAP</t>
        </is>
      </c>
      <c r="J59" s="2" t="inlineStr">
        <is>
          <t>2025/354001/006-940/00001</t>
        </is>
      </c>
      <c r="K59" s="2" t="inlineStr">
        <is>
          <t>Restringido</t>
        </is>
      </c>
      <c r="L59" s="6" t="n"/>
      <c r="M59" s="2" t="n"/>
      <c r="N59" s="7" t="n">
        <v>0.5</v>
      </c>
      <c r="O59" s="4" t="n">
        <v>8</v>
      </c>
      <c r="P59" s="2" t="inlineStr">
        <is>
          <t>45200000; 45316100; 45233294; 45233261; 45262520; 45300000; 45223820; 45233290; 45520000; 45112700; 45310000; 45112000; 45233330; 45232400; 45233262; 45330000; 45111200; 45232410; 45233161; 45233222; 45233270; 45233340; 45500000; 45233293; 45112500; 45223800</t>
        </is>
      </c>
      <c r="Q59" s="8" t="inlineStr">
        <is>
          <t>Ver</t>
        </is>
      </c>
      <c r="R59" s="8" t="inlineStr">
        <is>
          <t>PCAP</t>
        </is>
      </c>
      <c r="S59" s="9" t="n">
        <v>46324</v>
      </c>
      <c r="T59" s="3" t="n">
        <v>46323.55491898148</v>
      </c>
      <c r="U59" s="2" t="n"/>
    </row>
    <row r="60">
      <c r="A60" s="2" t="inlineStr">
        <is>
          <t>Pendiente de adjudicación</t>
        </is>
      </c>
      <c r="B60" s="3" t="n">
        <v>46300.99930555555</v>
      </c>
      <c r="C60" s="5" t="n">
        <v>2050053.57</v>
      </c>
      <c r="D60" s="5" t="n">
        <v>2050053.57</v>
      </c>
      <c r="E60" s="2" t="inlineStr">
        <is>
          <t>Andalucía</t>
        </is>
      </c>
      <c r="F60" s="2" t="inlineStr">
        <is>
          <t>Málaga</t>
        </is>
      </c>
      <c r="G60" s="2" t="n"/>
      <c r="H60" s="2" t="inlineStr">
        <is>
          <t>Junta de Gobierno del Ayuntamiento de Marbella</t>
        </is>
      </c>
      <c r="I60" s="2" t="inlineStr">
        <is>
          <t>Contratación de la Obra denominada: Centro Municipal de Recursos para la Diversidad, Equidad e Inclusión de Nueva Andalucía (Centro DE&amp;I) dentro del Plan de Actuación Integrado (PAI) de Marbella, cofinanciado en un 85% por el Fondo Europeo de Desarrollo General (FEDER) en el Marco del Programa Plurirregional de España 2021-2027</t>
        </is>
      </c>
      <c r="J60" s="2" t="inlineStr">
        <is>
          <t>OB 192/26</t>
        </is>
      </c>
      <c r="K60" s="2" t="inlineStr">
        <is>
          <t>Abierto</t>
        </is>
      </c>
      <c r="L60" s="6" t="n">
        <v>8</v>
      </c>
      <c r="M60" s="2" t="n"/>
      <c r="N60" s="7" t="n">
        <v>0.4</v>
      </c>
      <c r="O60" s="4" t="n"/>
      <c r="P60" s="2" t="inlineStr">
        <is>
          <t>45210000</t>
        </is>
      </c>
      <c r="Q60" s="8" t="inlineStr">
        <is>
          <t>Ver</t>
        </is>
      </c>
      <c r="R60" s="8" t="inlineStr">
        <is>
          <t>PCAP</t>
        </is>
      </c>
      <c r="S60" s="9" t="n">
        <v>46324</v>
      </c>
      <c r="T60" s="3" t="n">
        <v>46323.55430555555</v>
      </c>
      <c r="U60" s="2" t="n"/>
    </row>
    <row r="61">
      <c r="A61" s="2" t="inlineStr">
        <is>
          <t>Resuelta</t>
        </is>
      </c>
      <c r="B61" s="3" t="n">
        <v>46247.75</v>
      </c>
      <c r="C61" s="5" t="n">
        <v>84500</v>
      </c>
      <c r="D61" s="5" t="n">
        <v>84500</v>
      </c>
      <c r="E61" s="2" t="inlineStr">
        <is>
          <t>Comunitat Valenciana</t>
        </is>
      </c>
      <c r="F61" s="2" t="inlineStr">
        <is>
          <t>Alicante</t>
        </is>
      </c>
      <c r="G61" s="2" t="n"/>
      <c r="H61" s="2" t="inlineStr">
        <is>
          <t>Empresa de Transformación Agraria S.A.,S.M.E., M.P., (TRAGSA)</t>
        </is>
      </c>
      <c r="I61" s="2" t="inlineStr">
        <is>
          <t>UT2-contrato derivado del acuerdo marco para arrendamiento de maquinaria autopropulsada con conductor en "proyecto de mejora de la capacidad hidráulica en la vega baja del río segura. corredor verde azarbe el señor. fase 1" Nº 0745114 CORREDOR VERDE AZARBE I, PRTR</t>
        </is>
      </c>
      <c r="J61" s="2" t="inlineStr">
        <is>
          <t>TSA0082640-027</t>
        </is>
      </c>
      <c r="K61" s="2" t="inlineStr">
        <is>
          <t>Abierto</t>
        </is>
      </c>
      <c r="L61" s="6" t="n">
        <v>6</v>
      </c>
      <c r="M61" s="2" t="n"/>
      <c r="N61" s="7" t="n">
        <v>0</v>
      </c>
      <c r="O61" s="4" t="n"/>
      <c r="P61" s="2" t="inlineStr">
        <is>
          <t>45500000</t>
        </is>
      </c>
      <c r="Q61" s="8" t="inlineStr">
        <is>
          <t>Ver</t>
        </is>
      </c>
      <c r="R61" s="8" t="inlineStr">
        <is>
          <t>PCAP</t>
        </is>
      </c>
      <c r="S61" s="9" t="n">
        <v>46324</v>
      </c>
      <c r="T61" s="3" t="n">
        <v>46323.55019675926</v>
      </c>
      <c r="U61" s="2" t="n"/>
    </row>
    <row r="62">
      <c r="A62" s="2" t="inlineStr">
        <is>
          <t>En plazo</t>
        </is>
      </c>
      <c r="B62" s="3" t="n">
        <v>46343.99930555555</v>
      </c>
      <c r="C62" s="5" t="n">
        <v>218030</v>
      </c>
      <c r="D62" s="5" t="n">
        <v>218030</v>
      </c>
      <c r="E62" s="2" t="inlineStr">
        <is>
          <t>Comunitat Valenciana</t>
        </is>
      </c>
      <c r="F62" s="2" t="inlineStr">
        <is>
          <t>Valencia</t>
        </is>
      </c>
      <c r="G62" s="2" t="inlineStr">
        <is>
          <t>MONCADA</t>
        </is>
      </c>
      <c r="H62" s="2" t="inlineStr">
        <is>
          <t>Junta de Gobierno del Ajuntament de Moncada</t>
        </is>
      </c>
      <c r="I62" s="2" t="inlineStr">
        <is>
          <t>OBRAS: Derribo edificio SP 604. C/ Mayor, nº 76. Obra perteneciente al plan de inversiones 2024-2027 de la Diputación de Valencia.</t>
        </is>
      </c>
      <c r="J62" s="2" t="inlineStr">
        <is>
          <t>2949872W DERRIBO EDIFICIO SP-604</t>
        </is>
      </c>
      <c r="K62" s="2" t="inlineStr">
        <is>
          <t>Abierto simplificado</t>
        </is>
      </c>
      <c r="L62" s="6" t="n">
        <v>2</v>
      </c>
      <c r="M62" s="2" t="n"/>
      <c r="N62" s="7" t="n">
        <v>0</v>
      </c>
      <c r="O62" s="4" t="n"/>
      <c r="P62" s="2" t="inlineStr">
        <is>
          <t>45111100</t>
        </is>
      </c>
      <c r="Q62" s="8" t="inlineStr">
        <is>
          <t>Ver</t>
        </is>
      </c>
      <c r="R62" s="8" t="inlineStr">
        <is>
          <t>PCAP</t>
        </is>
      </c>
      <c r="S62" s="9" t="n">
        <v>46315</v>
      </c>
      <c r="T62" s="3" t="n">
        <v>46323.54950231482</v>
      </c>
      <c r="U62" s="2" t="inlineStr">
        <is>
          <t>2026-10-29: estado PRE → PUB; plazo — → 2026-11-17 23:59</t>
        </is>
      </c>
    </row>
    <row r="63">
      <c r="A63" s="2" t="inlineStr">
        <is>
          <t>En plazo</t>
        </is>
      </c>
      <c r="B63" s="3" t="n">
        <v>46343.58333333334</v>
      </c>
      <c r="C63" s="5" t="n">
        <v>105021.07</v>
      </c>
      <c r="D63" s="5" t="n">
        <v>105021.07</v>
      </c>
      <c r="E63" s="2" t="inlineStr">
        <is>
          <t>Comunitat Valenciana</t>
        </is>
      </c>
      <c r="F63" s="2" t="inlineStr">
        <is>
          <t>Castellón</t>
        </is>
      </c>
      <c r="G63" s="2" t="inlineStr">
        <is>
          <t>Benassal</t>
        </is>
      </c>
      <c r="H63" s="2" t="inlineStr">
        <is>
          <t>Alcaldía del Ayuntamiento de Benassal</t>
        </is>
      </c>
      <c r="I63" s="2" t="inlineStr">
        <is>
          <t>Licitación obra "Adecuación calles Grau i Gras i Eres Tancades"</t>
        </is>
      </c>
      <c r="J63" s="2" t="inlineStr">
        <is>
          <t>536/2026</t>
        </is>
      </c>
      <c r="K63" s="2" t="inlineStr">
        <is>
          <t>Abierto simplificado</t>
        </is>
      </c>
      <c r="L63" s="6" t="n">
        <v>3</v>
      </c>
      <c r="M63" s="2" t="n"/>
      <c r="N63" s="7" t="n">
        <v>0</v>
      </c>
      <c r="O63" s="4" t="n"/>
      <c r="P63" s="2" t="inlineStr">
        <is>
          <t>45233252; 45232410; 45112400; 45200000</t>
        </is>
      </c>
      <c r="Q63" s="8" t="inlineStr">
        <is>
          <t>Ver</t>
        </is>
      </c>
      <c r="R63" s="8" t="inlineStr">
        <is>
          <t>PCAP</t>
        </is>
      </c>
      <c r="S63" s="9" t="n">
        <v>46324</v>
      </c>
      <c r="T63" s="3" t="n">
        <v>46323.54914351852</v>
      </c>
      <c r="U63" s="2" t="n"/>
    </row>
    <row r="64">
      <c r="A64" s="2" t="inlineStr">
        <is>
          <t>En plazo</t>
        </is>
      </c>
      <c r="B64" s="3" t="n">
        <v>46343.99930555555</v>
      </c>
      <c r="C64" s="5" t="n">
        <v>1108008.17</v>
      </c>
      <c r="D64" s="5" t="n">
        <v>1108008.17</v>
      </c>
      <c r="E64" s="2" t="inlineStr">
        <is>
          <t>Comunitat Valenciana</t>
        </is>
      </c>
      <c r="F64" s="2" t="inlineStr">
        <is>
          <t>Valencia</t>
        </is>
      </c>
      <c r="G64" s="2" t="inlineStr">
        <is>
          <t>Oliva</t>
        </is>
      </c>
      <c r="H64" s="2" t="inlineStr">
        <is>
          <t>Concejal de Contratación del Ayuntamiento de Oliva</t>
        </is>
      </c>
      <c r="I64" s="2" t="inlineStr">
        <is>
          <t>Reforma de campos de fútbol y pista de atletismo polideportivo municipal de Oliva</t>
        </is>
      </c>
      <c r="J64" s="2" t="inlineStr">
        <is>
          <t>13666/2026</t>
        </is>
      </c>
      <c r="K64" s="2" t="inlineStr">
        <is>
          <t>Abierto simplificado</t>
        </is>
      </c>
      <c r="L64" s="6" t="n">
        <v>5</v>
      </c>
      <c r="M64" s="2" t="n"/>
      <c r="N64" s="7" t="n">
        <v>0.2</v>
      </c>
      <c r="O64" s="4" t="n"/>
      <c r="P64" s="2" t="inlineStr">
        <is>
          <t>45212200</t>
        </is>
      </c>
      <c r="Q64" s="8" t="inlineStr">
        <is>
          <t>Ver</t>
        </is>
      </c>
      <c r="R64" s="8" t="inlineStr">
        <is>
          <t>PCAP</t>
        </is>
      </c>
      <c r="S64" s="9" t="n">
        <v>46324</v>
      </c>
      <c r="T64" s="3" t="n">
        <v>46323.54835648148</v>
      </c>
      <c r="U64" s="2" t="n"/>
    </row>
    <row r="65">
      <c r="A65" s="2" t="inlineStr">
        <is>
          <t>Pendiente de adjudicación</t>
        </is>
      </c>
      <c r="B65" s="3" t="n">
        <v>46311.99930555555</v>
      </c>
      <c r="C65" s="5" t="n">
        <v>138697.35</v>
      </c>
      <c r="D65" s="5" t="n">
        <v>138697.35</v>
      </c>
      <c r="E65" s="2" t="inlineStr">
        <is>
          <t>Andalucía</t>
        </is>
      </c>
      <c r="F65" s="2" t="inlineStr">
        <is>
          <t>Granada</t>
        </is>
      </c>
      <c r="G65" s="2" t="inlineStr">
        <is>
          <t>Churriana de la Vega</t>
        </is>
      </c>
      <c r="H65" s="2" t="inlineStr">
        <is>
          <t>Alcaldía del Ayuntamiento de Churriana de la Vega</t>
        </is>
      </c>
      <c r="I65" s="2" t="inlineStr">
        <is>
          <t>Remodelación del Parque de la Ermita</t>
        </is>
      </c>
      <c r="J65" s="2" t="inlineStr">
        <is>
          <t>3761/2026</t>
        </is>
      </c>
      <c r="K65" s="2" t="inlineStr">
        <is>
          <t>Abierto simplificado</t>
        </is>
      </c>
      <c r="L65" s="6" t="n">
        <v>3</v>
      </c>
      <c r="M65" s="2" t="n"/>
      <c r="N65" s="7" t="n">
        <v>0</v>
      </c>
      <c r="O65" s="4" t="n"/>
      <c r="P65" s="2" t="inlineStr">
        <is>
          <t>45212100; 45236210; 45112723; 45212140</t>
        </is>
      </c>
      <c r="Q65" s="8" t="inlineStr">
        <is>
          <t>Ver</t>
        </is>
      </c>
      <c r="R65" s="8" t="inlineStr">
        <is>
          <t>PCAP</t>
        </is>
      </c>
      <c r="S65" s="9" t="n">
        <v>46324</v>
      </c>
      <c r="T65" s="3" t="n">
        <v>46323.54796296296</v>
      </c>
      <c r="U65" s="2" t="n"/>
    </row>
    <row r="66">
      <c r="A66" s="2" t="inlineStr">
        <is>
          <t>Resuelta</t>
        </is>
      </c>
      <c r="B66" s="3" t="n">
        <v>45163.58333333334</v>
      </c>
      <c r="C66" s="5" t="n">
        <v>120215.62</v>
      </c>
      <c r="D66" s="5" t="n">
        <v>120215.62</v>
      </c>
      <c r="E66" s="2" t="inlineStr">
        <is>
          <t>Comunitat Valenciana</t>
        </is>
      </c>
      <c r="F66" s="2" t="inlineStr">
        <is>
          <t>Valencia</t>
        </is>
      </c>
      <c r="G66" s="2" t="n"/>
      <c r="H66" s="2" t="inlineStr">
        <is>
          <t>Empresa de Transformación Agraria S.A.,S.M.E., M.P., (TRAGSA)</t>
        </is>
      </c>
      <c r="I66" s="2" t="inlineStr">
        <is>
          <t>Suministro y montaje de carpintería de madera.</t>
        </is>
      </c>
      <c r="J66" s="2" t="inlineStr">
        <is>
          <t>TSA0076029</t>
        </is>
      </c>
      <c r="K66" s="2" t="inlineStr">
        <is>
          <t>Abierto simplificado</t>
        </is>
      </c>
      <c r="L66" s="6" t="n">
        <v>12</v>
      </c>
      <c r="M66" s="2" t="inlineStr">
        <is>
          <t>C8-1</t>
        </is>
      </c>
      <c r="N66" s="7" t="n">
        <v>0</v>
      </c>
      <c r="O66" s="4" t="n"/>
      <c r="P66" s="2" t="inlineStr">
        <is>
          <t>45420000</t>
        </is>
      </c>
      <c r="Q66" s="8" t="inlineStr">
        <is>
          <t>Ver</t>
        </is>
      </c>
      <c r="R66" s="8" t="inlineStr">
        <is>
          <t>PCAP</t>
        </is>
      </c>
      <c r="S66" s="9" t="n">
        <v>46324</v>
      </c>
      <c r="T66" s="3" t="n">
        <v>46323.54563657408</v>
      </c>
      <c r="U66" s="2" t="n"/>
    </row>
    <row r="67">
      <c r="A67" s="2" t="inlineStr">
        <is>
          <t>Resuelta</t>
        </is>
      </c>
      <c r="B67" s="3" t="n">
        <v>46218.99930555555</v>
      </c>
      <c r="C67" s="5" t="n">
        <v>905070.87</v>
      </c>
      <c r="D67" s="5" t="n">
        <v>905070.87</v>
      </c>
      <c r="E67" s="2" t="inlineStr">
        <is>
          <t>Andalucía</t>
        </is>
      </c>
      <c r="F67" s="2" t="inlineStr">
        <is>
          <t>Málaga</t>
        </is>
      </c>
      <c r="G67" s="2" t="inlineStr">
        <is>
          <t>Alhaurín el Grande</t>
        </is>
      </c>
      <c r="H67" s="2" t="inlineStr">
        <is>
          <t>Consejo Rector del Patronato Municipal de la Vivienda de Alhaurín el Grande</t>
        </is>
      </c>
      <c r="I67" s="2" t="inlineStr">
        <is>
          <t>Proyecto básico y de ejecución de 6 viviendas en régimen de alquiler social en parcelas b1 y b2 de Alhaurín el Grande</t>
        </is>
      </c>
      <c r="J67" s="2" t="inlineStr">
        <is>
          <t>9847/2026 6 VIVIENDAS</t>
        </is>
      </c>
      <c r="K67" s="2" t="inlineStr">
        <is>
          <t>Negociado sin publicidad</t>
        </is>
      </c>
      <c r="L67" s="6" t="n">
        <v>8.6</v>
      </c>
      <c r="M67" s="2" t="n"/>
      <c r="N67" s="7" t="n">
        <v>0.1</v>
      </c>
      <c r="O67" s="4" t="n">
        <v>2</v>
      </c>
      <c r="P67" s="2" t="inlineStr">
        <is>
          <t>45211340</t>
        </is>
      </c>
      <c r="Q67" s="8" t="inlineStr">
        <is>
          <t>Ver</t>
        </is>
      </c>
      <c r="R67" s="8" t="inlineStr">
        <is>
          <t>PCAP</t>
        </is>
      </c>
      <c r="S67" s="9" t="n">
        <v>46324</v>
      </c>
      <c r="T67" s="3" t="n">
        <v>46323.54439814815</v>
      </c>
      <c r="U67" s="2" t="n"/>
    </row>
    <row r="68">
      <c r="A68" s="2" t="inlineStr">
        <is>
          <t>Resuelta</t>
        </is>
      </c>
      <c r="B68" s="3" t="n">
        <v>46296.58333333334</v>
      </c>
      <c r="C68" s="5" t="n">
        <v>97574.17999999999</v>
      </c>
      <c r="D68" s="5" t="n">
        <v>97574.17999999999</v>
      </c>
      <c r="E68" s="2" t="inlineStr">
        <is>
          <t>Comunitat Valenciana</t>
        </is>
      </c>
      <c r="F68" s="2" t="inlineStr">
        <is>
          <t>Valencia</t>
        </is>
      </c>
      <c r="G68" s="2" t="n"/>
      <c r="H68" s="2" t="inlineStr">
        <is>
          <t>Concejalía Delegada de Contratación del Ayuntamiento de Gandía</t>
        </is>
      </c>
      <c r="I68" s="2" t="inlineStr">
        <is>
          <t>Contrato de obra consistente en mejora, modernización y dotación de infraestructuras y servicios en el polígono Benieto, IVACE Ejercicios 2025-2026.</t>
        </is>
      </c>
      <c r="J68" s="2" t="inlineStr">
        <is>
          <t>CONT-060/2026 (41988/2026)</t>
        </is>
      </c>
      <c r="K68" s="2" t="inlineStr">
        <is>
          <t>Abierto simplificado</t>
        </is>
      </c>
      <c r="L68" s="6" t="n">
        <v>2</v>
      </c>
      <c r="M68" s="2" t="n"/>
      <c r="N68" s="7" t="n">
        <v>0</v>
      </c>
      <c r="O68" s="4" t="n"/>
      <c r="P68" s="2" t="inlineStr">
        <is>
          <t>45233200; 45316100; 45112710</t>
        </is>
      </c>
      <c r="Q68" s="8" t="inlineStr">
        <is>
          <t>Ver</t>
        </is>
      </c>
      <c r="R68" s="8" t="inlineStr">
        <is>
          <t>PCAP</t>
        </is>
      </c>
      <c r="S68" s="9" t="n">
        <v>46310</v>
      </c>
      <c r="T68" s="3" t="n">
        <v>46323.54236111111</v>
      </c>
      <c r="U68" s="2" t="inlineStr">
        <is>
          <t>2026-10-27: estado EV → ADJ | 2026-10-29: estado ADJ → RES</t>
        </is>
      </c>
    </row>
    <row r="69">
      <c r="A69" s="2" t="inlineStr">
        <is>
          <t>Resuelta</t>
        </is>
      </c>
      <c r="B69" s="3" t="n">
        <v>46059.41666666666</v>
      </c>
      <c r="C69" s="5" t="n">
        <v>100621.12</v>
      </c>
      <c r="D69" s="5" t="n">
        <v>100621.12</v>
      </c>
      <c r="E69" s="2" t="inlineStr">
        <is>
          <t>Andalucía</t>
        </is>
      </c>
      <c r="F69" s="2" t="inlineStr">
        <is>
          <t>Almería</t>
        </is>
      </c>
      <c r="G69" s="2" t="n"/>
      <c r="H69" s="2" t="inlineStr">
        <is>
          <t>Empresa de Transformación Agraria S.A.,S.M.E., M.P., (TRAGSA)</t>
        </is>
      </c>
      <c r="I69" s="2" t="inlineStr">
        <is>
          <t>Ejecución de instalaciones de climatización, ventilación, ACS, fontanería y saneamiento en la obra de mejora de instalaciones del Destacamento Naval de la Isla de Alborán (Almería)</t>
        </is>
      </c>
      <c r="J69" s="2" t="inlineStr">
        <is>
          <t>TSA0082496</t>
        </is>
      </c>
      <c r="K69" s="2" t="inlineStr">
        <is>
          <t>Abierto simplificado</t>
        </is>
      </c>
      <c r="L69" s="6" t="n">
        <v>6</v>
      </c>
      <c r="M69" s="2" t="inlineStr">
        <is>
          <t>J2-1; J4-1</t>
        </is>
      </c>
      <c r="N69" s="7" t="n">
        <v>0</v>
      </c>
      <c r="O69" s="4" t="n"/>
      <c r="P69" s="2" t="inlineStr">
        <is>
          <t>45300000</t>
        </is>
      </c>
      <c r="Q69" s="8" t="inlineStr">
        <is>
          <t>Ver</t>
        </is>
      </c>
      <c r="R69" s="8" t="inlineStr">
        <is>
          <t>PCAP</t>
        </is>
      </c>
      <c r="S69" s="9" t="n">
        <v>46324</v>
      </c>
      <c r="T69" s="3" t="n">
        <v>46323.54197916666</v>
      </c>
      <c r="U69" s="2" t="n"/>
    </row>
    <row r="70">
      <c r="A70" s="2" t="inlineStr">
        <is>
          <t>Pendiente de adjudicación</t>
        </is>
      </c>
      <c r="B70" s="3" t="n">
        <v>46302.99930555555</v>
      </c>
      <c r="C70" s="5" t="n">
        <v>412966.26</v>
      </c>
      <c r="D70" s="5" t="n">
        <v>412966.26</v>
      </c>
      <c r="E70" s="2" t="inlineStr">
        <is>
          <t>Andalucía</t>
        </is>
      </c>
      <c r="F70" s="2" t="inlineStr">
        <is>
          <t>Huelva</t>
        </is>
      </c>
      <c r="G70" s="2" t="n"/>
      <c r="H70" s="2" t="inlineStr">
        <is>
          <t>Rectorado de la Universidad de Huelva</t>
        </is>
      </c>
      <c r="I70" s="2" t="inlineStr">
        <is>
          <t>Adecuación de espacios públicos y acerados en Av. de las letras y Av. de las Ciencias. Campus Universitario el Carmen</t>
        </is>
      </c>
      <c r="J70" s="2" t="inlineStr">
        <is>
          <t>O-12-26</t>
        </is>
      </c>
      <c r="K70" s="2" t="inlineStr">
        <is>
          <t>Abierto simplificado</t>
        </is>
      </c>
      <c r="L70" s="6" t="n">
        <v>3</v>
      </c>
      <c r="M70" s="2" t="n"/>
      <c r="N70" s="7" t="n">
        <v>0.25</v>
      </c>
      <c r="O70" s="4" t="n"/>
      <c r="P70" s="2" t="inlineStr">
        <is>
          <t>45233252; 45233253; 45111291; 45233260</t>
        </is>
      </c>
      <c r="Q70" s="8" t="inlineStr">
        <is>
          <t>Ver</t>
        </is>
      </c>
      <c r="R70" s="8" t="inlineStr">
        <is>
          <t>PCAP</t>
        </is>
      </c>
      <c r="S70" s="9" t="n">
        <v>46321</v>
      </c>
      <c r="T70" s="3" t="n">
        <v>46323.54109953704</v>
      </c>
      <c r="U70" s="2" t="n"/>
    </row>
    <row r="71">
      <c r="A71" s="2" t="inlineStr">
        <is>
          <t>Pendiente de adjudicación</t>
        </is>
      </c>
      <c r="B71" s="3" t="n">
        <v>46308.99930555555</v>
      </c>
      <c r="C71" s="5" t="n">
        <v>30045.49</v>
      </c>
      <c r="D71" s="5" t="n">
        <v>30045.49</v>
      </c>
      <c r="E71" s="2" t="inlineStr">
        <is>
          <t>Andalucía</t>
        </is>
      </c>
      <c r="F71" s="2" t="inlineStr">
        <is>
          <t>Huelva</t>
        </is>
      </c>
      <c r="G71" s="2" t="inlineStr">
        <is>
          <t>Huelva</t>
        </is>
      </c>
      <c r="H71" s="2" t="inlineStr">
        <is>
          <t>Rectorado de la Universidad de Huelva</t>
        </is>
      </c>
      <c r="I71" s="2" t="inlineStr">
        <is>
          <t>Obras de reforma de la hemeroteca (espacio EMPB16) del Edificio La Merced para su uso como biblioteca.</t>
        </is>
      </c>
      <c r="J71" s="2" t="inlineStr">
        <is>
          <t>O-15-26</t>
        </is>
      </c>
      <c r="K71" s="2" t="inlineStr">
        <is>
          <t>Abierto simplificado</t>
        </is>
      </c>
      <c r="L71" s="6" t="n">
        <v>1</v>
      </c>
      <c r="M71" s="2" t="n"/>
      <c r="N71" s="7" t="n">
        <v>0</v>
      </c>
      <c r="O71" s="4" t="n"/>
      <c r="P71" s="2" t="inlineStr">
        <is>
          <t>45000000</t>
        </is>
      </c>
      <c r="Q71" s="8" t="inlineStr">
        <is>
          <t>Ver</t>
        </is>
      </c>
      <c r="R71" s="8" t="inlineStr">
        <is>
          <t>PCAP</t>
        </is>
      </c>
      <c r="S71" s="9" t="n">
        <v>46321</v>
      </c>
      <c r="T71" s="3" t="n">
        <v>46323.54060185186</v>
      </c>
      <c r="U71" s="2" t="n"/>
    </row>
    <row r="72">
      <c r="A72" s="2" t="inlineStr">
        <is>
          <t>Pendiente de adjudicación</t>
        </is>
      </c>
      <c r="B72" s="3" t="n">
        <v>46240.99930555555</v>
      </c>
      <c r="C72" s="5" t="n">
        <v>63929.52</v>
      </c>
      <c r="D72" s="5" t="n">
        <v>63929.52</v>
      </c>
      <c r="E72" s="2" t="inlineStr">
        <is>
          <t>Andalucía</t>
        </is>
      </c>
      <c r="F72" s="2" t="inlineStr">
        <is>
          <t>Huelva</t>
        </is>
      </c>
      <c r="G72" s="2" t="inlineStr">
        <is>
          <t>Huelva</t>
        </is>
      </c>
      <c r="H72" s="2" t="inlineStr">
        <is>
          <t>Rectorado de la Universidad de Huelva</t>
        </is>
      </c>
      <c r="I72" s="2" t="inlineStr">
        <is>
          <t>Sustitución de equipos de climatización en el Campus de La Merced de la Universidad de Huelva</t>
        </is>
      </c>
      <c r="J72" s="2" t="inlineStr">
        <is>
          <t>O-13-26</t>
        </is>
      </c>
      <c r="K72" s="2" t="inlineStr">
        <is>
          <t>Abierto simplificado</t>
        </is>
      </c>
      <c r="L72" s="6" t="n">
        <v>2</v>
      </c>
      <c r="M72" s="2" t="n"/>
      <c r="N72" s="7" t="n">
        <v>0.25</v>
      </c>
      <c r="O72" s="4" t="n"/>
      <c r="P72" s="2" t="inlineStr">
        <is>
          <t>45331000; 42500000</t>
        </is>
      </c>
      <c r="Q72" s="8" t="inlineStr">
        <is>
          <t>Ver</t>
        </is>
      </c>
      <c r="R72" s="8" t="inlineStr">
        <is>
          <t>PCAP</t>
        </is>
      </c>
      <c r="S72" s="9" t="n">
        <v>46315</v>
      </c>
      <c r="T72" s="3" t="n">
        <v>46323.53788194444</v>
      </c>
      <c r="U72" s="2" t="n"/>
    </row>
    <row r="73">
      <c r="A73" s="2" t="inlineStr">
        <is>
          <t>En plazo</t>
        </is>
      </c>
      <c r="B73" s="3" t="n">
        <v>46377.58333333334</v>
      </c>
      <c r="C73" s="5" t="n">
        <v>21241200</v>
      </c>
      <c r="D73" s="5" t="n">
        <v>25355520</v>
      </c>
      <c r="E73" s="2" t="inlineStr">
        <is>
          <t>Comunitat Valenciana</t>
        </is>
      </c>
      <c r="F73" s="2" t="inlineStr">
        <is>
          <t>Valencia</t>
        </is>
      </c>
      <c r="G73" s="2" t="n"/>
      <c r="H73" s="2" t="inlineStr">
        <is>
          <t>Presidencia de la Entidad Valenciana de Vivienda y Suelo</t>
        </is>
      </c>
      <c r="I73" s="2" t="inlineStr">
        <is>
          <t>Redacción del proyecto, ejecución de las obras y dirección facultativa para la construcción por procedimientos industrializados promovidas por la Entidad Valenciana de Vivienda y Suelo, en Silla y Carcaixent.</t>
        </is>
      </c>
      <c r="J73" s="2" t="inlineStr">
        <is>
          <t>CMAYOR/2026/EVHA0/0014</t>
        </is>
      </c>
      <c r="K73" s="2" t="inlineStr">
        <is>
          <t>Abierto</t>
        </is>
      </c>
      <c r="L73" s="6" t="n">
        <v>12</v>
      </c>
      <c r="M73" s="2" t="n"/>
      <c r="N73" s="7" t="n">
        <v>0.49</v>
      </c>
      <c r="O73" s="4" t="n">
        <v>4</v>
      </c>
      <c r="P73" s="2" t="inlineStr">
        <is>
          <t>45211100; 71000000</t>
        </is>
      </c>
      <c r="Q73" s="8" t="inlineStr">
        <is>
          <t>Ver</t>
        </is>
      </c>
      <c r="R73" s="8" t="inlineStr">
        <is>
          <t>PCAP</t>
        </is>
      </c>
      <c r="S73" s="9" t="n">
        <v>46314</v>
      </c>
      <c r="T73" s="3" t="n">
        <v>46323.5352662037</v>
      </c>
      <c r="U73" s="2" t="inlineStr">
        <is>
          <t>2026-10-20: plazo 2026-11-19 14:00 → 2026-12-21 14:00</t>
        </is>
      </c>
    </row>
    <row r="74">
      <c r="A74" s="2" t="inlineStr">
        <is>
          <t>Pendiente de adjudicación</t>
        </is>
      </c>
      <c r="B74" s="3" t="n">
        <v>46308.99930555555</v>
      </c>
      <c r="C74" s="5" t="n">
        <v>341872.72</v>
      </c>
      <c r="D74" s="5" t="n">
        <v>341872.72</v>
      </c>
      <c r="E74" s="2" t="inlineStr">
        <is>
          <t>Comunitat Valenciana</t>
        </is>
      </c>
      <c r="F74" s="2" t="inlineStr">
        <is>
          <t>Alicante</t>
        </is>
      </c>
      <c r="G74" s="2" t="n"/>
      <c r="H74" s="2" t="inlineStr">
        <is>
          <t>Junta de Gobierno del Ayuntamiento de Torrevieja</t>
        </is>
      </c>
      <c r="I74" s="2" t="inlineStr">
        <is>
          <t>Obras de conexión de carriles bici en Avdas. Defina Viudes-Monje y Bielsa-La Mancha y C/ Gabriela Mistral, cofinanciado por la Unión Europea, fondo Europeo de Desarrollo Regional (FEDER) de la Comunidad Valenciana 2021-2027</t>
        </is>
      </c>
      <c r="J74" s="2" t="inlineStr">
        <is>
          <t>96347/2026</t>
        </is>
      </c>
      <c r="K74" s="2" t="inlineStr">
        <is>
          <t>Abierto simplificado</t>
        </is>
      </c>
      <c r="L74" s="6" t="n">
        <v>3</v>
      </c>
      <c r="M74" s="2" t="n"/>
      <c r="N74" s="7" t="n">
        <v>0.25</v>
      </c>
      <c r="O74" s="4" t="n"/>
      <c r="P74" s="2" t="inlineStr">
        <is>
          <t>45233162</t>
        </is>
      </c>
      <c r="Q74" s="8" t="inlineStr">
        <is>
          <t>Ver</t>
        </is>
      </c>
      <c r="R74" s="8" t="inlineStr">
        <is>
          <t>PCAP</t>
        </is>
      </c>
      <c r="S74" s="9" t="n">
        <v>46314</v>
      </c>
      <c r="T74" s="3" t="n">
        <v>46323.53443287037</v>
      </c>
      <c r="U74" s="2" t="n"/>
    </row>
    <row r="75">
      <c r="A75" s="2" t="inlineStr">
        <is>
          <t>Adjudicada</t>
        </is>
      </c>
      <c r="B75" s="3" t="n">
        <v>46280.54166666666</v>
      </c>
      <c r="C75" s="5" t="n">
        <v>207285.47</v>
      </c>
      <c r="D75" s="5" t="n">
        <v>207285.47</v>
      </c>
      <c r="E75" s="2" t="inlineStr">
        <is>
          <t>Comunitat Valenciana</t>
        </is>
      </c>
      <c r="F75" s="2" t="inlineStr">
        <is>
          <t>Valencia</t>
        </is>
      </c>
      <c r="G75" s="2" t="n"/>
      <c r="H75" s="2" t="inlineStr">
        <is>
          <t>Consejo de Administración de la Empresa Municipal de Transportes de Valencia, S.A.U.</t>
        </is>
      </c>
      <c r="I75" s="2" t="inlineStr">
        <is>
          <t>Ejecución material de las obras correspondientes a los proyectos de ejecución, seguridad y salud y gestión de residuos necesarios para el cierre y desmantelamiento de la estación de GNC y su instalación de distribución de depósito san isidro y la adecuación de la superficie resultante como aparcamiento de autobuses por la Empresa Municipal de Transportes de València S.A.U (Medio Propio)</t>
        </is>
      </c>
      <c r="J75" s="2" t="inlineStr">
        <is>
          <t>2026-0071</t>
        </is>
      </c>
      <c r="K75" s="2" t="inlineStr">
        <is>
          <t>Abierto simplificado</t>
        </is>
      </c>
      <c r="L75" s="6" t="n">
        <v>60</v>
      </c>
      <c r="M75" s="2" t="inlineStr">
        <is>
          <t>C1-1; G6-1</t>
        </is>
      </c>
      <c r="N75" s="7" t="n">
        <v>0.25</v>
      </c>
      <c r="O75" s="4" t="n"/>
      <c r="P75" s="2" t="inlineStr">
        <is>
          <t>45000000</t>
        </is>
      </c>
      <c r="Q75" s="8" t="inlineStr">
        <is>
          <t>Ver</t>
        </is>
      </c>
      <c r="R75" s="8" t="inlineStr">
        <is>
          <t>PCAP</t>
        </is>
      </c>
      <c r="S75" s="9" t="n">
        <v>46324</v>
      </c>
      <c r="T75" s="3" t="n">
        <v>46323.53020833333</v>
      </c>
      <c r="U75" s="2" t="n"/>
    </row>
    <row r="76">
      <c r="A76" s="2" t="inlineStr">
        <is>
          <t>Adjudicada</t>
        </is>
      </c>
      <c r="B76" s="3" t="n">
        <v>46280.99930555555</v>
      </c>
      <c r="C76" s="5" t="n">
        <v>169052.78</v>
      </c>
      <c r="D76" s="5" t="n">
        <v>169052.78</v>
      </c>
      <c r="E76" s="2" t="inlineStr">
        <is>
          <t>Andalucía</t>
        </is>
      </c>
      <c r="F76" s="2" t="inlineStr">
        <is>
          <t>Sevilla</t>
        </is>
      </c>
      <c r="G76" s="2" t="inlineStr">
        <is>
          <t>MAIRENA DEL ALCOR</t>
        </is>
      </c>
      <c r="H76"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76" s="2" t="inlineStr">
        <is>
          <t>Proyecto para la Dotacion de Infraestructuras para nuevas Casetas en el Recinto Ferial</t>
        </is>
      </c>
      <c r="J76" s="2" t="inlineStr">
        <is>
          <t>3596/2026</t>
        </is>
      </c>
      <c r="K76" s="2" t="inlineStr">
        <is>
          <t>Abierto simplificado</t>
        </is>
      </c>
      <c r="L76" s="6" t="n">
        <v>5</v>
      </c>
      <c r="M76" s="2" t="n"/>
      <c r="N76" s="7" t="n">
        <v>0</v>
      </c>
      <c r="O76" s="4" t="n"/>
      <c r="P76" s="2" t="inlineStr">
        <is>
          <t>45231000</t>
        </is>
      </c>
      <c r="Q76" s="8" t="inlineStr">
        <is>
          <t>Ver</t>
        </is>
      </c>
      <c r="R76" s="8" t="inlineStr">
        <is>
          <t>PCAP</t>
        </is>
      </c>
      <c r="S76" s="9" t="n">
        <v>46324</v>
      </c>
      <c r="T76" s="3" t="n">
        <v>46323.52960648148</v>
      </c>
      <c r="U76" s="2" t="n"/>
    </row>
    <row r="77">
      <c r="A77" s="2" t="inlineStr">
        <is>
          <t>Resuelta</t>
        </is>
      </c>
      <c r="B77" s="3" t="n">
        <v>45138.58333333334</v>
      </c>
      <c r="C77" s="5" t="n">
        <v>48138.15</v>
      </c>
      <c r="D77" s="5" t="n">
        <v>48138.15</v>
      </c>
      <c r="E77" s="2" t="inlineStr">
        <is>
          <t>Comunitat Valenciana</t>
        </is>
      </c>
      <c r="F77" s="2" t="inlineStr">
        <is>
          <t>Valencia</t>
        </is>
      </c>
      <c r="G77" s="2" t="n"/>
      <c r="H77" s="2" t="inlineStr">
        <is>
          <t>Empresa de Transformación Agraria S.A.,S.M.E., M.P., (TRAGSA)</t>
        </is>
      </c>
      <c r="I77" s="2" t="inlineStr">
        <is>
          <t>Retirada y recuperacion de pavimento protegido de Nolla en el edificio "casa de los caramelos" ubicado en calle muro de Santa Ana 6 y calle Conde Trenor 7 en Valencia</t>
        </is>
      </c>
      <c r="J77" s="2" t="inlineStr">
        <is>
          <t>TSA0075949</t>
        </is>
      </c>
      <c r="K77" s="2" t="inlineStr">
        <is>
          <t>Abierto simplificado</t>
        </is>
      </c>
      <c r="L77" s="6" t="n">
        <v>3</v>
      </c>
      <c r="M77" s="2" t="inlineStr">
        <is>
          <t>C6-1</t>
        </is>
      </c>
      <c r="N77" s="7" t="n">
        <v>0</v>
      </c>
      <c r="O77" s="4" t="n"/>
      <c r="P77" s="2" t="inlineStr">
        <is>
          <t>45454100</t>
        </is>
      </c>
      <c r="Q77" s="8" t="inlineStr">
        <is>
          <t>Ver</t>
        </is>
      </c>
      <c r="R77" s="8" t="inlineStr">
        <is>
          <t>PCAP</t>
        </is>
      </c>
      <c r="S77" s="9" t="n">
        <v>46324</v>
      </c>
      <c r="T77" s="3" t="n">
        <v>46323.52898148148</v>
      </c>
      <c r="U77" s="2" t="n"/>
    </row>
    <row r="78">
      <c r="A78" s="2" t="inlineStr">
        <is>
          <t>Adjudicada</t>
        </is>
      </c>
      <c r="B78" s="3" t="n">
        <v>46287.99930555555</v>
      </c>
      <c r="C78" s="5" t="n">
        <v>1537023.77</v>
      </c>
      <c r="D78" s="5" t="n">
        <v>1537023.77</v>
      </c>
      <c r="E78" s="2" t="inlineStr">
        <is>
          <t>Andalucía</t>
        </is>
      </c>
      <c r="F78" s="2" t="inlineStr">
        <is>
          <t>Córdoba</t>
        </is>
      </c>
      <c r="G78" s="2" t="n"/>
      <c r="H78" s="2" t="inlineStr">
        <is>
          <t>Junta de Gobierno del Ayuntamiento de Córdoba</t>
        </is>
      </c>
      <c r="I78" s="2" t="inlineStr">
        <is>
          <t>Obras de conservación y adecuación al cambio climático de 13 colegios de Córdoba.</t>
        </is>
      </c>
      <c r="J78" s="2" t="inlineStr">
        <is>
          <t>2026/086</t>
        </is>
      </c>
      <c r="K78" s="2" t="inlineStr">
        <is>
          <t>Abierto</t>
        </is>
      </c>
      <c r="L78" s="6" t="n">
        <v>4</v>
      </c>
      <c r="M78" s="2" t="n"/>
      <c r="N78" s="7" t="n">
        <v>0</v>
      </c>
      <c r="O78" s="4" t="n">
        <v>6</v>
      </c>
      <c r="P78" s="2" t="inlineStr">
        <is>
          <t>45000000; 45330000; 45420000; 45261420; 44410000; 45223800; 45261400; 45262520; 44110000; 45310000; 44810000; 45343220</t>
        </is>
      </c>
      <c r="Q78" s="8" t="inlineStr">
        <is>
          <t>Ver</t>
        </is>
      </c>
      <c r="R78" s="8" t="inlineStr">
        <is>
          <t>PCAP</t>
        </is>
      </c>
      <c r="S78" s="9" t="n">
        <v>46310</v>
      </c>
      <c r="T78" s="3" t="n">
        <v>46323.52799768518</v>
      </c>
      <c r="U78" s="2" t="n"/>
    </row>
    <row r="79">
      <c r="A79" s="2" t="inlineStr">
        <is>
          <t>En plazo</t>
        </is>
      </c>
      <c r="B79" s="3" t="n">
        <v>46324.99930555555</v>
      </c>
      <c r="C79" s="5" t="n">
        <v>193083.2</v>
      </c>
      <c r="D79" s="5" t="n">
        <v>193083.2</v>
      </c>
      <c r="E79" s="2" t="inlineStr">
        <is>
          <t>Comunitat Valenciana</t>
        </is>
      </c>
      <c r="F79" s="2" t="inlineStr">
        <is>
          <t>Valencia</t>
        </is>
      </c>
      <c r="G79" s="2" t="n"/>
      <c r="H79" s="2" t="inlineStr">
        <is>
          <t>Junta de Gobierno del Ayuntamiento de Picanya</t>
        </is>
      </c>
      <c r="I79" s="2" t="inlineStr">
        <is>
          <t>Contrato de obras de rehabilitación y subsanación de desperfectos sufridos en la biblioteca municipal de Picanya tras la DANA</t>
        </is>
      </c>
      <c r="J79" s="2" t="inlineStr">
        <is>
          <t>2886786A</t>
        </is>
      </c>
      <c r="K79" s="2" t="inlineStr">
        <is>
          <t>Abierto</t>
        </is>
      </c>
      <c r="L79" s="6" t="n">
        <v>4</v>
      </c>
      <c r="M79" s="2" t="n"/>
      <c r="N79" s="7" t="n">
        <v>0.45</v>
      </c>
      <c r="O79" s="4" t="n"/>
      <c r="P79" s="2" t="inlineStr">
        <is>
          <t>45000000; 45262520; 45430000; 45200000</t>
        </is>
      </c>
      <c r="Q79" s="8" t="inlineStr">
        <is>
          <t>Ver</t>
        </is>
      </c>
      <c r="R79" s="8" t="inlineStr">
        <is>
          <t>PCAP</t>
        </is>
      </c>
      <c r="S79" s="9" t="n">
        <v>46314</v>
      </c>
      <c r="T79" s="3" t="n">
        <v>46323.52783564815</v>
      </c>
      <c r="U79" s="2" t="n"/>
    </row>
    <row r="80">
      <c r="A80" s="2" t="inlineStr">
        <is>
          <t>Pendiente de adjudicación</t>
        </is>
      </c>
      <c r="B80" s="3" t="n">
        <v>46316.99930555555</v>
      </c>
      <c r="C80" s="5" t="n">
        <v>247008.56</v>
      </c>
      <c r="D80" s="5" t="n">
        <v>247008.56</v>
      </c>
      <c r="E80" s="2" t="inlineStr">
        <is>
          <t>Andalucía</t>
        </is>
      </c>
      <c r="F80" s="2" t="inlineStr">
        <is>
          <t>Granada</t>
        </is>
      </c>
      <c r="G80" s="2" t="inlineStr">
        <is>
          <t>PINOS GENIL</t>
        </is>
      </c>
      <c r="H80" s="2" t="inlineStr">
        <is>
          <t>Presidencia de la Diputación Provincial de Granada</t>
        </is>
      </c>
      <c r="I80" s="2" t="inlineStr">
        <is>
          <t>2024/4/PPOYS-138-C "Pinos Genil, remodelación de la Plaza de España y su entorno"</t>
        </is>
      </c>
      <c r="J80" s="2" t="inlineStr">
        <is>
          <t>OB-076/26</t>
        </is>
      </c>
      <c r="K80" s="2" t="inlineStr">
        <is>
          <t>Abierto simplificado</t>
        </is>
      </c>
      <c r="L80" s="6" t="n">
        <v>5.5</v>
      </c>
      <c r="M80" s="2" t="inlineStr">
        <is>
          <t>E7-2; I1-2; G6-2</t>
        </is>
      </c>
      <c r="N80" s="7" t="n">
        <v>0</v>
      </c>
      <c r="O80" s="4" t="n"/>
      <c r="P80" s="2" t="inlineStr">
        <is>
          <t>45231100; 45233252</t>
        </is>
      </c>
      <c r="Q80" s="8" t="inlineStr">
        <is>
          <t>Ver</t>
        </is>
      </c>
      <c r="R80" s="8" t="inlineStr">
        <is>
          <t>PCAP</t>
        </is>
      </c>
      <c r="S80" s="9" t="n">
        <v>46324</v>
      </c>
      <c r="T80" s="3" t="n">
        <v>46323.52537037037</v>
      </c>
      <c r="U80" s="2" t="n"/>
    </row>
    <row r="81">
      <c r="A81" s="2" t="inlineStr">
        <is>
          <t>Adjudicada</t>
        </is>
      </c>
      <c r="B81" s="3" t="n">
        <v>46294.99930555555</v>
      </c>
      <c r="C81" s="5" t="n">
        <v>212939.42</v>
      </c>
      <c r="D81" s="5" t="n">
        <v>212939.42</v>
      </c>
      <c r="E81" s="2" t="inlineStr">
        <is>
          <t>Andalucía</t>
        </is>
      </c>
      <c r="F81" s="2" t="inlineStr">
        <is>
          <t>Cádiz</t>
        </is>
      </c>
      <c r="G81" s="2" t="inlineStr">
        <is>
          <t>Olvera</t>
        </is>
      </c>
      <c r="H81" s="2" t="inlineStr">
        <is>
          <t>Junta de Gobierno del Ayuntamiento de Olvera</t>
        </is>
      </c>
      <c r="I81" s="2" t="inlineStr">
        <is>
          <t>Tercera fase del proyecto para la Recuperación y Puesta en valor del edificio municipal "Rancho Grande"</t>
        </is>
      </c>
      <c r="J81" s="2" t="inlineStr">
        <is>
          <t>1735/2026</t>
        </is>
      </c>
      <c r="K81" s="2" t="inlineStr">
        <is>
          <t>Abierto simplificado</t>
        </is>
      </c>
      <c r="L81" s="6" t="n">
        <v>12</v>
      </c>
      <c r="M81" s="2" t="n"/>
      <c r="N81" s="7" t="n">
        <v>0</v>
      </c>
      <c r="O81" s="4" t="n"/>
      <c r="P81" s="2" t="inlineStr">
        <is>
          <t>45000000</t>
        </is>
      </c>
      <c r="Q81" s="8" t="inlineStr">
        <is>
          <t>Ver</t>
        </is>
      </c>
      <c r="R81" s="8" t="inlineStr">
        <is>
          <t>PCAP</t>
        </is>
      </c>
      <c r="S81" s="9" t="n">
        <v>46324</v>
      </c>
      <c r="T81" s="3" t="n">
        <v>46323.52515046296</v>
      </c>
      <c r="U81" s="2" t="n"/>
    </row>
    <row r="82">
      <c r="A82" s="2" t="inlineStr">
        <is>
          <t>En plazo</t>
        </is>
      </c>
      <c r="B82" s="3" t="n">
        <v>46342.58333333334</v>
      </c>
      <c r="C82" s="5" t="n">
        <v>230882.72</v>
      </c>
      <c r="D82" s="5" t="n">
        <v>232822.91</v>
      </c>
      <c r="E82" s="2" t="inlineStr">
        <is>
          <t>Comunitat Valenciana</t>
        </is>
      </c>
      <c r="F82" s="2" t="inlineStr">
        <is>
          <t>Valencia</t>
        </is>
      </c>
      <c r="G82" s="2" t="n"/>
      <c r="H82" s="2" t="inlineStr">
        <is>
          <t>Gestión y Servicios de Paterna S.L.U.</t>
        </is>
      </c>
      <c r="I82" s="2" t="inlineStr">
        <is>
          <t>Contratación de la ejecución de las obras de mejora paisajística en el exterior del Parque Central.</t>
        </is>
      </c>
      <c r="J82" s="2" t="inlineStr">
        <is>
          <t>LI48-26</t>
        </is>
      </c>
      <c r="K82" s="2" t="inlineStr">
        <is>
          <t>Abierto simplificado</t>
        </is>
      </c>
      <c r="L82" s="6" t="n">
        <v>3</v>
      </c>
      <c r="M82" s="2" t="n"/>
      <c r="N82" s="7" t="n">
        <v>0.15</v>
      </c>
      <c r="O82" s="4" t="n"/>
      <c r="P82" s="2" t="inlineStr">
        <is>
          <t>45000000; 45112720; 45236290</t>
        </is>
      </c>
      <c r="Q82" s="8" t="inlineStr">
        <is>
          <t>Ver</t>
        </is>
      </c>
      <c r="R82" s="8" t="inlineStr">
        <is>
          <t>PCAP</t>
        </is>
      </c>
      <c r="S82" s="9" t="n">
        <v>46323</v>
      </c>
      <c r="T82" s="3" t="n">
        <v>46323.52387731482</v>
      </c>
      <c r="U82" s="2" t="n"/>
    </row>
    <row r="83">
      <c r="A83" s="2" t="inlineStr">
        <is>
          <t>Resuelta</t>
        </is>
      </c>
      <c r="B83" s="3" t="n">
        <v>46247.75</v>
      </c>
      <c r="C83" s="5" t="n">
        <v>93300</v>
      </c>
      <c r="D83" s="5" t="n">
        <v>93300</v>
      </c>
      <c r="E83" s="2" t="inlineStr">
        <is>
          <t>Comunitat Valenciana</t>
        </is>
      </c>
      <c r="F83" s="2" t="inlineStr">
        <is>
          <t>Alicante</t>
        </is>
      </c>
      <c r="G83" s="2" t="n"/>
      <c r="H83" s="2" t="inlineStr">
        <is>
          <t>Empresa de Transformación Agraria S.A.,S.M.E., M.P., (TRAGSA)</t>
        </is>
      </c>
      <c r="I83" s="2" t="inlineStr">
        <is>
          <t>UT2-contrato derivado del acuerdo marco para arrendamiento de maquinaria autopropulsada con conductor en "proyecto de mejora de la capacidad hidráulica en la vega baja del río segura. corredor verde azarbe el señor. fase 1" Nº 0745114 CORREDOR VERDE AZARBE I, PRTR</t>
        </is>
      </c>
      <c r="J83" s="2" t="inlineStr">
        <is>
          <t>TSA0082640-026</t>
        </is>
      </c>
      <c r="K83" s="2" t="inlineStr">
        <is>
          <t>Abierto</t>
        </is>
      </c>
      <c r="L83" s="6" t="n">
        <v>9</v>
      </c>
      <c r="M83" s="2" t="n"/>
      <c r="N83" s="7" t="n">
        <v>0</v>
      </c>
      <c r="O83" s="4" t="n"/>
      <c r="P83" s="2" t="inlineStr">
        <is>
          <t>45500000</t>
        </is>
      </c>
      <c r="Q83" s="8" t="inlineStr">
        <is>
          <t>Ver</t>
        </is>
      </c>
      <c r="R83" s="8" t="inlineStr">
        <is>
          <t>PCAP</t>
        </is>
      </c>
      <c r="S83" s="9" t="n">
        <v>46324</v>
      </c>
      <c r="T83" s="3" t="n">
        <v>46323.52386574074</v>
      </c>
      <c r="U83" s="2" t="n"/>
    </row>
    <row r="84">
      <c r="A84" s="2" t="inlineStr">
        <is>
          <t>En plazo</t>
        </is>
      </c>
      <c r="B84" s="3" t="n">
        <v>46342.54166666666</v>
      </c>
      <c r="C84" s="5" t="n">
        <v>118737.89</v>
      </c>
      <c r="D84" s="5" t="n">
        <v>118737.89</v>
      </c>
      <c r="E84" s="2" t="inlineStr">
        <is>
          <t>Comunitat Valenciana</t>
        </is>
      </c>
      <c r="F84" s="2" t="inlineStr">
        <is>
          <t>Alicante</t>
        </is>
      </c>
      <c r="G84" s="2" t="n"/>
      <c r="H84" s="2" t="inlineStr">
        <is>
          <t>Junta de Gobierno Local del Ayuntamiento de Alicante</t>
        </is>
      </c>
      <c r="I84" s="2" t="inlineStr">
        <is>
          <t>Obras comprendidas en el proyecto de intervención en el foso del Albacar d¿Enmig, castillo de Santa Bárbara de Alicante</t>
        </is>
      </c>
      <c r="J84" s="2" t="inlineStr">
        <is>
          <t>18/26</t>
        </is>
      </c>
      <c r="K84" s="2" t="inlineStr">
        <is>
          <t>Abierto</t>
        </is>
      </c>
      <c r="L84" s="6" t="n">
        <v>5</v>
      </c>
      <c r="M84" s="2" t="n"/>
      <c r="N84" s="7" t="n">
        <v>0.4</v>
      </c>
      <c r="O84" s="4" t="n"/>
      <c r="P84" s="2" t="inlineStr">
        <is>
          <t>45454100; 45212350</t>
        </is>
      </c>
      <c r="Q84" s="8" t="inlineStr">
        <is>
          <t>Ver</t>
        </is>
      </c>
      <c r="R84" s="8" t="inlineStr">
        <is>
          <t>PCAP</t>
        </is>
      </c>
      <c r="S84" s="9" t="n">
        <v>46315</v>
      </c>
      <c r="T84" s="3" t="n">
        <v>46323.52144675926</v>
      </c>
      <c r="U84" s="2" t="n"/>
    </row>
    <row r="85">
      <c r="A85" s="2" t="inlineStr">
        <is>
          <t>Resuelta</t>
        </is>
      </c>
      <c r="B85" s="3" t="n">
        <v>46316.5</v>
      </c>
      <c r="C85" s="5" t="n">
        <v>38705.83</v>
      </c>
      <c r="D85" s="5" t="n">
        <v>38705.83</v>
      </c>
      <c r="E85" s="2" t="inlineStr">
        <is>
          <t>Andalucía</t>
        </is>
      </c>
      <c r="F85" s="2" t="inlineStr">
        <is>
          <t>Almería</t>
        </is>
      </c>
      <c r="G85" s="2" t="n"/>
      <c r="H85" s="2" t="inlineStr">
        <is>
          <t>Jefatura de Intendencia de Asuntos Económicos Sur</t>
        </is>
      </c>
      <c r="I85" s="2" t="inlineStr">
        <is>
          <t>OBRA TC 201-20/24 de pintura de la fachada principal del edificio A, RLM Misericordia. Almeria</t>
        </is>
      </c>
      <c r="J85" s="2" t="inlineStr">
        <is>
          <t>2026/ETSAE0226/00007846E</t>
        </is>
      </c>
      <c r="K85" s="2" t="inlineStr">
        <is>
          <t>Abierto</t>
        </is>
      </c>
      <c r="L85" s="6" t="n">
        <v>3</v>
      </c>
      <c r="M85" s="2" t="n"/>
      <c r="N85" s="7" t="n">
        <v>0</v>
      </c>
      <c r="O85" s="4" t="n"/>
      <c r="P85" s="2" t="inlineStr">
        <is>
          <t>45262650</t>
        </is>
      </c>
      <c r="Q85" s="8" t="inlineStr">
        <is>
          <t>Ver</t>
        </is>
      </c>
      <c r="R85" s="8" t="inlineStr">
        <is>
          <t>PCAP</t>
        </is>
      </c>
      <c r="S85" s="9" t="n">
        <v>46324</v>
      </c>
      <c r="T85" s="3" t="n">
        <v>46323.51693287037</v>
      </c>
      <c r="U85" s="2" t="n"/>
    </row>
    <row r="86">
      <c r="A86" s="2" t="inlineStr">
        <is>
          <t>Resuelta</t>
        </is>
      </c>
      <c r="B86" s="3" t="n">
        <v>46008.99930555555</v>
      </c>
      <c r="C86" s="5" t="n">
        <v>1370174.4</v>
      </c>
      <c r="D86" s="5" t="n">
        <v>1370174.4</v>
      </c>
      <c r="E86" s="2" t="inlineStr">
        <is>
          <t>Andalucía</t>
        </is>
      </c>
      <c r="F86" s="2" t="inlineStr">
        <is>
          <t>Sevilla</t>
        </is>
      </c>
      <c r="G86" s="2" t="inlineStr">
        <is>
          <t>MAIRENA DEL ALCOR</t>
        </is>
      </c>
      <c r="H86"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86" s="2" t="inlineStr">
        <is>
          <t>Proyecto de Ampliación del Centro Cívico Antonio Machado-Ciudad de la Música de Mairena del Alcor Actuación PAI 2, Acción 2.3</t>
        </is>
      </c>
      <c r="J86" s="2" t="inlineStr">
        <is>
          <t>5671/2025</t>
        </is>
      </c>
      <c r="K86" s="2" t="inlineStr">
        <is>
          <t>Abierto simplificado</t>
        </is>
      </c>
      <c r="L86" s="6" t="n">
        <v>12</v>
      </c>
      <c r="M86" s="2" t="inlineStr">
        <is>
          <t>C*-4</t>
        </is>
      </c>
      <c r="N86" s="7" t="n">
        <v>0</v>
      </c>
      <c r="O86" s="4" t="n"/>
      <c r="P86" s="2" t="inlineStr">
        <is>
          <t>45215222</t>
        </is>
      </c>
      <c r="Q86" s="8" t="inlineStr">
        <is>
          <t>Ver</t>
        </is>
      </c>
      <c r="R86" s="8" t="inlineStr">
        <is>
          <t>PCAP</t>
        </is>
      </c>
      <c r="S86" s="9" t="n">
        <v>46324</v>
      </c>
      <c r="T86" s="3" t="n">
        <v>46323.51266203704</v>
      </c>
      <c r="U86" s="2" t="n"/>
    </row>
    <row r="87">
      <c r="A87" s="2" t="inlineStr">
        <is>
          <t>Resuelta</t>
        </is>
      </c>
      <c r="B87" s="3" t="n">
        <v>46247.75</v>
      </c>
      <c r="C87" s="5" t="n">
        <v>41080</v>
      </c>
      <c r="D87" s="5" t="n">
        <v>41080</v>
      </c>
      <c r="E87" s="2" t="inlineStr">
        <is>
          <t>Comunitat Valenciana</t>
        </is>
      </c>
      <c r="F87" s="2" t="inlineStr">
        <is>
          <t>Alicante</t>
        </is>
      </c>
      <c r="G87" s="2" t="n"/>
      <c r="H87" s="2" t="inlineStr">
        <is>
          <t>Empresa de Transformación Agraria S.A.,S.M.E., M.P., (TRAGSA)</t>
        </is>
      </c>
      <c r="I87" s="2" t="inlineStr">
        <is>
          <t>UT2-contrato derivado del acuerdo marco para arrendamiento de maquinaria autopropulsada con conductor en "proyecto de mejora de la capacidad hidráulica en la vega baja del río segura. corredor verde azarbe el señor. fase 1" Nº 0745114 CORREDOR VERDE AZARBE I, PRTR</t>
        </is>
      </c>
      <c r="J87" s="2" t="inlineStr">
        <is>
          <t>TSA0082640-024</t>
        </is>
      </c>
      <c r="K87" s="2" t="inlineStr">
        <is>
          <t>Abierto</t>
        </is>
      </c>
      <c r="L87" s="6" t="n">
        <v>9</v>
      </c>
      <c r="M87" s="2" t="n"/>
      <c r="N87" s="7" t="n">
        <v>0</v>
      </c>
      <c r="O87" s="4" t="n"/>
      <c r="P87" s="2" t="inlineStr">
        <is>
          <t>45500000</t>
        </is>
      </c>
      <c r="Q87" s="8" t="inlineStr">
        <is>
          <t>Ver</t>
        </is>
      </c>
      <c r="R87" s="8" t="inlineStr">
        <is>
          <t>PCAP</t>
        </is>
      </c>
      <c r="S87" s="9" t="n">
        <v>46324</v>
      </c>
      <c r="T87" s="3" t="n">
        <v>46323.51230324074</v>
      </c>
      <c r="U87" s="2" t="n"/>
    </row>
    <row r="88">
      <c r="A88" s="2" t="inlineStr">
        <is>
          <t>Resuelta</t>
        </is>
      </c>
      <c r="B88" s="3" t="n">
        <v>45831.99930555555</v>
      </c>
      <c r="C88" s="5" t="n">
        <v>118458.03</v>
      </c>
      <c r="D88" s="5" t="n">
        <v>118458.03</v>
      </c>
      <c r="E88" s="2" t="inlineStr">
        <is>
          <t>Andalucía</t>
        </is>
      </c>
      <c r="F88" s="2" t="inlineStr">
        <is>
          <t>Sevilla</t>
        </is>
      </c>
      <c r="G88" s="2" t="inlineStr">
        <is>
          <t>MAIRENA DEL ALCOR</t>
        </is>
      </c>
      <c r="H88"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88" s="2" t="inlineStr">
        <is>
          <t>Demolición de varios edificios situados en calle Pedro Crespo 55 con un total de 1.342,00 m², con el objeto posteriormente de construir y albergar en la parcela un complejo social e inclusivo para personas con diversidad funcional en Mairena del Alcor</t>
        </is>
      </c>
      <c r="J88" s="2" t="inlineStr">
        <is>
          <t>5999/2024</t>
        </is>
      </c>
      <c r="K88" s="2" t="inlineStr">
        <is>
          <t>Abierto simplificado</t>
        </is>
      </c>
      <c r="L88" s="6" t="n">
        <v>2</v>
      </c>
      <c r="M88" s="2" t="n"/>
      <c r="N88" s="7" t="n">
        <v>0</v>
      </c>
      <c r="O88" s="4" t="n"/>
      <c r="P88" s="2" t="inlineStr">
        <is>
          <t>45110000</t>
        </is>
      </c>
      <c r="Q88" s="8" t="inlineStr">
        <is>
          <t>Ver</t>
        </is>
      </c>
      <c r="R88" s="8" t="inlineStr">
        <is>
          <t>PCAP</t>
        </is>
      </c>
      <c r="S88" s="9" t="n">
        <v>46324</v>
      </c>
      <c r="T88" s="3" t="n">
        <v>46323.51224537037</v>
      </c>
      <c r="U88" s="2" t="n"/>
    </row>
    <row r="89">
      <c r="A89" s="2" t="inlineStr">
        <is>
          <t>Resuelta</t>
        </is>
      </c>
      <c r="B89" s="3" t="n">
        <v>46133.99930555555</v>
      </c>
      <c r="C89" s="5" t="n">
        <v>3364755.19</v>
      </c>
      <c r="D89" s="5" t="n">
        <v>3364755.19</v>
      </c>
      <c r="E89" s="2" t="inlineStr">
        <is>
          <t>Andalucía</t>
        </is>
      </c>
      <c r="F89" s="2" t="inlineStr">
        <is>
          <t>Sevilla</t>
        </is>
      </c>
      <c r="G89" s="2" t="inlineStr">
        <is>
          <t>MAIRENA DEL ALCOR</t>
        </is>
      </c>
      <c r="H89" s="2" t="inlineStr">
        <is>
          <t>Pleno del Ayuntamiento de Mairena del Alcor</t>
        </is>
      </c>
      <c r="I89" s="2" t="inlineStr">
        <is>
          <t>Ejecucion de Complejo Social e Inclusivo en Calle Pedro Crespo, nº 55 en Mairena del Alcor PAI 2 Accion 2.1</t>
        </is>
      </c>
      <c r="J89" s="2" t="inlineStr">
        <is>
          <t>6692/2024</t>
        </is>
      </c>
      <c r="K89" s="2" t="inlineStr">
        <is>
          <t>Abierto</t>
        </is>
      </c>
      <c r="L89" s="6" t="n">
        <v>24</v>
      </c>
      <c r="M89" s="2" t="inlineStr">
        <is>
          <t>C*-5</t>
        </is>
      </c>
      <c r="N89" s="7" t="n">
        <v>0</v>
      </c>
      <c r="O89" s="4" t="n"/>
      <c r="P89" s="2" t="inlineStr">
        <is>
          <t>45215200; 45215100</t>
        </is>
      </c>
      <c r="Q89" s="8" t="inlineStr">
        <is>
          <t>Ver</t>
        </is>
      </c>
      <c r="R89" s="8" t="inlineStr">
        <is>
          <t>PCAP</t>
        </is>
      </c>
      <c r="S89" s="9" t="n">
        <v>46324</v>
      </c>
      <c r="T89" s="3" t="n">
        <v>46323.51179398148</v>
      </c>
      <c r="U89" s="2" t="n"/>
    </row>
    <row r="90">
      <c r="A90" s="2" t="inlineStr">
        <is>
          <t>En plazo</t>
        </is>
      </c>
      <c r="B90" s="3" t="n">
        <v>46349.99930555555</v>
      </c>
      <c r="C90" s="5" t="n">
        <v>4566296.26</v>
      </c>
      <c r="D90" s="5" t="n">
        <v>4566296.26</v>
      </c>
      <c r="E90" s="2" t="inlineStr">
        <is>
          <t>Andalucía</t>
        </is>
      </c>
      <c r="F90" s="2" t="inlineStr">
        <is>
          <t>Granada</t>
        </is>
      </c>
      <c r="G90" s="2" t="inlineStr">
        <is>
          <t>OGIJARES</t>
        </is>
      </c>
      <c r="H90" s="2" t="inlineStr">
        <is>
          <t>Presidencia de la Diputación Provincial de Granada</t>
        </is>
      </c>
      <c r="I90" s="2" t="inlineStr">
        <is>
          <t>Refundido final urbanización del Plan Especial "La Aurora" en Ogíjares.</t>
        </is>
      </c>
      <c r="J90" s="2" t="inlineStr">
        <is>
          <t>OB-037/26</t>
        </is>
      </c>
      <c r="K90" s="2" t="inlineStr">
        <is>
          <t>Abierto</t>
        </is>
      </c>
      <c r="L90" s="6" t="n">
        <v>18</v>
      </c>
      <c r="M90" s="2" t="inlineStr">
        <is>
          <t>E7-3; I9-4; G6-4</t>
        </is>
      </c>
      <c r="N90" s="7" t="n">
        <v>0</v>
      </c>
      <c r="O90" s="4" t="n"/>
      <c r="P90" s="2" t="inlineStr">
        <is>
          <t>45220000; 45232200; 45232410; 45233252; 45316110; 45233140; 45232150</t>
        </is>
      </c>
      <c r="Q90" s="8" t="inlineStr">
        <is>
          <t>Ver</t>
        </is>
      </c>
      <c r="R90" s="8" t="inlineStr">
        <is>
          <t>PCAP</t>
        </is>
      </c>
      <c r="S90" s="9" t="n">
        <v>46310</v>
      </c>
      <c r="T90" s="3" t="n">
        <v>46323.5116550926</v>
      </c>
      <c r="U90" s="2" t="inlineStr">
        <is>
          <t>2026-10-29: plazo 2026-11-09 23:59 → 2026-11-23 23:59</t>
        </is>
      </c>
    </row>
    <row r="91">
      <c r="A91" s="2" t="inlineStr">
        <is>
          <t>Resuelta</t>
        </is>
      </c>
      <c r="B91" s="3" t="n">
        <v>46146.99930555555</v>
      </c>
      <c r="C91" s="5" t="n">
        <v>1590562.03</v>
      </c>
      <c r="D91" s="5" t="n">
        <v>1590562.03</v>
      </c>
      <c r="E91" s="2" t="inlineStr">
        <is>
          <t>Andalucía</t>
        </is>
      </c>
      <c r="F91" s="2" t="inlineStr">
        <is>
          <t>Sevilla</t>
        </is>
      </c>
      <c r="G91" s="2" t="inlineStr">
        <is>
          <t>MAIRENA DEL ALCOR</t>
        </is>
      </c>
      <c r="H91"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91" s="2" t="inlineStr">
        <is>
          <t>Obra del Proyecto de Construccion de Centro Civico El Prior, en Mairena del Alcor actuación PAI2-Accion 2.2</t>
        </is>
      </c>
      <c r="J91" s="2" t="inlineStr">
        <is>
          <t>8618/2025</t>
        </is>
      </c>
      <c r="K91" s="2" t="inlineStr">
        <is>
          <t>Abierto simplificado</t>
        </is>
      </c>
      <c r="L91" s="6" t="n">
        <v>11</v>
      </c>
      <c r="M91" s="2" t="inlineStr">
        <is>
          <t>C*-4</t>
        </is>
      </c>
      <c r="N91" s="7" t="n">
        <v>0</v>
      </c>
      <c r="O91" s="4" t="n"/>
      <c r="P91" s="2" t="inlineStr">
        <is>
          <t>45215222</t>
        </is>
      </c>
      <c r="Q91" s="8" t="inlineStr">
        <is>
          <t>Ver</t>
        </is>
      </c>
      <c r="R91" s="8" t="inlineStr">
        <is>
          <t>PCAP</t>
        </is>
      </c>
      <c r="S91" s="9" t="n">
        <v>46324</v>
      </c>
      <c r="T91" s="3" t="n">
        <v>46323.51133101852</v>
      </c>
      <c r="U91" s="2" t="n"/>
    </row>
    <row r="92">
      <c r="A92" s="2" t="inlineStr">
        <is>
          <t>Resuelta</t>
        </is>
      </c>
      <c r="B92" s="3" t="n">
        <v>45127.58333333334</v>
      </c>
      <c r="C92" s="5" t="n">
        <v>302704.23</v>
      </c>
      <c r="D92" s="5" t="n">
        <v>302704.23</v>
      </c>
      <c r="E92" s="2" t="inlineStr">
        <is>
          <t>Comunitat Valenciana</t>
        </is>
      </c>
      <c r="F92" s="2" t="inlineStr">
        <is>
          <t>Valencia</t>
        </is>
      </c>
      <c r="G92" s="2" t="n"/>
      <c r="H92" s="2" t="inlineStr">
        <is>
          <t>Empresa de Transformación Agraria S.A.,S.M.E., M.P., (TRAGSA)</t>
        </is>
      </c>
      <c r="I92" s="2" t="inlineStr">
        <is>
          <t>Obra de suministro y ejecución de la instalación solar fotovoltaica de autoconsumo para la obra “servicio de colaboracion logística, gestión complementaria y acompañamiento en la organización del servicio de bomberos forestales. fase vi. Valencia”</t>
        </is>
      </c>
      <c r="J92" s="2" t="inlineStr">
        <is>
          <t>TSA0075911</t>
        </is>
      </c>
      <c r="K92" s="2" t="inlineStr">
        <is>
          <t>Abierto simplificado</t>
        </is>
      </c>
      <c r="L92" s="6" t="n">
        <v>12</v>
      </c>
      <c r="M92" s="2" t="inlineStr">
        <is>
          <t>I9-2</t>
        </is>
      </c>
      <c r="N92" s="7" t="n">
        <v>0</v>
      </c>
      <c r="O92" s="4" t="n"/>
      <c r="P92" s="2" t="inlineStr">
        <is>
          <t>45310000</t>
        </is>
      </c>
      <c r="Q92" s="8" t="inlineStr">
        <is>
          <t>Ver</t>
        </is>
      </c>
      <c r="R92" s="8" t="inlineStr">
        <is>
          <t>PCAP</t>
        </is>
      </c>
      <c r="S92" s="9" t="n">
        <v>46324</v>
      </c>
      <c r="T92" s="3" t="n">
        <v>46323.50675925926</v>
      </c>
      <c r="U92" s="2" t="n"/>
    </row>
    <row r="93">
      <c r="A93" s="2" t="inlineStr">
        <is>
          <t>Resuelta</t>
        </is>
      </c>
      <c r="B93" s="3" t="n">
        <v>46303.45833333334</v>
      </c>
      <c r="C93" s="5" t="n">
        <v>5785.12</v>
      </c>
      <c r="D93" s="5" t="n">
        <v>5785.12</v>
      </c>
      <c r="E93" s="2" t="inlineStr">
        <is>
          <t>Comunitat Valenciana</t>
        </is>
      </c>
      <c r="F93" s="2" t="inlineStr">
        <is>
          <t>Valencia</t>
        </is>
      </c>
      <c r="G93" s="2" t="inlineStr">
        <is>
          <t>Bétera</t>
        </is>
      </c>
      <c r="H93" s="2" t="inlineStr">
        <is>
          <t>Jefatura de Intendencia de Asuntos Económicos Este</t>
        </is>
      </c>
      <c r="I93" s="2" t="inlineStr">
        <is>
          <t>Reparación deficiencias de una nave de alojamiento en USBA Jaime I en Valencia.</t>
        </is>
      </c>
      <c r="J93" s="2" t="inlineStr">
        <is>
          <t>2026/ETSAE0327/00006161E</t>
        </is>
      </c>
      <c r="K93" s="2" t="inlineStr">
        <is>
          <t>Abierto</t>
        </is>
      </c>
      <c r="L93" s="6" t="n">
        <v>1</v>
      </c>
      <c r="M93" s="2" t="n"/>
      <c r="N93" s="7" t="n">
        <v>0</v>
      </c>
      <c r="O93" s="4" t="n"/>
      <c r="P93" s="2" t="inlineStr">
        <is>
          <t>45300000</t>
        </is>
      </c>
      <c r="Q93" s="8" t="inlineStr">
        <is>
          <t>Ver</t>
        </is>
      </c>
      <c r="R93" s="8" t="inlineStr">
        <is>
          <t>PCAP</t>
        </is>
      </c>
      <c r="S93" s="9" t="n">
        <v>46324</v>
      </c>
      <c r="T93" s="3" t="n">
        <v>46323.50377314815</v>
      </c>
      <c r="U93" s="2" t="n"/>
    </row>
    <row r="94">
      <c r="A94" s="2" t="inlineStr">
        <is>
          <t>En plazo</t>
        </is>
      </c>
      <c r="B94" s="3" t="n">
        <v>46337.99930555555</v>
      </c>
      <c r="C94" s="5" t="n">
        <v>158520</v>
      </c>
      <c r="D94" s="5" t="n">
        <v>190224</v>
      </c>
      <c r="E94" s="2" t="inlineStr">
        <is>
          <t>Andalucía</t>
        </is>
      </c>
      <c r="F94" s="2" t="inlineStr">
        <is>
          <t>Huelva</t>
        </is>
      </c>
      <c r="G94" s="2" t="inlineStr">
        <is>
          <t>Moguer</t>
        </is>
      </c>
      <c r="H94" s="2" t="inlineStr">
        <is>
          <t>Alcaldía del Ayuntamiento de Moguer</t>
        </is>
      </c>
      <c r="I94" s="2" t="inlineStr">
        <is>
          <t>Obras para el asfaltado de varios caminos rurales del término municipal de Moguer. Dividiéndose el presente contrato en tres lotes: - Lote 1: Camino del Avitorejo. - Lote 2: Camino de Las Peñuelas. - Lote 3: Camino de Las Peñuelas Avitorejo.</t>
        </is>
      </c>
      <c r="J94" s="2" t="inlineStr">
        <is>
          <t>11635/2026 ASFALTADO CAMINOS RURALES</t>
        </is>
      </c>
      <c r="K94" s="2" t="inlineStr">
        <is>
          <t>Abierto</t>
        </is>
      </c>
      <c r="L94" s="6" t="n">
        <v>1</v>
      </c>
      <c r="M94" s="2" t="n"/>
      <c r="N94" s="7" t="n">
        <v>0</v>
      </c>
      <c r="O94" s="4" t="n">
        <v>3</v>
      </c>
      <c r="P94" s="2" t="inlineStr">
        <is>
          <t>45233222</t>
        </is>
      </c>
      <c r="Q94" s="8" t="inlineStr">
        <is>
          <t>Ver</t>
        </is>
      </c>
      <c r="R94" s="8" t="inlineStr">
        <is>
          <t>PCAP</t>
        </is>
      </c>
      <c r="S94" s="9" t="n">
        <v>46314</v>
      </c>
      <c r="T94" s="3" t="n">
        <v>46323.50025462963</v>
      </c>
      <c r="U94" s="2" t="n"/>
    </row>
    <row r="95">
      <c r="A95" s="2" t="inlineStr">
        <is>
          <t>En plazo</t>
        </is>
      </c>
      <c r="B95" s="3" t="n">
        <v>46342.99930555555</v>
      </c>
      <c r="C95" s="5" t="n">
        <v>826105.87</v>
      </c>
      <c r="D95" s="5" t="n">
        <v>826105.87</v>
      </c>
      <c r="E95" s="2" t="inlineStr">
        <is>
          <t>Andalucía</t>
        </is>
      </c>
      <c r="F95" s="2" t="inlineStr">
        <is>
          <t>Sevilla</t>
        </is>
      </c>
      <c r="G95" s="2" t="inlineStr">
        <is>
          <t>Sanlúcar la Mayor</t>
        </is>
      </c>
      <c r="H95" s="2" t="inlineStr">
        <is>
          <t>Alcaldía del Ayuntamiento de Sanlúcar la Mayor</t>
        </is>
      </c>
      <c r="I95" s="2" t="inlineStr">
        <is>
          <t>Obras de Proyecto de Ordenación y rehabilitación Parque Majarocas - Sanlúcar la Mayor (Sevilla)</t>
        </is>
      </c>
      <c r="J95" s="2" t="inlineStr">
        <is>
          <t>2026/CTT_01/000049 - 44/26.- CTOS</t>
        </is>
      </c>
      <c r="K95" s="2" t="inlineStr">
        <is>
          <t>Abierto simplificado</t>
        </is>
      </c>
      <c r="L95" s="6" t="n">
        <v>8</v>
      </c>
      <c r="M95" s="2" t="n"/>
      <c r="N95" s="7" t="n">
        <v>0</v>
      </c>
      <c r="O95" s="4" t="n"/>
      <c r="P95" s="2" t="inlineStr">
        <is>
          <t>45233200; 45233221; 45233140</t>
        </is>
      </c>
      <c r="Q95" s="8" t="inlineStr">
        <is>
          <t>Ver</t>
        </is>
      </c>
      <c r="R95" s="8" t="inlineStr">
        <is>
          <t>PCAP</t>
        </is>
      </c>
      <c r="S95" s="9" t="n">
        <v>46322</v>
      </c>
      <c r="T95" s="3" t="n">
        <v>46323.49769675926</v>
      </c>
      <c r="U95" s="2" t="n"/>
    </row>
    <row r="96">
      <c r="A96" s="2" t="inlineStr">
        <is>
          <t>Pendiente de adjudicación</t>
        </is>
      </c>
      <c r="B96" s="3" t="n">
        <v>46311.99930555555</v>
      </c>
      <c r="C96" s="5" t="n">
        <v>124746.89</v>
      </c>
      <c r="D96" s="5" t="n">
        <v>124746.89</v>
      </c>
      <c r="E96" s="2" t="inlineStr">
        <is>
          <t>Comunitat Valenciana</t>
        </is>
      </c>
      <c r="F96" s="2" t="inlineStr">
        <is>
          <t>Alicante</t>
        </is>
      </c>
      <c r="G96" s="2" t="inlineStr">
        <is>
          <t>Alicante</t>
        </is>
      </c>
      <c r="H96" s="2" t="inlineStr">
        <is>
          <t>Instituto Social de las Fuerzas Armadas (ISFAS)</t>
        </is>
      </c>
      <c r="I96" s="2" t="inlineStr">
        <is>
          <t>Obra de sustitución de la instalación de aire acondicionado en la planta 7ª de la Residencia de Descanso Jorge Juan de Alicante</t>
        </is>
      </c>
      <c r="J96" s="2" t="inlineStr">
        <is>
          <t>2026/IS092/00000541E</t>
        </is>
      </c>
      <c r="K96" s="2" t="inlineStr">
        <is>
          <t>Abierto simplificado</t>
        </is>
      </c>
      <c r="L96" s="6" t="n">
        <v>3</v>
      </c>
      <c r="M96" s="2" t="inlineStr">
        <is>
          <t>J2-2</t>
        </is>
      </c>
      <c r="N96" s="7" t="n">
        <v>0</v>
      </c>
      <c r="O96" s="4" t="n"/>
      <c r="P96" s="2" t="inlineStr">
        <is>
          <t>45331220</t>
        </is>
      </c>
      <c r="Q96" s="8" t="inlineStr">
        <is>
          <t>Ver</t>
        </is>
      </c>
      <c r="R96" s="8" t="inlineStr">
        <is>
          <t>PCAP</t>
        </is>
      </c>
      <c r="S96" s="9" t="n">
        <v>46318</v>
      </c>
      <c r="T96" s="3" t="n">
        <v>46323.4949537037</v>
      </c>
      <c r="U96" s="2" t="n"/>
    </row>
    <row r="97">
      <c r="A97" s="2" t="inlineStr">
        <is>
          <t>Resuelta</t>
        </is>
      </c>
      <c r="B97" s="3" t="n">
        <v>45919.41666666666</v>
      </c>
      <c r="C97" s="5" t="n">
        <v>133452.62</v>
      </c>
      <c r="D97" s="5" t="n">
        <v>145246.63</v>
      </c>
      <c r="E97" s="2" t="inlineStr">
        <is>
          <t>Andalucía</t>
        </is>
      </c>
      <c r="F97" s="2" t="inlineStr">
        <is>
          <t>Cádiz</t>
        </is>
      </c>
      <c r="G97" s="2" t="n"/>
      <c r="H97" s="2" t="inlineStr">
        <is>
          <t>Empresa de Transformación Agraria S.A.,S.M.E., M.P., (TRAGSA)</t>
        </is>
      </c>
      <c r="I97" s="2" t="inlineStr">
        <is>
          <t>Alquiler, montaje y desmontaje de andamio tubular normalizado en la obra de Consolidación del Edificio Valcárcel en Cádiz</t>
        </is>
      </c>
      <c r="J97" s="2" t="inlineStr">
        <is>
          <t>TSA0081474</t>
        </is>
      </c>
      <c r="K97" s="2" t="inlineStr">
        <is>
          <t>Abierto simplificado</t>
        </is>
      </c>
      <c r="L97" s="6" t="n">
        <v>8</v>
      </c>
      <c r="M97" s="2" t="inlineStr">
        <is>
          <t>C3-1</t>
        </is>
      </c>
      <c r="N97" s="7" t="n">
        <v>0</v>
      </c>
      <c r="O97" s="4" t="n"/>
      <c r="P97" s="2" t="inlineStr">
        <is>
          <t>45262100</t>
        </is>
      </c>
      <c r="Q97" s="8" t="inlineStr">
        <is>
          <t>Ver</t>
        </is>
      </c>
      <c r="R97" s="8" t="inlineStr">
        <is>
          <t>PCAP</t>
        </is>
      </c>
      <c r="S97" s="9" t="n">
        <v>46324</v>
      </c>
      <c r="T97" s="3" t="n">
        <v>46323.4943287037</v>
      </c>
      <c r="U97" s="2" t="n"/>
    </row>
    <row r="98">
      <c r="A98" s="2" t="inlineStr">
        <is>
          <t>Adjudicada</t>
        </is>
      </c>
      <c r="B98" s="3" t="n">
        <v>46181.99930555555</v>
      </c>
      <c r="C98" s="5" t="n">
        <v>90380.7</v>
      </c>
      <c r="D98" s="5" t="n">
        <v>90380.7</v>
      </c>
      <c r="E98" s="2" t="inlineStr">
        <is>
          <t>Comunitat Valenciana</t>
        </is>
      </c>
      <c r="F98" s="2" t="inlineStr">
        <is>
          <t>Alicante</t>
        </is>
      </c>
      <c r="G98" s="2" t="n"/>
      <c r="H98" s="2" t="inlineStr">
        <is>
          <t>Presidencia de la Diputación Provincial de Alicante</t>
        </is>
      </c>
      <c r="I98" s="2" t="inlineStr">
        <is>
          <t>Obras de mejora de las zonas ajardinadas y reposición de arbolado, en el municipio de Benimarfull (2020.PLA.075).</t>
        </is>
      </c>
      <c r="J98" s="2" t="inlineStr">
        <is>
          <t>O4S-023/2026</t>
        </is>
      </c>
      <c r="K98" s="2" t="inlineStr">
        <is>
          <t>Abierto simplificado</t>
        </is>
      </c>
      <c r="L98" s="6" t="n">
        <v>4</v>
      </c>
      <c r="M98" s="2" t="n"/>
      <c r="N98" s="7" t="n">
        <v>0</v>
      </c>
      <c r="O98" s="4" t="n"/>
      <c r="P98" s="2" t="inlineStr">
        <is>
          <t>45200000</t>
        </is>
      </c>
      <c r="Q98" s="8" t="inlineStr">
        <is>
          <t>Ver</t>
        </is>
      </c>
      <c r="R98" s="8" t="inlineStr">
        <is>
          <t>PCAP</t>
        </is>
      </c>
      <c r="S98" s="9" t="n">
        <v>46324</v>
      </c>
      <c r="T98" s="3" t="n">
        <v>46323.48998842593</v>
      </c>
      <c r="U98" s="2" t="n"/>
    </row>
    <row r="99">
      <c r="A99" s="2" t="inlineStr">
        <is>
          <t>En plazo</t>
        </is>
      </c>
      <c r="B99" s="3" t="n">
        <v>46338.75</v>
      </c>
      <c r="C99" s="5" t="n">
        <v>1011605.96</v>
      </c>
      <c r="D99" s="5" t="n">
        <v>1011605.96</v>
      </c>
      <c r="E99" s="2" t="inlineStr">
        <is>
          <t>Andalucía</t>
        </is>
      </c>
      <c r="F99" s="2" t="inlineStr">
        <is>
          <t>Almería</t>
        </is>
      </c>
      <c r="G99" s="2" t="inlineStr">
        <is>
          <t>Almería</t>
        </is>
      </c>
      <c r="H99" s="2" t="inlineStr">
        <is>
          <t>Presidencia de la Autoridad Portuaria de Almería</t>
        </is>
      </c>
      <c r="I99" s="2" t="inlineStr">
        <is>
          <t>Adaptación de la infraestructura al cumplimiento de la normativa Entry/Exit System del Puerto de Almería.</t>
        </is>
      </c>
      <c r="J99" s="2" t="inlineStr">
        <is>
          <t>34/O/AS/AL26</t>
        </is>
      </c>
      <c r="K99" s="2" t="inlineStr">
        <is>
          <t>Abierto simplificado</t>
        </is>
      </c>
      <c r="L99" s="6" t="n">
        <v>6</v>
      </c>
      <c r="M99" s="2" t="inlineStr">
        <is>
          <t>I5-2; G4-3</t>
        </is>
      </c>
      <c r="N99" s="7" t="n">
        <v>0.25</v>
      </c>
      <c r="O99" s="4" t="n"/>
      <c r="P99" s="2" t="inlineStr">
        <is>
          <t>45233222; 45314000; 45112100</t>
        </is>
      </c>
      <c r="Q99" s="8" t="inlineStr">
        <is>
          <t>Ver</t>
        </is>
      </c>
      <c r="R99" s="8" t="inlineStr">
        <is>
          <t>PCAP</t>
        </is>
      </c>
      <c r="S99" s="9" t="n">
        <v>46321</v>
      </c>
      <c r="T99" s="3" t="n">
        <v>46323.48631944445</v>
      </c>
      <c r="U99" s="2" t="n"/>
    </row>
    <row r="100">
      <c r="A100" s="2" t="inlineStr">
        <is>
          <t>Adjudicada</t>
        </is>
      </c>
      <c r="B100" s="3" t="n">
        <v>46268.77083333334</v>
      </c>
      <c r="C100" s="5" t="n">
        <v>70951.78999999999</v>
      </c>
      <c r="D100" s="5" t="n">
        <v>70951.78999999999</v>
      </c>
      <c r="E100" s="2" t="inlineStr">
        <is>
          <t>Andalucía</t>
        </is>
      </c>
      <c r="F100" s="2" t="inlineStr">
        <is>
          <t>Málaga</t>
        </is>
      </c>
      <c r="G100" s="2" t="inlineStr">
        <is>
          <t>Periana (Málaga)</t>
        </is>
      </c>
      <c r="H100" s="2" t="inlineStr">
        <is>
          <t>Alcaldía del Ayuntamiento de Periana</t>
        </is>
      </c>
      <c r="I100" s="2" t="inlineStr">
        <is>
          <t>Construcción de vestuarios, aseos y almacén en pistas C.E.I.P. San Isidro de Periana (Málaga).</t>
        </is>
      </c>
      <c r="J100" s="2" t="inlineStr">
        <is>
          <t>2026/815</t>
        </is>
      </c>
      <c r="K100" s="2" t="inlineStr">
        <is>
          <t>Abierto simplificado</t>
        </is>
      </c>
      <c r="L100" s="6" t="n">
        <v>5</v>
      </c>
      <c r="M100" s="2" t="n"/>
      <c r="N100" s="7" t="n">
        <v>0</v>
      </c>
      <c r="O100" s="4" t="n"/>
      <c r="P100" s="2" t="inlineStr">
        <is>
          <t>45000000</t>
        </is>
      </c>
      <c r="Q100" s="8" t="inlineStr">
        <is>
          <t>Ver</t>
        </is>
      </c>
      <c r="R100" s="8" t="inlineStr">
        <is>
          <t>PCAP</t>
        </is>
      </c>
      <c r="S100" s="9" t="n">
        <v>46310</v>
      </c>
      <c r="T100" s="3" t="n">
        <v>46323.48487268519</v>
      </c>
      <c r="U100" s="2" t="inlineStr">
        <is>
          <t>2026-10-29: estado EV → ADJ</t>
        </is>
      </c>
    </row>
    <row r="101">
      <c r="A101" s="2" t="inlineStr">
        <is>
          <t>Resuelta</t>
        </is>
      </c>
      <c r="B101" s="3" t="n">
        <v>46218.75</v>
      </c>
      <c r="C101" s="5" t="n">
        <v>67200</v>
      </c>
      <c r="D101" s="5" t="n">
        <v>67200</v>
      </c>
      <c r="E101" s="2" t="inlineStr">
        <is>
          <t>Comunitat Valenciana</t>
        </is>
      </c>
      <c r="F101" s="2" t="inlineStr">
        <is>
          <t>Alicante</t>
        </is>
      </c>
      <c r="G101" s="2" t="n"/>
      <c r="H101" s="2" t="inlineStr">
        <is>
          <t>Empresa de Transformación Agraria S.A.,S.M.E., M.P., (TRAGSA)</t>
        </is>
      </c>
      <c r="I101" s="2" t="inlineStr">
        <is>
          <t>UT2 contrato derivado del acuerdo marco para el arrendamiento de maquinaria autopropulsada con conductor en el ámbito territorial de la gerencia de alicante durante los años 2026-2029, Nº 0744321 RIO SEGURA. T.M. ROJALES, PRTR</t>
        </is>
      </c>
      <c r="J101" s="2" t="inlineStr">
        <is>
          <t>TSA0082636-039</t>
        </is>
      </c>
      <c r="K101" s="2" t="inlineStr">
        <is>
          <t>Abierto</t>
        </is>
      </c>
      <c r="L101" s="6" t="n">
        <v>6</v>
      </c>
      <c r="M101" s="2" t="n"/>
      <c r="N101" s="7" t="n">
        <v>0</v>
      </c>
      <c r="O101" s="4" t="n"/>
      <c r="P101" s="2" t="inlineStr">
        <is>
          <t>45500000</t>
        </is>
      </c>
      <c r="Q101" s="8" t="inlineStr">
        <is>
          <t>Ver</t>
        </is>
      </c>
      <c r="R101" s="8" t="inlineStr">
        <is>
          <t>PCAP</t>
        </is>
      </c>
      <c r="S101" s="9" t="n">
        <v>46324</v>
      </c>
      <c r="T101" s="3" t="n">
        <v>46323.484375</v>
      </c>
      <c r="U101" s="2" t="n"/>
    </row>
    <row r="102">
      <c r="A102" s="2" t="inlineStr">
        <is>
          <t>Resuelta</t>
        </is>
      </c>
      <c r="B102" s="3" t="n">
        <v>46244.99930555555</v>
      </c>
      <c r="C102" s="5" t="n">
        <v>487485.43</v>
      </c>
      <c r="D102" s="5" t="n">
        <v>487485.43</v>
      </c>
      <c r="E102" s="2" t="inlineStr">
        <is>
          <t>Andalucía</t>
        </is>
      </c>
      <c r="F102" s="2" t="inlineStr">
        <is>
          <t>Sevilla</t>
        </is>
      </c>
      <c r="G102" s="2" t="n"/>
      <c r="H102" s="2" t="inlineStr">
        <is>
          <t>Director Gerente de FISEVI</t>
        </is>
      </c>
      <c r="I102" s="2" t="inlineStr">
        <is>
          <t>Contrato de obras de adecuación del Aula Magna del Hospital Universitario Virgen del Rocío para crear un espacio para la difusión del conocimiento y la investigación.</t>
        </is>
      </c>
      <c r="J102" s="2" t="inlineStr">
        <is>
          <t>31/2026</t>
        </is>
      </c>
      <c r="K102" s="2" t="inlineStr">
        <is>
          <t>Abierto</t>
        </is>
      </c>
      <c r="L102" s="6" t="n">
        <v>4</v>
      </c>
      <c r="M102" s="2" t="n"/>
      <c r="N102" s="7" t="n">
        <v>0.25</v>
      </c>
      <c r="O102" s="4" t="n"/>
      <c r="P102" s="2" t="inlineStr">
        <is>
          <t>45453100</t>
        </is>
      </c>
      <c r="Q102" s="8" t="inlineStr">
        <is>
          <t>Ver</t>
        </is>
      </c>
      <c r="R102" s="8" t="inlineStr">
        <is>
          <t>PCAP</t>
        </is>
      </c>
      <c r="S102" s="9" t="n">
        <v>46315</v>
      </c>
      <c r="T102" s="3" t="n">
        <v>46323.48126157407</v>
      </c>
      <c r="U102" s="2" t="inlineStr">
        <is>
          <t>2026-10-29: estado ADJ → RES</t>
        </is>
      </c>
    </row>
    <row r="103">
      <c r="A103" s="2" t="inlineStr">
        <is>
          <t>Adjudicada</t>
        </is>
      </c>
      <c r="B103" s="3" t="n">
        <v>46133.54166666666</v>
      </c>
      <c r="C103" s="5" t="n">
        <v>4358871.85</v>
      </c>
      <c r="D103" s="5" t="n">
        <v>4358871.85</v>
      </c>
      <c r="E103" s="2" t="inlineStr">
        <is>
          <t>Andalucía</t>
        </is>
      </c>
      <c r="F103" s="2" t="n"/>
      <c r="G103" s="2" t="n"/>
      <c r="H103" s="2" t="inlineStr">
        <is>
          <t>ADIF - Presidencia</t>
        </is>
      </c>
      <c r="I103" s="2" t="inlineStr">
        <is>
          <t>Ejecución de obra de los proyectos de reposición y ejecución de cerramientos en la Subdirección de Operaciones de RC Sur. Gerencia de Área de Infraestructura Sur. Jam de Córdoba. Línea 430 (P.K. 3/047 al 4/034, 77/000 al 79/116, 79/183 al 79/878, 89/200 al 89/900, 89/400 al 89/900, 90/055 al 93/100, 92/300 al 186/100) y Línea 436 (P.K. 8/490 al 8/775, 8/590 al 28/020).</t>
        </is>
      </c>
      <c r="J103" s="2" t="inlineStr">
        <is>
          <t>3.26/27507.0020</t>
        </is>
      </c>
      <c r="K103" s="2" t="inlineStr">
        <is>
          <t>Abierto</t>
        </is>
      </c>
      <c r="L103" s="6" t="n">
        <v>20</v>
      </c>
      <c r="M103" s="2" t="inlineStr">
        <is>
          <t>D5-5</t>
        </is>
      </c>
      <c r="N103" s="7" t="n">
        <v>0.49</v>
      </c>
      <c r="O103" s="4" t="n"/>
      <c r="P103" s="2" t="inlineStr">
        <is>
          <t>45234100</t>
        </is>
      </c>
      <c r="Q103" s="8" t="inlineStr">
        <is>
          <t>Ver</t>
        </is>
      </c>
      <c r="R103" s="8" t="inlineStr">
        <is>
          <t>PCAP</t>
        </is>
      </c>
      <c r="S103" s="9" t="n">
        <v>46317</v>
      </c>
      <c r="T103" s="3" t="n">
        <v>46323.48032407407</v>
      </c>
      <c r="U103" s="2" t="inlineStr">
        <is>
          <t>2026-10-29: estado EV → ADJ</t>
        </is>
      </c>
    </row>
    <row r="104">
      <c r="A104" s="2" t="inlineStr">
        <is>
          <t>En plazo</t>
        </is>
      </c>
      <c r="B104" s="3" t="n">
        <v>46343.99930555555</v>
      </c>
      <c r="C104" s="5" t="n">
        <v>279497.18</v>
      </c>
      <c r="D104" s="5" t="n">
        <v>279497.18</v>
      </c>
      <c r="E104" s="2" t="inlineStr">
        <is>
          <t>Comunitat Valenciana</t>
        </is>
      </c>
      <c r="F104" s="2" t="inlineStr">
        <is>
          <t>Valencia</t>
        </is>
      </c>
      <c r="G104" s="2" t="n"/>
      <c r="H104" s="2" t="inlineStr">
        <is>
          <t>Alcaldia del Ayuntamiento de Alcasser</t>
        </is>
      </c>
      <c r="I104" s="2" t="inlineStr">
        <is>
          <t>Sustitución de la cubierta y reforma parcial del Trinquet Municipal</t>
        </is>
      </c>
      <c r="J104" s="2" t="inlineStr">
        <is>
          <t>3145/2026</t>
        </is>
      </c>
      <c r="K104" s="2" t="inlineStr">
        <is>
          <t>Abierto simplificado</t>
        </is>
      </c>
      <c r="L104" s="6" t="n">
        <v>4</v>
      </c>
      <c r="M104" s="2" t="n"/>
      <c r="N104" s="7" t="n">
        <v>0</v>
      </c>
      <c r="O104" s="4" t="n"/>
      <c r="P104" s="2" t="inlineStr">
        <is>
          <t>45261000; 45262100; 45442100; 45261320</t>
        </is>
      </c>
      <c r="Q104" s="8" t="inlineStr">
        <is>
          <t>Ver</t>
        </is>
      </c>
      <c r="R104" s="8" t="inlineStr">
        <is>
          <t>PCAP</t>
        </is>
      </c>
      <c r="S104" s="9" t="n">
        <v>46324</v>
      </c>
      <c r="T104" s="3" t="n">
        <v>46323.4787037037</v>
      </c>
      <c r="U104" s="2" t="n"/>
    </row>
    <row r="105">
      <c r="A105" s="2" t="inlineStr">
        <is>
          <t>En plazo</t>
        </is>
      </c>
      <c r="B105" s="3" t="n">
        <v>46329.99930555555</v>
      </c>
      <c r="C105" s="5" t="n">
        <v>3060580.6</v>
      </c>
      <c r="D105" s="5" t="n">
        <v>3060580.6</v>
      </c>
      <c r="E105" s="2" t="inlineStr">
        <is>
          <t>Andalucía</t>
        </is>
      </c>
      <c r="F105" s="2" t="inlineStr">
        <is>
          <t>Huelva</t>
        </is>
      </c>
      <c r="G105" s="2" t="n"/>
      <c r="H105" s="2" t="inlineStr">
        <is>
          <t>Pleno del Ayuntamiento de Punta umbría</t>
        </is>
      </c>
      <c r="I105" s="2" t="inlineStr">
        <is>
          <t>Ejecución de las obras para la renovación y mejora de la eficiencia energética de las instalaciones de alumbrado público exterior en el Municipio de Punta Umbría (Huelva)</t>
        </is>
      </c>
      <c r="J105" s="2" t="inlineStr">
        <is>
          <t>5163/2026</t>
        </is>
      </c>
      <c r="K105" s="2" t="inlineStr">
        <is>
          <t>Abierto</t>
        </is>
      </c>
      <c r="L105" s="6" t="n">
        <v>9</v>
      </c>
      <c r="M105" s="2" t="inlineStr">
        <is>
          <t>I1-4</t>
        </is>
      </c>
      <c r="N105" s="7" t="n">
        <v>0.25</v>
      </c>
      <c r="O105" s="4" t="n"/>
      <c r="P105" s="2" t="inlineStr">
        <is>
          <t>45316100; 45315600; 34928500</t>
        </is>
      </c>
      <c r="Q105" s="8" t="inlineStr">
        <is>
          <t>Ver</t>
        </is>
      </c>
      <c r="R105" s="8" t="inlineStr">
        <is>
          <t>PCAP</t>
        </is>
      </c>
      <c r="S105" s="9" t="n">
        <v>46310</v>
      </c>
      <c r="T105" s="3" t="n">
        <v>46323.47538194444</v>
      </c>
      <c r="U105" s="2" t="n"/>
    </row>
    <row r="106">
      <c r="A106" s="2" t="inlineStr">
        <is>
          <t>Resuelta</t>
        </is>
      </c>
      <c r="B106" s="3" t="n">
        <v>46303.45833333334</v>
      </c>
      <c r="C106" s="5" t="n">
        <v>33057.85</v>
      </c>
      <c r="D106" s="5" t="n">
        <v>33057.85</v>
      </c>
      <c r="E106" s="2" t="inlineStr">
        <is>
          <t>Comunitat Valenciana</t>
        </is>
      </c>
      <c r="F106" s="2" t="inlineStr">
        <is>
          <t>Valencia</t>
        </is>
      </c>
      <c r="G106" s="2" t="inlineStr">
        <is>
          <t>Bétera</t>
        </is>
      </c>
      <c r="H106" s="2" t="inlineStr">
        <is>
          <t>Jefatura de Intendencia de Asuntos Económicos Este</t>
        </is>
      </c>
      <c r="I106" s="2" t="inlineStr">
        <is>
          <t>Adecuación de protecciones de seguridad anticaídas instalación nº56 depuradora en USBA Jaime I en Valencia.</t>
        </is>
      </c>
      <c r="J106" s="2" t="inlineStr">
        <is>
          <t>2026/ETSAE0327/00006160E</t>
        </is>
      </c>
      <c r="K106" s="2" t="inlineStr">
        <is>
          <t>Abierto</t>
        </is>
      </c>
      <c r="L106" s="6" t="n">
        <v>1</v>
      </c>
      <c r="M106" s="2" t="n"/>
      <c r="N106" s="7" t="n">
        <v>0</v>
      </c>
      <c r="O106" s="4" t="n"/>
      <c r="P106" s="2" t="inlineStr">
        <is>
          <t>45340000</t>
        </is>
      </c>
      <c r="Q106" s="8" t="inlineStr">
        <is>
          <t>Ver</t>
        </is>
      </c>
      <c r="R106" s="8" t="inlineStr">
        <is>
          <t>PCAP</t>
        </is>
      </c>
      <c r="S106" s="9" t="n">
        <v>46324</v>
      </c>
      <c r="T106" s="3" t="n">
        <v>46323.47084490741</v>
      </c>
      <c r="U106" s="2" t="n"/>
    </row>
    <row r="107">
      <c r="A107" s="2" t="inlineStr">
        <is>
          <t>Resuelta</t>
        </is>
      </c>
      <c r="B107" s="3" t="n">
        <v>46308.45833333334</v>
      </c>
      <c r="C107" s="5" t="n">
        <v>21487.6</v>
      </c>
      <c r="D107" s="5" t="n">
        <v>21487.6</v>
      </c>
      <c r="E107" s="2" t="inlineStr">
        <is>
          <t>Comunitat Valenciana</t>
        </is>
      </c>
      <c r="F107" s="2" t="inlineStr">
        <is>
          <t>Castellón</t>
        </is>
      </c>
      <c r="G107" s="2" t="inlineStr">
        <is>
          <t>Castellón</t>
        </is>
      </c>
      <c r="H107" s="2" t="inlineStr">
        <is>
          <t>Jefatura de Intendencia de Asuntos Económicos Este</t>
        </is>
      </c>
      <c r="I107" s="2" t="inlineStr">
        <is>
          <t>Reparación del edificio de duchas del CMT Montaña Negra de Castellón.</t>
        </is>
      </c>
      <c r="J107" s="2" t="inlineStr">
        <is>
          <t>2026/ETSAE0327/00006652E</t>
        </is>
      </c>
      <c r="K107" s="2" t="inlineStr">
        <is>
          <t>Abierto</t>
        </is>
      </c>
      <c r="L107" s="6" t="n">
        <v>1</v>
      </c>
      <c r="M107" s="2" t="n"/>
      <c r="N107" s="7" t="n">
        <v>0</v>
      </c>
      <c r="O107" s="4" t="n"/>
      <c r="P107" s="2" t="inlineStr">
        <is>
          <t>45261900</t>
        </is>
      </c>
      <c r="Q107" s="8" t="inlineStr">
        <is>
          <t>Ver</t>
        </is>
      </c>
      <c r="R107" s="8" t="inlineStr">
        <is>
          <t>PCAP</t>
        </is>
      </c>
      <c r="S107" s="9" t="n">
        <v>46324</v>
      </c>
      <c r="T107" s="3" t="n">
        <v>46323.46572916667</v>
      </c>
      <c r="U107" s="2" t="n"/>
    </row>
    <row r="108">
      <c r="A108" s="2" t="inlineStr">
        <is>
          <t>Adjudicada</t>
        </is>
      </c>
      <c r="B108" s="3" t="n">
        <v>46239.54166666666</v>
      </c>
      <c r="C108" s="5" t="n">
        <v>473523.07</v>
      </c>
      <c r="D108" s="5" t="n">
        <v>568227.6800000001</v>
      </c>
      <c r="E108" s="2" t="inlineStr">
        <is>
          <t>Andalucía</t>
        </is>
      </c>
      <c r="F108" s="2" t="inlineStr">
        <is>
          <t>Málaga</t>
        </is>
      </c>
      <c r="G108" s="2" t="n"/>
      <c r="H108" s="2" t="inlineStr">
        <is>
          <t>Junta de Gobierno del Ayuntamiento de Málaga</t>
        </is>
      </c>
      <c r="I108" s="2" t="inlineStr">
        <is>
          <t>Renovación de Pavimento Deportivo de Césped Artificial en el Campo de Fútbol Municipal Roma Luz-Guadaljaire</t>
        </is>
      </c>
      <c r="J108" s="2" t="inlineStr">
        <is>
          <t>73/26</t>
        </is>
      </c>
      <c r="K108" s="2" t="inlineStr">
        <is>
          <t>Abierto simplificado</t>
        </is>
      </c>
      <c r="L108" s="6" t="n">
        <v>4</v>
      </c>
      <c r="M108" s="2" t="n"/>
      <c r="N108" s="7" t="n">
        <v>0</v>
      </c>
      <c r="O108" s="4" t="n"/>
      <c r="P108" s="2" t="inlineStr">
        <is>
          <t>45212200</t>
        </is>
      </c>
      <c r="Q108" s="8" t="inlineStr">
        <is>
          <t>Ver</t>
        </is>
      </c>
      <c r="R108" s="8" t="inlineStr">
        <is>
          <t>PCAP</t>
        </is>
      </c>
      <c r="S108" s="9" t="n">
        <v>46324</v>
      </c>
      <c r="T108" s="3" t="n">
        <v>46323.45989583333</v>
      </c>
      <c r="U108" s="2" t="n"/>
    </row>
    <row r="109">
      <c r="A109" s="2" t="inlineStr">
        <is>
          <t>Resuelta</t>
        </is>
      </c>
      <c r="B109" s="3" t="n">
        <v>46073</v>
      </c>
      <c r="C109" s="5" t="n">
        <v>154456.42</v>
      </c>
      <c r="D109" s="5" t="n">
        <v>154456.42</v>
      </c>
      <c r="E109" s="2" t="inlineStr">
        <is>
          <t>Comunitat Valenciana</t>
        </is>
      </c>
      <c r="F109" s="2" t="inlineStr">
        <is>
          <t>Castellón</t>
        </is>
      </c>
      <c r="G109" s="2" t="inlineStr">
        <is>
          <t>Azuébar</t>
        </is>
      </c>
      <c r="H109" s="2" t="inlineStr">
        <is>
          <t>Junta de Gobierno Local del Ayuntamiento de Azuébar</t>
        </is>
      </c>
      <c r="I109" s="2" t="inlineStr">
        <is>
          <t>Intervención arqueológica, restauración y consolidación del sector suroeste y continuación de las excavaciones en el castillo de Azuébar.</t>
        </is>
      </c>
      <c r="J109" s="2" t="inlineStr">
        <is>
          <t>22/2026</t>
        </is>
      </c>
      <c r="K109" s="2" t="inlineStr">
        <is>
          <t>Abierto simplificado</t>
        </is>
      </c>
      <c r="L109" s="6" t="n">
        <v>4</v>
      </c>
      <c r="M109" s="2" t="inlineStr">
        <is>
          <t>K7-2</t>
        </is>
      </c>
      <c r="N109" s="7" t="n">
        <v>0</v>
      </c>
      <c r="O109" s="4" t="n"/>
      <c r="P109" s="2" t="inlineStr">
        <is>
          <t>45000000; 45212354; 45262600; 45212350; 45454100; 45112450</t>
        </is>
      </c>
      <c r="Q109" s="8" t="inlineStr">
        <is>
          <t>Ver</t>
        </is>
      </c>
      <c r="R109" s="8" t="inlineStr">
        <is>
          <t>PCAP</t>
        </is>
      </c>
      <c r="S109" s="9" t="n">
        <v>46324</v>
      </c>
      <c r="T109" s="3" t="n">
        <v>46323.45925925926</v>
      </c>
      <c r="U109" s="2" t="n"/>
    </row>
    <row r="110">
      <c r="A110" s="2" t="inlineStr">
        <is>
          <t>En plazo</t>
        </is>
      </c>
      <c r="B110" s="3" t="n">
        <v>46342.625</v>
      </c>
      <c r="C110" s="5" t="n">
        <v>404822.84</v>
      </c>
      <c r="D110" s="5" t="n">
        <v>404822.84</v>
      </c>
      <c r="E110" s="2" t="inlineStr">
        <is>
          <t>Andalucía</t>
        </is>
      </c>
      <c r="F110" s="2" t="inlineStr">
        <is>
          <t>Cádiz</t>
        </is>
      </c>
      <c r="G110" s="2" t="n"/>
      <c r="H110" s="2" t="inlineStr">
        <is>
          <t>Consejo de Administración de Suministradora Eléctrica de Cádiz S.A.</t>
        </is>
      </c>
      <c r="I110" s="2" t="inlineStr">
        <is>
          <t>Obras en la red de media y baja tensión.</t>
        </is>
      </c>
      <c r="J110" s="2" t="inlineStr">
        <is>
          <t>OB26002</t>
        </is>
      </c>
      <c r="K110" s="2" t="inlineStr">
        <is>
          <t>Abierto</t>
        </is>
      </c>
      <c r="L110" s="6" t="n">
        <v>6</v>
      </c>
      <c r="M110" s="2" t="n"/>
      <c r="N110" s="7" t="n">
        <v>0.35</v>
      </c>
      <c r="O110" s="4" t="n"/>
      <c r="P110" s="2" t="inlineStr">
        <is>
          <t>45231400; 45315500; 45315600</t>
        </is>
      </c>
      <c r="Q110" s="8" t="inlineStr">
        <is>
          <t>Ver</t>
        </is>
      </c>
      <c r="R110" s="8" t="inlineStr">
        <is>
          <t>PCAP</t>
        </is>
      </c>
      <c r="S110" s="9" t="n">
        <v>46315</v>
      </c>
      <c r="T110" s="3" t="n">
        <v>46323.45876157407</v>
      </c>
      <c r="U110" s="2" t="n"/>
    </row>
    <row r="111">
      <c r="A111" s="2" t="inlineStr">
        <is>
          <t>Pendiente de adjudicación</t>
        </is>
      </c>
      <c r="B111" s="3" t="n">
        <v>46202.54166666666</v>
      </c>
      <c r="C111" s="5" t="n">
        <v>27071238.46</v>
      </c>
      <c r="D111" s="5" t="n">
        <v>28537688.4</v>
      </c>
      <c r="E111" s="2" t="inlineStr">
        <is>
          <t>Andalucía</t>
        </is>
      </c>
      <c r="F111" s="2" t="inlineStr">
        <is>
          <t>Almería</t>
        </is>
      </c>
      <c r="G111" s="2" t="n"/>
      <c r="H111" s="2" t="inlineStr">
        <is>
          <t>ADIF Alta Velocidad - Consejo de Administración</t>
        </is>
      </c>
      <c r="I111" s="2" t="inlineStr">
        <is>
          <t>Obras de ejecución del proyecto constructivo de una base de mantenimiento para el tramo Lorca-Almería de la LAV Murcia-Almería</t>
        </is>
      </c>
      <c r="J111" s="2" t="inlineStr">
        <is>
          <t>3.26/20830.0002</t>
        </is>
      </c>
      <c r="K111" s="2" t="inlineStr">
        <is>
          <t>Abierto</t>
        </is>
      </c>
      <c r="L111" s="6" t="n">
        <v>14</v>
      </c>
      <c r="M111" s="2" t="inlineStr">
        <is>
          <t>C3-4; D1-5; A2-6; B2-5</t>
        </is>
      </c>
      <c r="N111" s="7" t="n">
        <v>0.49</v>
      </c>
      <c r="O111" s="4" t="n"/>
      <c r="P111" s="2" t="inlineStr">
        <is>
          <t>45234116</t>
        </is>
      </c>
      <c r="Q111" s="8" t="inlineStr">
        <is>
          <t>Ver</t>
        </is>
      </c>
      <c r="R111" s="8" t="inlineStr">
        <is>
          <t>PCAP</t>
        </is>
      </c>
      <c r="S111" s="9" t="n">
        <v>46324</v>
      </c>
      <c r="T111" s="3" t="n">
        <v>46323.45875</v>
      </c>
      <c r="U111" s="2" t="n"/>
    </row>
    <row r="112">
      <c r="A112" s="2" t="inlineStr">
        <is>
          <t>En plazo</t>
        </is>
      </c>
      <c r="B112" s="3" t="n">
        <v>46350.54166666666</v>
      </c>
      <c r="C112" s="5" t="n">
        <v>22148578.97</v>
      </c>
      <c r="D112" s="5" t="n">
        <v>26338628.76</v>
      </c>
      <c r="E112" s="2" t="inlineStr">
        <is>
          <t>Andalucía</t>
        </is>
      </c>
      <c r="F112" s="2" t="inlineStr">
        <is>
          <t>Málaga</t>
        </is>
      </c>
      <c r="G112" s="2" t="n"/>
      <c r="H112" s="2" t="inlineStr">
        <is>
          <t>Junta de Gobierno del Ayuntamiento de Málaga</t>
        </is>
      </c>
      <c r="I112" s="2" t="inlineStr">
        <is>
          <t>Redacción del proyecto constructivo y ejecución de las obras del soterramiento de la Avenida de Valle-Inclán en la intersección con el Camino de Suárez, la Calle Martínez de la Rosa y el acceso a las barriadas de Carlinda, La Corta y San Alberto, en la ciudad de Málaga</t>
        </is>
      </c>
      <c r="J112" s="2" t="inlineStr">
        <is>
          <t>31/26</t>
        </is>
      </c>
      <c r="K112" s="2" t="inlineStr">
        <is>
          <t>Abierto</t>
        </is>
      </c>
      <c r="L112" s="6" t="n">
        <v>31</v>
      </c>
      <c r="M112" s="2" t="inlineStr">
        <is>
          <t>B2-6; G6-3</t>
        </is>
      </c>
      <c r="N112" s="7" t="n">
        <v>0.49</v>
      </c>
      <c r="O112" s="4" t="n"/>
      <c r="P112" s="2" t="inlineStr">
        <is>
          <t>45221000; 71300000</t>
        </is>
      </c>
      <c r="Q112" s="8" t="inlineStr">
        <is>
          <t>Ver</t>
        </is>
      </c>
      <c r="R112" s="8" t="inlineStr">
        <is>
          <t>PCAP</t>
        </is>
      </c>
      <c r="S112" s="9" t="n">
        <v>46321</v>
      </c>
      <c r="T112" s="3" t="n">
        <v>46323.45525462963</v>
      </c>
      <c r="U112" s="2" t="n"/>
    </row>
    <row r="113">
      <c r="A113" s="2" t="inlineStr">
        <is>
          <t>En plazo</t>
        </is>
      </c>
      <c r="B113" s="3" t="n">
        <v>46350.41666666666</v>
      </c>
      <c r="C113" s="5" t="n">
        <v>149950</v>
      </c>
      <c r="D113" s="5" t="n">
        <v>453440</v>
      </c>
      <c r="E113" s="2" t="inlineStr">
        <is>
          <t>Andalucía</t>
        </is>
      </c>
      <c r="F113" s="2" t="inlineStr">
        <is>
          <t>Sevilla</t>
        </is>
      </c>
      <c r="G113" s="2" t="inlineStr">
        <is>
          <t>Sevilla</t>
        </is>
      </c>
      <c r="H113" s="2" t="inlineStr">
        <is>
          <t>Consejería Delegada de la Empresa Metropolitana de Abastecimiento y Saneamiento de Aguas de Sevilla S.A. (EMASESA)</t>
        </is>
      </c>
      <c r="I113" s="2" t="inlineStr">
        <is>
          <t>Contratación de montaje, decoración y desmontaje de la caseta "EL AGUA" de la feria de Sevilla, sita en calle Pascual Márquez 119 a 125</t>
        </is>
      </c>
      <c r="J113" s="2" t="inlineStr">
        <is>
          <t>0618/2026</t>
        </is>
      </c>
      <c r="K113" s="2" t="inlineStr">
        <is>
          <t>Abierto</t>
        </is>
      </c>
      <c r="L113" s="6" t="n"/>
      <c r="M113" s="2" t="n"/>
      <c r="N113" s="7" t="n">
        <v>0.3</v>
      </c>
      <c r="O113" s="4" t="n"/>
      <c r="P113" s="2" t="inlineStr">
        <is>
          <t>45223000</t>
        </is>
      </c>
      <c r="Q113" s="8" t="inlineStr">
        <is>
          <t>Ver</t>
        </is>
      </c>
      <c r="R113" s="8" t="inlineStr">
        <is>
          <t>PCAP</t>
        </is>
      </c>
      <c r="S113" s="9" t="n">
        <v>46324</v>
      </c>
      <c r="T113" s="3" t="n">
        <v>46323.45521990741</v>
      </c>
      <c r="U113" s="2" t="n"/>
    </row>
    <row r="114">
      <c r="A114" s="2" t="inlineStr">
        <is>
          <t>Pendiente de adjudicación</t>
        </is>
      </c>
      <c r="B114" s="3" t="n">
        <v>46318.99930555555</v>
      </c>
      <c r="C114" s="5" t="n">
        <v>42982.34</v>
      </c>
      <c r="D114" s="5" t="n">
        <v>42982.34</v>
      </c>
      <c r="E114" s="2" t="inlineStr">
        <is>
          <t>Andalucía</t>
        </is>
      </c>
      <c r="F114" s="2" t="inlineStr">
        <is>
          <t>Córdoba</t>
        </is>
      </c>
      <c r="G114" s="2" t="n"/>
      <c r="H114" s="2" t="inlineStr">
        <is>
          <t>Alcaldia del Ayuntamiento de Pozoblanco</t>
        </is>
      </c>
      <c r="I114" s="2" t="inlineStr">
        <is>
          <t>Ejecución de las obras, por lotes, de ampliación de circuitos eléctricos para la climatización en Centros Educativos de Pozoblanco.</t>
        </is>
      </c>
      <c r="J114" s="2" t="inlineStr">
        <is>
          <t>2026/025</t>
        </is>
      </c>
      <c r="K114" s="2" t="inlineStr">
        <is>
          <t>Abierto simplificado</t>
        </is>
      </c>
      <c r="L114" s="6" t="n">
        <v>1</v>
      </c>
      <c r="M114" s="2" t="n"/>
      <c r="N114" s="7" t="n">
        <v>0</v>
      </c>
      <c r="O114" s="4" t="n">
        <v>3</v>
      </c>
      <c r="P114" s="2" t="inlineStr">
        <is>
          <t>45310000; 45311000; 45315600</t>
        </is>
      </c>
      <c r="Q114" s="8" t="inlineStr">
        <is>
          <t>Ver</t>
        </is>
      </c>
      <c r="R114" s="8" t="inlineStr">
        <is>
          <t>PCAP</t>
        </is>
      </c>
      <c r="S114" s="9" t="n">
        <v>46310</v>
      </c>
      <c r="T114" s="3" t="n">
        <v>46323.45491898148</v>
      </c>
      <c r="U114" s="2" t="inlineStr">
        <is>
          <t>2026-10-29: estado PUB → EV</t>
        </is>
      </c>
    </row>
    <row r="115">
      <c r="A115" s="2" t="inlineStr">
        <is>
          <t>Resuelta</t>
        </is>
      </c>
      <c r="B115" s="3" t="n">
        <v>46303.5</v>
      </c>
      <c r="C115" s="5" t="n">
        <v>10743.8</v>
      </c>
      <c r="D115" s="5" t="n">
        <v>10743.8</v>
      </c>
      <c r="E115" s="2" t="inlineStr">
        <is>
          <t>Comunitat Valenciana</t>
        </is>
      </c>
      <c r="F115" s="2" t="inlineStr">
        <is>
          <t>Valencia</t>
        </is>
      </c>
      <c r="G115" s="2" t="inlineStr">
        <is>
          <t>Valencia</t>
        </is>
      </c>
      <c r="H115" s="2" t="inlineStr">
        <is>
          <t>Jefatura de Intendencia de Asuntos Económicos Este</t>
        </is>
      </c>
      <c r="I115" s="2" t="inlineStr">
        <is>
          <t>Reparación de 3 equipos de climatización y adecuación del cuadro eléctrico en restauración del núcleo de Godella en el CDSM Valencia.</t>
        </is>
      </c>
      <c r="J115" s="2" t="inlineStr">
        <is>
          <t>2026/ETSAE0327/00006477E</t>
        </is>
      </c>
      <c r="K115" s="2" t="inlineStr">
        <is>
          <t>Abierto</t>
        </is>
      </c>
      <c r="L115" s="6" t="n">
        <v>1</v>
      </c>
      <c r="M115" s="2" t="n"/>
      <c r="N115" s="7" t="n">
        <v>0</v>
      </c>
      <c r="O115" s="4" t="n"/>
      <c r="P115" s="2" t="inlineStr">
        <is>
          <t>45111290</t>
        </is>
      </c>
      <c r="Q115" s="8" t="inlineStr">
        <is>
          <t>Ver</t>
        </is>
      </c>
      <c r="R115" s="8" t="inlineStr">
        <is>
          <t>PCAP</t>
        </is>
      </c>
      <c r="S115" s="9" t="n">
        <v>46324</v>
      </c>
      <c r="T115" s="3" t="n">
        <v>46323.45394675926</v>
      </c>
      <c r="U115" s="2" t="n"/>
    </row>
    <row r="116">
      <c r="A116" s="2" t="inlineStr">
        <is>
          <t>Resuelta</t>
        </is>
      </c>
      <c r="B116" s="3" t="n">
        <v>46244.5</v>
      </c>
      <c r="C116" s="5" t="n">
        <v>245000</v>
      </c>
      <c r="D116" s="5" t="n">
        <v>245000</v>
      </c>
      <c r="E116" s="2" t="inlineStr">
        <is>
          <t>Andalucía</t>
        </is>
      </c>
      <c r="F116" s="2" t="inlineStr">
        <is>
          <t>Córdoba</t>
        </is>
      </c>
      <c r="G116" s="2" t="inlineStr">
        <is>
          <t>Córdoba</t>
        </is>
      </c>
      <c r="H116" s="2" t="inlineStr">
        <is>
          <t>Aena. Dirección del Aeropuerto de Córdoba</t>
        </is>
      </c>
      <c r="I116" s="2" t="inlineStr">
        <is>
          <t>Reparación Del Vallado Perimetral Afectado Por El Desbordamiento Del Río Gualdalquivir En El Aeropuerto De Córdoba</t>
        </is>
      </c>
      <c r="J116" s="2" t="inlineStr">
        <is>
          <t>ODB-24/2026</t>
        </is>
      </c>
      <c r="K116" s="2" t="inlineStr">
        <is>
          <t>Normas internas</t>
        </is>
      </c>
      <c r="L116" s="6" t="n"/>
      <c r="M116" s="2" t="n"/>
      <c r="N116" s="7" t="n">
        <v>0</v>
      </c>
      <c r="O116" s="4" t="n"/>
      <c r="P116" s="2" t="inlineStr">
        <is>
          <t>45200000</t>
        </is>
      </c>
      <c r="Q116" s="8" t="inlineStr">
        <is>
          <t>Ver</t>
        </is>
      </c>
      <c r="R116" s="8" t="inlineStr">
        <is>
          <t>PCAP</t>
        </is>
      </c>
      <c r="S116" s="9" t="n">
        <v>46324</v>
      </c>
      <c r="T116" s="3" t="n">
        <v>46323.45383101852</v>
      </c>
      <c r="U116" s="2" t="n"/>
    </row>
    <row r="117">
      <c r="A117" s="2" t="inlineStr">
        <is>
          <t>Pendiente de adjudicación</t>
        </is>
      </c>
      <c r="B117" s="3" t="n">
        <v>46321.625</v>
      </c>
      <c r="C117" s="5" t="n">
        <v>46868.12</v>
      </c>
      <c r="D117" s="5" t="n">
        <v>46868.12</v>
      </c>
      <c r="E117" s="2" t="inlineStr">
        <is>
          <t>Andalucía</t>
        </is>
      </c>
      <c r="F117" s="2" t="inlineStr">
        <is>
          <t>Jaén</t>
        </is>
      </c>
      <c r="G117" s="2" t="inlineStr">
        <is>
          <t>BEGÍJAR</t>
        </is>
      </c>
      <c r="H117" s="2" t="inlineStr">
        <is>
          <t>Alcaldía del Ayuntamiento de Begíjar</t>
        </is>
      </c>
      <c r="I117" s="2" t="inlineStr">
        <is>
          <t>Mejora de la eficiencia energética de iluminación y pavimentación en C/ Ejido</t>
        </is>
      </c>
      <c r="J117" s="2" t="inlineStr">
        <is>
          <t>570/2026</t>
        </is>
      </c>
      <c r="K117" s="2" t="inlineStr">
        <is>
          <t>Abierto simplificado</t>
        </is>
      </c>
      <c r="L117" s="6" t="n">
        <v>3</v>
      </c>
      <c r="M117" s="2" t="n"/>
      <c r="N117" s="7" t="n">
        <v>0</v>
      </c>
      <c r="O117" s="4" t="n"/>
      <c r="P117" s="2" t="inlineStr">
        <is>
          <t>45233252</t>
        </is>
      </c>
      <c r="Q117" s="8" t="inlineStr">
        <is>
          <t>Ver</t>
        </is>
      </c>
      <c r="R117" s="8" t="inlineStr">
        <is>
          <t>PCAP</t>
        </is>
      </c>
      <c r="S117" s="9" t="n">
        <v>46310</v>
      </c>
      <c r="T117" s="3" t="n">
        <v>46323.45158564814</v>
      </c>
      <c r="U117" s="2" t="inlineStr">
        <is>
          <t>2026-10-27: plazo 2026-10-26 00:00 → 2026-10-26 15:00 | 2026-10-29: estado PUB → EV</t>
        </is>
      </c>
    </row>
    <row r="118">
      <c r="A118" s="2" t="inlineStr">
        <is>
          <t>En plazo</t>
        </is>
      </c>
      <c r="B118" s="3" t="n">
        <v>46343.99930555555</v>
      </c>
      <c r="C118" s="5" t="n">
        <v>201638.82</v>
      </c>
      <c r="D118" s="5" t="n">
        <v>201638.82</v>
      </c>
      <c r="E118" s="2" t="inlineStr">
        <is>
          <t>Andalucía</t>
        </is>
      </c>
      <c r="F118" s="2" t="inlineStr">
        <is>
          <t>Málaga</t>
        </is>
      </c>
      <c r="G118" s="2" t="inlineStr">
        <is>
          <t>Manilva</t>
        </is>
      </c>
      <c r="H118" s="2" t="inlineStr">
        <is>
          <t>Alcaldía del Ayuntamiento de Manilva</t>
        </is>
      </c>
      <c r="I118" s="2" t="inlineStr">
        <is>
          <t>Reasfaltado de Viales Públicos</t>
        </is>
      </c>
      <c r="J118" s="2" t="inlineStr">
        <is>
          <t>13296/2026</t>
        </is>
      </c>
      <c r="K118" s="2" t="inlineStr">
        <is>
          <t>Abierto simplificado</t>
        </is>
      </c>
      <c r="L118" s="6" t="n">
        <v>2</v>
      </c>
      <c r="M118" s="2" t="n"/>
      <c r="N118" s="7" t="n">
        <v>0</v>
      </c>
      <c r="O118" s="4" t="n"/>
      <c r="P118" s="2" t="inlineStr">
        <is>
          <t>45233222</t>
        </is>
      </c>
      <c r="Q118" s="8" t="inlineStr">
        <is>
          <t>Ver</t>
        </is>
      </c>
      <c r="R118" s="8" t="inlineStr">
        <is>
          <t>PCAP</t>
        </is>
      </c>
      <c r="S118" s="9" t="n">
        <v>46324</v>
      </c>
      <c r="T118" s="3" t="n">
        <v>46323.44754629629</v>
      </c>
      <c r="U118" s="2" t="n"/>
    </row>
    <row r="119">
      <c r="A119" s="2" t="inlineStr">
        <is>
          <t>Resuelta</t>
        </is>
      </c>
      <c r="B119" s="3" t="n">
        <v>45597.99930555555</v>
      </c>
      <c r="C119" s="5" t="n">
        <v>3306534.4</v>
      </c>
      <c r="D119" s="5" t="n">
        <v>3438795.78</v>
      </c>
      <c r="E119" s="2" t="inlineStr">
        <is>
          <t>Comunitat Valenciana</t>
        </is>
      </c>
      <c r="F119" s="2" t="inlineStr">
        <is>
          <t>Alicante</t>
        </is>
      </c>
      <c r="G119" s="2" t="inlineStr">
        <is>
          <t>Alicante / Alacant</t>
        </is>
      </c>
      <c r="H119" s="2" t="inlineStr">
        <is>
          <t>Aena. Dirección de Contratación</t>
        </is>
      </c>
      <c r="I119" s="2" t="inlineStr">
        <is>
          <t>Accesos A Plataforma Para Optimizacion De Puertas De Embarque. Aeropuerto De Alicante-Elche</t>
        </is>
      </c>
      <c r="J119" s="2" t="inlineStr">
        <is>
          <t>DIN-439/2024</t>
        </is>
      </c>
      <c r="K119" s="2" t="inlineStr">
        <is>
          <t>Abierto</t>
        </is>
      </c>
      <c r="L119" s="6" t="n"/>
      <c r="M119" s="2" t="n"/>
      <c r="N119" s="7" t="n">
        <v>0</v>
      </c>
      <c r="O119" s="4" t="n"/>
      <c r="P119" s="2" t="inlineStr">
        <is>
          <t>45213331</t>
        </is>
      </c>
      <c r="Q119" s="8" t="inlineStr">
        <is>
          <t>Ver</t>
        </is>
      </c>
      <c r="R119" s="8" t="inlineStr">
        <is>
          <t>PCAP</t>
        </is>
      </c>
      <c r="S119" s="9" t="n">
        <v>46324</v>
      </c>
      <c r="T119" s="3" t="n">
        <v>46323.44561342592</v>
      </c>
      <c r="U119" s="2" t="n"/>
    </row>
    <row r="120">
      <c r="A120" s="2" t="inlineStr">
        <is>
          <t>Resuelta</t>
        </is>
      </c>
      <c r="B120" s="3" t="n">
        <v>45572.99930555555</v>
      </c>
      <c r="C120" s="5" t="n">
        <v>1579142.54</v>
      </c>
      <c r="D120" s="5" t="n">
        <v>1642308.24</v>
      </c>
      <c r="E120" s="2" t="inlineStr">
        <is>
          <t>Andalucía</t>
        </is>
      </c>
      <c r="F120" s="2" t="inlineStr">
        <is>
          <t>Sevilla</t>
        </is>
      </c>
      <c r="G120" s="2" t="inlineStr">
        <is>
          <t>Sevilla</t>
        </is>
      </c>
      <c r="H120" s="2" t="inlineStr">
        <is>
          <t>Aena. Dirección de Contratación</t>
        </is>
      </c>
      <c r="I120" s="2" t="inlineStr">
        <is>
          <t>Adaptación Accesos Aeroportuarios Al Diseño Funcional. Aeropuerto De Sevilla</t>
        </is>
      </c>
      <c r="J120" s="2" t="inlineStr">
        <is>
          <t>DIN-348/2024</t>
        </is>
      </c>
      <c r="K120" s="2" t="inlineStr">
        <is>
          <t>Abierto</t>
        </is>
      </c>
      <c r="L120" s="6" t="n"/>
      <c r="M120" s="2" t="n"/>
      <c r="N120" s="7" t="n">
        <v>0</v>
      </c>
      <c r="O120" s="4" t="n"/>
      <c r="P120" s="2" t="inlineStr">
        <is>
          <t>45235100</t>
        </is>
      </c>
      <c r="Q120" s="8" t="inlineStr">
        <is>
          <t>Ver</t>
        </is>
      </c>
      <c r="R120" s="8" t="inlineStr">
        <is>
          <t>PCAP</t>
        </is>
      </c>
      <c r="S120" s="9" t="n">
        <v>46324</v>
      </c>
      <c r="T120" s="3" t="n">
        <v>46323.44538194445</v>
      </c>
      <c r="U120" s="2" t="n"/>
    </row>
    <row r="121">
      <c r="A121" s="2" t="inlineStr">
        <is>
          <t>En plazo</t>
        </is>
      </c>
      <c r="B121" s="3" t="n">
        <v>46333.99930555555</v>
      </c>
      <c r="C121" s="5" t="n">
        <v>48457.57</v>
      </c>
      <c r="D121" s="5" t="n">
        <v>48457.57</v>
      </c>
      <c r="E121" s="2" t="inlineStr">
        <is>
          <t>Andalucía</t>
        </is>
      </c>
      <c r="F121" s="2" t="inlineStr">
        <is>
          <t>Granada</t>
        </is>
      </c>
      <c r="G121" s="2" t="inlineStr">
        <is>
          <t>DÚDAR</t>
        </is>
      </c>
      <c r="H121" s="2" t="inlineStr">
        <is>
          <t>Alcaldia del Ayuntamiento de Dúdar</t>
        </is>
      </c>
      <c r="I121" s="2" t="inlineStr">
        <is>
          <t>constituye el objeto del contrato la ejecución de las obras dotación de abastecimiento y saneamiento desde plaza de la iglesia hasta calle barranco fiñana de Dúdar</t>
        </is>
      </c>
      <c r="J121" s="2" t="inlineStr">
        <is>
          <t>231/2026</t>
        </is>
      </c>
      <c r="K121" s="2" t="inlineStr">
        <is>
          <t>Abierto simplificado</t>
        </is>
      </c>
      <c r="L121" s="6" t="n">
        <v>3</v>
      </c>
      <c r="M121" s="2" t="n"/>
      <c r="N121" s="7" t="n">
        <v>0</v>
      </c>
      <c r="O121" s="4" t="n"/>
      <c r="P121" s="2" t="inlineStr">
        <is>
          <t>45000000</t>
        </is>
      </c>
      <c r="Q121" s="8" t="inlineStr">
        <is>
          <t>Ver</t>
        </is>
      </c>
      <c r="R121" s="8" t="inlineStr">
        <is>
          <t>PCAP</t>
        </is>
      </c>
      <c r="S121" s="9" t="n">
        <v>46324</v>
      </c>
      <c r="T121" s="3" t="n">
        <v>46323.44456018518</v>
      </c>
      <c r="U121" s="2" t="n"/>
    </row>
    <row r="122">
      <c r="A122" s="2" t="inlineStr">
        <is>
          <t>Resuelta</t>
        </is>
      </c>
      <c r="B122" s="3" t="n">
        <v>46148.54166666666</v>
      </c>
      <c r="C122" s="5" t="n">
        <v>17244620.1</v>
      </c>
      <c r="D122" s="5" t="n">
        <v>17244620.1</v>
      </c>
      <c r="E122" s="2" t="inlineStr">
        <is>
          <t>Andalucía</t>
        </is>
      </c>
      <c r="F122" s="2" t="inlineStr">
        <is>
          <t>Sevilla</t>
        </is>
      </c>
      <c r="G122" s="2" t="n"/>
      <c r="H122" s="2" t="inlineStr">
        <is>
          <t>ADIF -Consejo de Administración</t>
        </is>
      </c>
      <c r="I122" s="2" t="inlineStr">
        <is>
          <t>Obras de ejecución del proyecto constructivo de la nueva estación Casilla de los Pinos en Dos Hermanas</t>
        </is>
      </c>
      <c r="J122" s="2" t="inlineStr">
        <is>
          <t>3.26/06110.0006</t>
        </is>
      </c>
      <c r="K122" s="2" t="inlineStr">
        <is>
          <t>Abierto</t>
        </is>
      </c>
      <c r="L122" s="6" t="n">
        <v>24</v>
      </c>
      <c r="M122" s="2" t="inlineStr">
        <is>
          <t>K1-4; C3-5; D4-2; C2-4</t>
        </is>
      </c>
      <c r="N122" s="7" t="n">
        <v>0.49</v>
      </c>
      <c r="O122" s="4" t="n"/>
      <c r="P122" s="2" t="inlineStr">
        <is>
          <t>45111200</t>
        </is>
      </c>
      <c r="Q122" s="8" t="inlineStr">
        <is>
          <t>Ver</t>
        </is>
      </c>
      <c r="R122" s="8" t="inlineStr">
        <is>
          <t>PCAP</t>
        </is>
      </c>
      <c r="S122" s="9" t="n">
        <v>46318</v>
      </c>
      <c r="T122" s="3" t="n">
        <v>46323.44167824074</v>
      </c>
      <c r="U122" s="2" t="inlineStr">
        <is>
          <t>2026-10-26: estado ADJ → RES</t>
        </is>
      </c>
    </row>
    <row r="123">
      <c r="A123" s="2" t="inlineStr">
        <is>
          <t>Pendiente de adjudicación</t>
        </is>
      </c>
      <c r="B123" s="3" t="n">
        <v>46322.99930555555</v>
      </c>
      <c r="C123" s="5" t="n">
        <v>107438.02</v>
      </c>
      <c r="D123" s="5" t="n">
        <v>107438.02</v>
      </c>
      <c r="E123" s="2" t="inlineStr">
        <is>
          <t>Andalucía</t>
        </is>
      </c>
      <c r="F123" s="2" t="inlineStr">
        <is>
          <t>Cádiz</t>
        </is>
      </c>
      <c r="G123" s="2" t="inlineStr">
        <is>
          <t>Algodonales</t>
        </is>
      </c>
      <c r="H123" s="2" t="inlineStr">
        <is>
          <t>Alcaldía del Ayuntamiento de Algodonales</t>
        </is>
      </c>
      <c r="I123" s="2" t="inlineStr">
        <is>
          <t>El presente contrato tiene por objeto las obras necesarias para la adecuación de la zona de aparcamiento y evacuación de aguas pluviales en el campo de Fútbol 11.</t>
        </is>
      </c>
      <c r="J123" s="2" t="inlineStr">
        <is>
          <t>2026_11005_COAS_00004</t>
        </is>
      </c>
      <c r="K123" s="2" t="inlineStr">
        <is>
          <t>Abierto simplificado</t>
        </is>
      </c>
      <c r="L123" s="6" t="n">
        <v>6</v>
      </c>
      <c r="M123" s="2" t="n"/>
      <c r="N123" s="7" t="n">
        <v>0</v>
      </c>
      <c r="O123" s="4" t="n"/>
      <c r="P123" s="2" t="inlineStr">
        <is>
          <t>45000000; 45111200; 45233222</t>
        </is>
      </c>
      <c r="Q123" s="8" t="inlineStr">
        <is>
          <t>Ver</t>
        </is>
      </c>
      <c r="R123" s="8" t="inlineStr">
        <is>
          <t>PCAP</t>
        </is>
      </c>
      <c r="S123" s="9" t="n">
        <v>46310</v>
      </c>
      <c r="T123" s="3" t="n">
        <v>46323.44109953703</v>
      </c>
      <c r="U123" s="2" t="inlineStr">
        <is>
          <t>2026-10-29: estado PUB → EV</t>
        </is>
      </c>
    </row>
    <row r="124">
      <c r="A124" s="2" t="inlineStr">
        <is>
          <t>En plazo</t>
        </is>
      </c>
      <c r="B124" s="3" t="n">
        <v>46335.99930555555</v>
      </c>
      <c r="C124" s="5" t="n">
        <v>1915620.68</v>
      </c>
      <c r="D124" s="5" t="n">
        <v>1915620.68</v>
      </c>
      <c r="E124" s="2" t="inlineStr">
        <is>
          <t>Andalucía</t>
        </is>
      </c>
      <c r="F124" s="2" t="inlineStr">
        <is>
          <t>Sevilla</t>
        </is>
      </c>
      <c r="G124" s="2" t="inlineStr">
        <is>
          <t>sevilla</t>
        </is>
      </c>
      <c r="H124" s="2" t="inlineStr">
        <is>
          <t>Comisión Ejecutiva del Patronato del Real Alcázar y Casa Consistorial de Sevilla</t>
        </is>
      </c>
      <c r="I124" s="2" t="inlineStr">
        <is>
          <t>Obra de intervencion y restauracion de la sala de exposiciones del real alcazar de sevilla</t>
        </is>
      </c>
      <c r="J124" s="2" t="inlineStr">
        <is>
          <t>2026/000719</t>
        </is>
      </c>
      <c r="K124" s="2" t="inlineStr">
        <is>
          <t>Abierto simplificado</t>
        </is>
      </c>
      <c r="L124" s="6" t="n">
        <v>9</v>
      </c>
      <c r="M124" s="2" t="inlineStr">
        <is>
          <t>K7-4</t>
        </is>
      </c>
      <c r="N124" s="7" t="n">
        <v>0.2</v>
      </c>
      <c r="O124" s="4" t="n"/>
      <c r="P124" s="2" t="inlineStr">
        <is>
          <t>45212350</t>
        </is>
      </c>
      <c r="Q124" s="8" t="inlineStr">
        <is>
          <t>Ver</t>
        </is>
      </c>
      <c r="R124" s="8" t="inlineStr">
        <is>
          <t>PCAP</t>
        </is>
      </c>
      <c r="S124" s="9" t="n">
        <v>46317</v>
      </c>
      <c r="T124" s="3" t="n">
        <v>46323.43493055556</v>
      </c>
      <c r="U124" s="2" t="n"/>
    </row>
    <row r="125">
      <c r="A125" s="2" t="inlineStr">
        <is>
          <t>En plazo</t>
        </is>
      </c>
      <c r="B125" s="3" t="n">
        <v>46333.99930555555</v>
      </c>
      <c r="C125" s="5" t="n">
        <v>58337.47</v>
      </c>
      <c r="D125" s="5" t="n">
        <v>58337.47</v>
      </c>
      <c r="E125" s="2" t="inlineStr">
        <is>
          <t>Andalucía</t>
        </is>
      </c>
      <c r="F125" s="2" t="inlineStr">
        <is>
          <t>Granada</t>
        </is>
      </c>
      <c r="G125" s="2" t="inlineStr">
        <is>
          <t>DÚDAR</t>
        </is>
      </c>
      <c r="H125" s="2" t="inlineStr">
        <is>
          <t>Alcaldia del Ayuntamiento de Dúdar</t>
        </is>
      </c>
      <c r="I125" s="2" t="inlineStr">
        <is>
          <t>constituye el objeto del contrato la ejecución de las obras dotación de abastecimiento de agua y saneamiento a parcelas urbanas tramo I y II de Dúdar contenidas en el proyecto técnico</t>
        </is>
      </c>
      <c r="J125" s="2" t="inlineStr">
        <is>
          <t>230/2026</t>
        </is>
      </c>
      <c r="K125" s="2" t="inlineStr">
        <is>
          <t>Abierto simplificado</t>
        </is>
      </c>
      <c r="L125" s="6" t="n">
        <v>3</v>
      </c>
      <c r="M125" s="2" t="n"/>
      <c r="N125" s="7" t="n">
        <v>0</v>
      </c>
      <c r="O125" s="4" t="n"/>
      <c r="P125" s="2" t="inlineStr">
        <is>
          <t>45000000</t>
        </is>
      </c>
      <c r="Q125" s="8" t="inlineStr">
        <is>
          <t>Ver</t>
        </is>
      </c>
      <c r="R125" s="8" t="inlineStr">
        <is>
          <t>PCAP</t>
        </is>
      </c>
      <c r="S125" s="9" t="n">
        <v>46324</v>
      </c>
      <c r="T125" s="3" t="n">
        <v>46323.43421296297</v>
      </c>
      <c r="U125" s="2" t="n"/>
    </row>
    <row r="126">
      <c r="A126" s="2" t="inlineStr">
        <is>
          <t>Resuelta</t>
        </is>
      </c>
      <c r="B126" s="3" t="n">
        <v>46245.99930555555</v>
      </c>
      <c r="C126" s="5" t="n">
        <v>62484.94</v>
      </c>
      <c r="D126" s="5" t="n">
        <v>62484.94</v>
      </c>
      <c r="E126" s="2" t="inlineStr">
        <is>
          <t>Comunitat Valenciana</t>
        </is>
      </c>
      <c r="F126" s="2" t="inlineStr">
        <is>
          <t>Castellón</t>
        </is>
      </c>
      <c r="G126" s="2" t="n"/>
      <c r="H126" s="2" t="inlineStr">
        <is>
          <t>Junta de Gobierno del Ayuntamiento de Castellón de la Plana</t>
        </is>
      </c>
      <c r="I126" s="2" t="inlineStr">
        <is>
          <t>Obras del proyecto de instalación de balizamiento en motor la Plana 36-42, entrador San Ildefonso, Camí l´Obra, Teuladi, Segon Canal, Entrador 38, Entrador 112 y N-225.</t>
        </is>
      </c>
      <c r="J126" s="2" t="inlineStr">
        <is>
          <t>58903/2026</t>
        </is>
      </c>
      <c r="K126" s="2" t="inlineStr">
        <is>
          <t>Abierto simplificado</t>
        </is>
      </c>
      <c r="L126" s="6" t="n">
        <v>1.6</v>
      </c>
      <c r="M126" s="2" t="n"/>
      <c r="N126" s="7" t="n">
        <v>0.25</v>
      </c>
      <c r="O126" s="4" t="n"/>
      <c r="P126" s="2" t="inlineStr">
        <is>
          <t>45316000</t>
        </is>
      </c>
      <c r="Q126" s="8" t="inlineStr">
        <is>
          <t>Ver</t>
        </is>
      </c>
      <c r="R126" s="8" t="inlineStr">
        <is>
          <t>PCAP</t>
        </is>
      </c>
      <c r="S126" s="9" t="n">
        <v>46324</v>
      </c>
      <c r="T126" s="3" t="n">
        <v>46323.43278935185</v>
      </c>
      <c r="U126" s="2" t="n"/>
    </row>
    <row r="127">
      <c r="A127" s="2" t="inlineStr">
        <is>
          <t>En plazo</t>
        </is>
      </c>
      <c r="B127" s="3" t="n">
        <v>46342.99930555555</v>
      </c>
      <c r="C127" s="5" t="n">
        <v>101017.32</v>
      </c>
      <c r="D127" s="5" t="n">
        <v>101017.32</v>
      </c>
      <c r="E127" s="2" t="inlineStr">
        <is>
          <t>Andalucía</t>
        </is>
      </c>
      <c r="F127" s="2" t="inlineStr">
        <is>
          <t>Sevilla</t>
        </is>
      </c>
      <c r="G127" s="2" t="inlineStr">
        <is>
          <t>SALTERAS</t>
        </is>
      </c>
      <c r="H127" s="2" t="inlineStr">
        <is>
          <t>Alcaldía del Ayuntamiento de Salteras</t>
        </is>
      </c>
      <c r="I127" s="2" t="inlineStr">
        <is>
          <t>Constituye el objeto del presente contrato la ejecución de las obras de reasfaltado de la Calle Las Moreras, Plaza María González Valverde y calles Nogal, Pino, Ciprés, Arce, Sauce, Álamo, Olmo, Cedro, Chopo, Fresno, Tejo, Tilo, Abeto, Acacia y Haya de la Urbanización Tierrablanca, en el municipio de Salteras</t>
        </is>
      </c>
      <c r="J127" s="2" t="inlineStr">
        <is>
          <t>1407/2026 REAS VARIAS CALLES</t>
        </is>
      </c>
      <c r="K127" s="2" t="inlineStr">
        <is>
          <t>Abierto simplificado</t>
        </is>
      </c>
      <c r="L127" s="6" t="n">
        <v>3</v>
      </c>
      <c r="M127" s="2" t="n"/>
      <c r="N127" s="7" t="n">
        <v>0</v>
      </c>
      <c r="O127" s="4" t="n"/>
      <c r="P127" s="2" t="inlineStr">
        <is>
          <t>45233222</t>
        </is>
      </c>
      <c r="Q127" s="8" t="inlineStr">
        <is>
          <t>Ver</t>
        </is>
      </c>
      <c r="R127" s="8" t="inlineStr">
        <is>
          <t>PCAP</t>
        </is>
      </c>
      <c r="S127" s="9" t="n">
        <v>46324</v>
      </c>
      <c r="T127" s="3" t="n">
        <v>46323.42261574074</v>
      </c>
      <c r="U127" s="2" t="n"/>
    </row>
    <row r="128">
      <c r="A128" s="2" t="inlineStr">
        <is>
          <t>En plazo</t>
        </is>
      </c>
      <c r="B128" s="3" t="n">
        <v>46343.99930555555</v>
      </c>
      <c r="C128" s="5" t="n">
        <v>99960</v>
      </c>
      <c r="D128" s="5" t="n">
        <v>99960</v>
      </c>
      <c r="E128" s="2" t="inlineStr">
        <is>
          <t>Andalucía</t>
        </is>
      </c>
      <c r="F128" s="2" t="inlineStr">
        <is>
          <t>Cádiz</t>
        </is>
      </c>
      <c r="G128" s="2" t="inlineStr">
        <is>
          <t>GRAZALEMA</t>
        </is>
      </c>
      <c r="H128" s="2" t="inlineStr">
        <is>
          <t>Alcaldía del Ayuntamiento de Grazalema</t>
        </is>
      </c>
      <c r="I128" s="2" t="inlineStr">
        <is>
          <t>Ejecución de la obra consistente en la realización de aparcamientos en "La Rosilla" en Benamahoma. Actuación integrada en el anexo de actuaciones del Plan Cádiz Marcha de 2025 como número 23.1</t>
        </is>
      </c>
      <c r="J128" s="2" t="inlineStr">
        <is>
          <t>36/2025 B</t>
        </is>
      </c>
      <c r="K128" s="2" t="inlineStr">
        <is>
          <t>Abierto simplificado</t>
        </is>
      </c>
      <c r="L128" s="6" t="n">
        <v>6</v>
      </c>
      <c r="M128" s="2" t="n"/>
      <c r="N128" s="7" t="n">
        <v>0</v>
      </c>
      <c r="O128" s="4" t="n"/>
      <c r="P128" s="2" t="inlineStr">
        <is>
          <t>45200000; 45100000; 45223300</t>
        </is>
      </c>
      <c r="Q128" s="8" t="inlineStr">
        <is>
          <t>Ver</t>
        </is>
      </c>
      <c r="R128" s="8" t="inlineStr">
        <is>
          <t>PCAP</t>
        </is>
      </c>
      <c r="S128" s="9" t="n">
        <v>46324</v>
      </c>
      <c r="T128" s="3" t="n">
        <v>46323.42259259259</v>
      </c>
      <c r="U128" s="2" t="n"/>
    </row>
    <row r="129">
      <c r="A129" s="2" t="inlineStr">
        <is>
          <t>Pendiente de adjudicación</t>
        </is>
      </c>
      <c r="B129" s="3" t="n">
        <v>46321.99930555555</v>
      </c>
      <c r="C129" s="5" t="n">
        <v>144086.69</v>
      </c>
      <c r="D129" s="5" t="n">
        <v>174344.89</v>
      </c>
      <c r="E129" s="2" t="inlineStr">
        <is>
          <t>Comunitat Valenciana</t>
        </is>
      </c>
      <c r="F129" s="2" t="inlineStr">
        <is>
          <t>Alicante</t>
        </is>
      </c>
      <c r="G129" s="2" t="n"/>
      <c r="H129" s="2" t="inlineStr">
        <is>
          <t>Junta de Gobierno del Ayuntamiento de Elche</t>
        </is>
      </c>
      <c r="I129" s="2" t="inlineStr">
        <is>
          <t>Obras de reurbanización de las calles Andrés Torrejón y Antonio Flores.</t>
        </is>
      </c>
      <c r="J129" s="2" t="inlineStr">
        <is>
          <t>OBR/ABR_SMPL/2026000157</t>
        </is>
      </c>
      <c r="K129" s="2" t="inlineStr">
        <is>
          <t>Abierto simplificado</t>
        </is>
      </c>
      <c r="L129" s="6" t="n">
        <v>3</v>
      </c>
      <c r="M129" s="2" t="n"/>
      <c r="N129" s="7" t="n">
        <v>0.2</v>
      </c>
      <c r="O129" s="4" t="n"/>
      <c r="P129" s="2" t="inlineStr">
        <is>
          <t>45233140</t>
        </is>
      </c>
      <c r="Q129" s="8" t="inlineStr">
        <is>
          <t>Ver</t>
        </is>
      </c>
      <c r="R129" s="8" t="inlineStr">
        <is>
          <t>PCAP</t>
        </is>
      </c>
      <c r="S129" s="9" t="n">
        <v>46314</v>
      </c>
      <c r="T129" s="3" t="n">
        <v>46323.41929398148</v>
      </c>
      <c r="U129" s="2" t="inlineStr">
        <is>
          <t>2026-10-29: estado PUB → EV</t>
        </is>
      </c>
    </row>
    <row r="130">
      <c r="A130" s="2" t="inlineStr">
        <is>
          <t>En plazo</t>
        </is>
      </c>
      <c r="B130" s="3" t="n">
        <v>46351.54166666666</v>
      </c>
      <c r="C130" s="5" t="n">
        <v>282050.83</v>
      </c>
      <c r="D130" s="5" t="n">
        <v>282050.83</v>
      </c>
      <c r="E130" s="2" t="inlineStr">
        <is>
          <t>Andalucía</t>
        </is>
      </c>
      <c r="F130" s="2" t="inlineStr">
        <is>
          <t>Sevilla</t>
        </is>
      </c>
      <c r="G130" s="2" t="n"/>
      <c r="H130" s="2" t="inlineStr">
        <is>
          <t>Autoridad Portuaria de Sevilla</t>
        </is>
      </c>
      <c r="I130" s="2" t="inlineStr">
        <is>
          <t>Cerramiento perimetral en la Dársena del Cuarto, Puerto de Sevilla</t>
        </is>
      </c>
      <c r="J130" s="2" t="inlineStr">
        <is>
          <t>CONT26067</t>
        </is>
      </c>
      <c r="K130" s="2" t="inlineStr">
        <is>
          <t>Abierto</t>
        </is>
      </c>
      <c r="L130" s="6" t="n">
        <v>4</v>
      </c>
      <c r="M130" s="2" t="n"/>
      <c r="N130" s="7" t="n">
        <v>0</v>
      </c>
      <c r="O130" s="4" t="n"/>
      <c r="P130" s="2" t="inlineStr">
        <is>
          <t>45261000</t>
        </is>
      </c>
      <c r="Q130" s="8" t="inlineStr">
        <is>
          <t>Ver</t>
        </is>
      </c>
      <c r="R130" s="8" t="inlineStr">
        <is>
          <t>PCAP</t>
        </is>
      </c>
      <c r="S130" s="9" t="n">
        <v>46324</v>
      </c>
      <c r="T130" s="3" t="n">
        <v>46323.41893518518</v>
      </c>
      <c r="U130" s="2" t="n"/>
    </row>
    <row r="131">
      <c r="A131" s="2" t="inlineStr">
        <is>
          <t>En plazo</t>
        </is>
      </c>
      <c r="B131" s="3" t="n">
        <v>46343.99930555555</v>
      </c>
      <c r="C131" s="5" t="n">
        <v>92126.45</v>
      </c>
      <c r="D131" s="5" t="n">
        <v>92126.45</v>
      </c>
      <c r="E131" s="2" t="inlineStr">
        <is>
          <t>Andalucía</t>
        </is>
      </c>
      <c r="F131" s="2" t="inlineStr">
        <is>
          <t>Granada</t>
        </is>
      </c>
      <c r="G131" s="2" t="inlineStr">
        <is>
          <t>CACIN</t>
        </is>
      </c>
      <c r="H131" s="2" t="inlineStr">
        <is>
          <t>Presidencia de la Diputación Provincial de Granada</t>
        </is>
      </c>
      <c r="I131" s="2" t="inlineStr">
        <is>
          <t>2026/4/PPOYS-31 "Cacín, pavimentación camino de acceso a Chimeneas y camino Puente Romano"</t>
        </is>
      </c>
      <c r="J131" s="2" t="inlineStr">
        <is>
          <t>OB-067/26</t>
        </is>
      </c>
      <c r="K131" s="2" t="inlineStr">
        <is>
          <t>Abierto simplificado</t>
        </is>
      </c>
      <c r="L131" s="6" t="n">
        <v>2</v>
      </c>
      <c r="M131" s="2" t="inlineStr">
        <is>
          <t>G6-1</t>
        </is>
      </c>
      <c r="N131" s="7" t="n">
        <v>0</v>
      </c>
      <c r="O131" s="4" t="n"/>
      <c r="P131" s="2" t="inlineStr">
        <is>
          <t>45233252</t>
        </is>
      </c>
      <c r="Q131" s="8" t="inlineStr">
        <is>
          <t>Ver</t>
        </is>
      </c>
      <c r="R131" s="8" t="inlineStr">
        <is>
          <t>PCAP</t>
        </is>
      </c>
      <c r="S131" s="9" t="n">
        <v>46324</v>
      </c>
      <c r="T131" s="3" t="n">
        <v>46323.41873842593</v>
      </c>
      <c r="U131" s="2" t="n"/>
    </row>
    <row r="132">
      <c r="A132" s="2" t="inlineStr">
        <is>
          <t>En plazo</t>
        </is>
      </c>
      <c r="B132" s="3" t="n">
        <v>46338.99930555555</v>
      </c>
      <c r="C132" s="5" t="n">
        <v>72727.27</v>
      </c>
      <c r="D132" s="5" t="n">
        <v>72727.27</v>
      </c>
      <c r="E132" s="2" t="inlineStr">
        <is>
          <t>Andalucía</t>
        </is>
      </c>
      <c r="F132" s="2" t="inlineStr">
        <is>
          <t>Cádiz</t>
        </is>
      </c>
      <c r="G132" s="2" t="inlineStr">
        <is>
          <t>Benalup-Casas Viejas</t>
        </is>
      </c>
      <c r="H132" s="2" t="inlineStr">
        <is>
          <t>Junta de Gobierno Local del Ayuntamiento de Benalup-Casas Viejas</t>
        </is>
      </c>
      <c r="I132" s="2" t="inlineStr">
        <is>
          <t>Asfaltado de calle Cantarranas, Avda. de Andalucía y Paseo de la Janda.</t>
        </is>
      </c>
      <c r="J132" s="2" t="inlineStr">
        <is>
          <t>1236/2026</t>
        </is>
      </c>
      <c r="K132" s="2" t="inlineStr">
        <is>
          <t>Abierto simplificado</t>
        </is>
      </c>
      <c r="L132" s="6" t="n">
        <v>2</v>
      </c>
      <c r="M132" s="2" t="n"/>
      <c r="N132" s="7" t="n">
        <v>0</v>
      </c>
      <c r="O132" s="4" t="n"/>
      <c r="P132" s="2" t="inlineStr">
        <is>
          <t>45233222</t>
        </is>
      </c>
      <c r="Q132" s="8" t="inlineStr">
        <is>
          <t>Ver</t>
        </is>
      </c>
      <c r="R132" s="8" t="inlineStr">
        <is>
          <t>PCAP</t>
        </is>
      </c>
      <c r="S132" s="9" t="n">
        <v>46321</v>
      </c>
      <c r="T132" s="3" t="n">
        <v>46323.41393518518</v>
      </c>
      <c r="U132" s="2" t="n"/>
    </row>
    <row r="133">
      <c r="A133" s="2" t="inlineStr">
        <is>
          <t>En plazo</t>
        </is>
      </c>
      <c r="B133" s="3" t="n">
        <v>46343.99930555555</v>
      </c>
      <c r="C133" s="5" t="n">
        <v>150841.63</v>
      </c>
      <c r="D133" s="5" t="n">
        <v>150841.63</v>
      </c>
      <c r="E133" s="2" t="inlineStr">
        <is>
          <t>Andalucía</t>
        </is>
      </c>
      <c r="F133" s="2" t="inlineStr">
        <is>
          <t>Málaga</t>
        </is>
      </c>
      <c r="G133" s="2" t="n"/>
      <c r="H133" s="2" t="inlineStr">
        <is>
          <t>Alcaldía del Ayuntamiento de Alhaurín de la Torre</t>
        </is>
      </c>
      <c r="I133" s="2" t="inlineStr">
        <is>
          <t>DANA 2024 Obras Reparación de las estructuras de paso de Caminos rurales en el Peñón, . ALHAURÍN DE LA TORRE, MÁLAGA. El presente contrato se encuentra financiado por la Administración General del Estado a través del Ministerio de Política Territorial y Memoria democrática.</t>
        </is>
      </c>
      <c r="J133" s="2" t="inlineStr">
        <is>
          <t>2026 CONT-00038</t>
        </is>
      </c>
      <c r="K133" s="2" t="inlineStr">
        <is>
          <t>Abierto simplificado</t>
        </is>
      </c>
      <c r="L133" s="6" t="n">
        <v>2</v>
      </c>
      <c r="M133" s="2" t="n"/>
      <c r="N133" s="7" t="n">
        <v>0</v>
      </c>
      <c r="O133" s="4" t="n"/>
      <c r="P133" s="2" t="inlineStr">
        <is>
          <t>45233142; 45232130; 45221111; 45221110</t>
        </is>
      </c>
      <c r="Q133" s="8" t="inlineStr">
        <is>
          <t>Ver</t>
        </is>
      </c>
      <c r="R133" s="8" t="inlineStr">
        <is>
          <t>PCAP</t>
        </is>
      </c>
      <c r="S133" s="9" t="n">
        <v>46323</v>
      </c>
      <c r="T133" s="3" t="n">
        <v>46323.41391203704</v>
      </c>
      <c r="U133" s="2" t="inlineStr">
        <is>
          <t>2026-10-29: plazo 2026-11-16 23:59 → 2026-11-17 23:59</t>
        </is>
      </c>
    </row>
    <row r="134">
      <c r="A134" s="2" t="inlineStr">
        <is>
          <t>En plazo</t>
        </is>
      </c>
      <c r="B134" s="3" t="n">
        <v>46331.99930555555</v>
      </c>
      <c r="C134" s="5" t="n">
        <v>5236971.63</v>
      </c>
      <c r="D134" s="5" t="n">
        <v>5236971.63</v>
      </c>
      <c r="E134" s="2" t="inlineStr">
        <is>
          <t>Andalucía</t>
        </is>
      </c>
      <c r="F134" s="2" t="inlineStr">
        <is>
          <t>Huelva</t>
        </is>
      </c>
      <c r="G134" s="2" t="inlineStr">
        <is>
          <t>HUELVA</t>
        </is>
      </c>
      <c r="H134" s="2" t="inlineStr">
        <is>
          <t>Junta de Gobierno de la Diputación Provincial de Huelva</t>
        </is>
      </c>
      <c r="I134" s="2" t="inlineStr">
        <is>
          <t>El presente contrato tiene por objeto la rehabilitación del firme de diversas carreteras provinciales pertenecientes al Plan de inversiones del Servicio de Carreteras y Caminos 2025 y Tu Diputación Actua.</t>
        </is>
      </c>
      <c r="J134" s="2" t="inlineStr">
        <is>
          <t>2026/CMY_03/000148</t>
        </is>
      </c>
      <c r="K134" s="2" t="inlineStr">
        <is>
          <t>Abierto</t>
        </is>
      </c>
      <c r="L134" s="6" t="n">
        <v>3</v>
      </c>
      <c r="M134" s="2" t="n"/>
      <c r="N134" s="7" t="n">
        <v>0</v>
      </c>
      <c r="O134" s="4" t="n">
        <v>6</v>
      </c>
      <c r="P134" s="2" t="inlineStr">
        <is>
          <t>45233000</t>
        </is>
      </c>
      <c r="Q134" s="8" t="inlineStr">
        <is>
          <t>Ver</t>
        </is>
      </c>
      <c r="R134" s="8" t="inlineStr">
        <is>
          <t>PCAP</t>
        </is>
      </c>
      <c r="S134" s="9" t="n">
        <v>46321</v>
      </c>
      <c r="T134" s="3" t="n">
        <v>46323.41303240741</v>
      </c>
      <c r="U134" s="2" t="n"/>
    </row>
    <row r="135">
      <c r="A135" s="2" t="inlineStr">
        <is>
          <t>Pendiente de adjudicación</t>
        </is>
      </c>
      <c r="B135" s="3" t="n">
        <v>46308.99930555555</v>
      </c>
      <c r="C135" s="5" t="n">
        <v>330742.15</v>
      </c>
      <c r="D135" s="5" t="n">
        <v>330742.15</v>
      </c>
      <c r="E135" s="2" t="inlineStr">
        <is>
          <t>Andalucía</t>
        </is>
      </c>
      <c r="F135" s="2" t="inlineStr">
        <is>
          <t>Córdoba</t>
        </is>
      </c>
      <c r="G135" s="2" t="n"/>
      <c r="H135" s="2" t="inlineStr">
        <is>
          <t>Junta de Gobierno de la Diputación Provincial de Córdoba</t>
        </is>
      </c>
      <c r="I135" s="2" t="inlineStr">
        <is>
          <t>Remodelación viaria calle Gran Capitán entorno Plaza Andalucía y calle La Plata, en Monturque (Córdoba) obra incluida en el Plan Provincial de Obras y Servicios 2024-2027</t>
        </is>
      </c>
      <c r="J135" s="2" t="inlineStr">
        <is>
          <t>665/26</t>
        </is>
      </c>
      <c r="K135" s="2" t="inlineStr">
        <is>
          <t>Abierto</t>
        </is>
      </c>
      <c r="L135" s="6" t="n">
        <v>10</v>
      </c>
      <c r="M135" s="2" t="n"/>
      <c r="N135" s="7" t="n">
        <v>0.4</v>
      </c>
      <c r="O135" s="4" t="n"/>
      <c r="P135" s="2" t="inlineStr">
        <is>
          <t>45233252</t>
        </is>
      </c>
      <c r="Q135" s="8" t="inlineStr">
        <is>
          <t>Ver</t>
        </is>
      </c>
      <c r="R135" s="8" t="inlineStr">
        <is>
          <t>PCAP</t>
        </is>
      </c>
      <c r="S135" s="9" t="n">
        <v>46310</v>
      </c>
      <c r="T135" s="3" t="n">
        <v>46323.41122685185</v>
      </c>
      <c r="U135" s="2" t="n"/>
    </row>
    <row r="136">
      <c r="A136" s="2" t="inlineStr">
        <is>
          <t>Adjudicada</t>
        </is>
      </c>
      <c r="B136" s="3" t="n">
        <v>46181.5</v>
      </c>
      <c r="C136" s="5" t="n">
        <v>473688.6</v>
      </c>
      <c r="D136" s="5" t="n">
        <v>473688.6</v>
      </c>
      <c r="E136" s="2" t="inlineStr">
        <is>
          <t>Andalucía</t>
        </is>
      </c>
      <c r="F136" s="2" t="inlineStr">
        <is>
          <t>Málaga</t>
        </is>
      </c>
      <c r="G136" s="2" t="n"/>
      <c r="H136" s="2" t="inlineStr">
        <is>
          <t>Instituto Municipal de la Vivienda de Málaga</t>
        </is>
      </c>
      <c r="I136" s="2" t="inlineStr">
        <is>
          <t>Obras relativas a las actuaciones en cubiertas del edificio para la rehabilitación y adaptación del antiguo Hospital Noble, sito en Plaza del General Torrijos, nº 1 Málaga.</t>
        </is>
      </c>
      <c r="J136" s="2" t="inlineStr">
        <is>
          <t>2025/27</t>
        </is>
      </c>
      <c r="K136" s="2" t="inlineStr">
        <is>
          <t>Abierto</t>
        </is>
      </c>
      <c r="L136" s="6" t="n">
        <v>12</v>
      </c>
      <c r="M136" s="2" t="inlineStr">
        <is>
          <t>C4-3; C9-3; C7-3; C8-3</t>
        </is>
      </c>
      <c r="N136" s="7" t="n">
        <v>0.4</v>
      </c>
      <c r="O136" s="4" t="n"/>
      <c r="P136" s="2" t="inlineStr">
        <is>
          <t>45400000; 45210000</t>
        </is>
      </c>
      <c r="Q136" s="8" t="inlineStr">
        <is>
          <t>Ver</t>
        </is>
      </c>
      <c r="R136" s="8" t="inlineStr">
        <is>
          <t>PCAP</t>
        </is>
      </c>
      <c r="S136" s="9" t="n">
        <v>46324</v>
      </c>
      <c r="T136" s="3" t="n">
        <v>46323.4097800926</v>
      </c>
      <c r="U136" s="2" t="n"/>
    </row>
    <row r="137">
      <c r="A137" s="2" t="inlineStr">
        <is>
          <t>Resuelta</t>
        </is>
      </c>
      <c r="B137" s="3" t="n">
        <v>45789.99930555555</v>
      </c>
      <c r="C137" s="5" t="n">
        <v>501724.12</v>
      </c>
      <c r="D137" s="5" t="n">
        <v>602068.9399999999</v>
      </c>
      <c r="E137" s="2" t="inlineStr">
        <is>
          <t>Comunitat Valenciana</t>
        </is>
      </c>
      <c r="F137" s="2" t="inlineStr">
        <is>
          <t>Valencia</t>
        </is>
      </c>
      <c r="G137" s="2" t="inlineStr">
        <is>
          <t>Valencia</t>
        </is>
      </c>
      <c r="H137" s="2" t="inlineStr">
        <is>
          <t>Rectorado de la Universitat de València</t>
        </is>
      </c>
      <c r="I137" s="2" t="inlineStr">
        <is>
          <t>Reforma de las plantas 1 y 2 del Edifici de Rectorat II</t>
        </is>
      </c>
      <c r="J137" s="2" t="inlineStr">
        <is>
          <t>2025OB00004</t>
        </is>
      </c>
      <c r="K137" s="2" t="inlineStr">
        <is>
          <t>Abierto simplificado</t>
        </is>
      </c>
      <c r="L137" s="6" t="n">
        <v>6</v>
      </c>
      <c r="M137" s="2" t="inlineStr">
        <is>
          <t>C4-1; I6-2</t>
        </is>
      </c>
      <c r="N137" s="7" t="n">
        <v>0.25</v>
      </c>
      <c r="O137" s="4" t="n"/>
      <c r="P137" s="2" t="inlineStr">
        <is>
          <t>45214400</t>
        </is>
      </c>
      <c r="Q137" s="8" t="inlineStr">
        <is>
          <t>Ver</t>
        </is>
      </c>
      <c r="R137" s="8" t="inlineStr">
        <is>
          <t>PCAP</t>
        </is>
      </c>
      <c r="S137" s="9" t="n">
        <v>46324</v>
      </c>
      <c r="T137" s="3" t="n">
        <v>46323.40736111111</v>
      </c>
      <c r="U137" s="2" t="n"/>
    </row>
    <row r="138">
      <c r="A138" s="2" t="inlineStr">
        <is>
          <t>Resuelta</t>
        </is>
      </c>
      <c r="B138" s="3" t="n">
        <v>44998.58333333334</v>
      </c>
      <c r="C138" s="5" t="n">
        <v>257745.3</v>
      </c>
      <c r="D138" s="5" t="n">
        <v>257745.3</v>
      </c>
      <c r="E138" s="2" t="inlineStr">
        <is>
          <t>Comunitat Valenciana</t>
        </is>
      </c>
      <c r="F138" s="2" t="inlineStr">
        <is>
          <t>Valencia</t>
        </is>
      </c>
      <c r="G138" s="2" t="n"/>
      <c r="H138" s="2" t="inlineStr">
        <is>
          <t>Empresa de Transformación Agraria S.A.,S.M.E., M.P., (TRAGSA)</t>
        </is>
      </c>
      <c r="I138" s="2" t="inlineStr">
        <is>
          <t>Trabajos de instalaciones eléctricas en media tensión en el marco del proyecto modificado nº1 de las obras de reordenación de la infraestructura hidráulica de la huerta y red de saneamiento del área metropolitana de Valencia.</t>
        </is>
      </c>
      <c r="J138" s="2" t="inlineStr">
        <is>
          <t>TSA0074956</t>
        </is>
      </c>
      <c r="K138" s="2" t="inlineStr">
        <is>
          <t>Abierto simplificado</t>
        </is>
      </c>
      <c r="L138" s="6" t="n">
        <v>6</v>
      </c>
      <c r="M138" s="2" t="inlineStr">
        <is>
          <t>I5-2</t>
        </is>
      </c>
      <c r="N138" s="7" t="n">
        <v>0</v>
      </c>
      <c r="O138" s="4" t="n"/>
      <c r="P138" s="2" t="inlineStr">
        <is>
          <t>45315500</t>
        </is>
      </c>
      <c r="Q138" s="8" t="inlineStr">
        <is>
          <t>Ver</t>
        </is>
      </c>
      <c r="R138" s="8" t="inlineStr">
        <is>
          <t>PCAP</t>
        </is>
      </c>
      <c r="S138" s="9" t="n">
        <v>46318</v>
      </c>
      <c r="T138" s="3" t="n">
        <v>46323.40040509259</v>
      </c>
      <c r="U138" s="2" t="n"/>
    </row>
    <row r="139">
      <c r="A139" s="2" t="inlineStr">
        <is>
          <t>Resuelta</t>
        </is>
      </c>
      <c r="B139" s="3" t="n">
        <v>46280.5</v>
      </c>
      <c r="C139" s="5" t="n">
        <v>331209.34</v>
      </c>
      <c r="D139" s="5" t="n">
        <v>331209.34</v>
      </c>
      <c r="E139" s="2" t="inlineStr">
        <is>
          <t>Andalucía</t>
        </is>
      </c>
      <c r="F139" s="2" t="inlineStr">
        <is>
          <t>Sevilla</t>
        </is>
      </c>
      <c r="G139" s="2" t="n"/>
      <c r="H139" s="2" t="inlineStr">
        <is>
          <t>Jefatura de Intendencia de Asuntos Económicos Sur</t>
        </is>
      </c>
      <c r="I139" s="2" t="inlineStr">
        <is>
          <t>OBRA TC 211-05/26 de adecuación de la fachada norte e impermeabilización de azotea en varios edificios, RLM Virgen de los Reyes, Sevilla</t>
        </is>
      </c>
      <c r="J139" s="2" t="inlineStr">
        <is>
          <t>2026/ETSAE0226/00005797E</t>
        </is>
      </c>
      <c r="K139" s="2" t="inlineStr">
        <is>
          <t>Abierto simplificado</t>
        </is>
      </c>
      <c r="L139" s="6" t="n">
        <v>2</v>
      </c>
      <c r="M139" s="2" t="n"/>
      <c r="N139" s="7" t="n">
        <v>0</v>
      </c>
      <c r="O139" s="4" t="n"/>
      <c r="P139" s="2" t="inlineStr">
        <is>
          <t>45261420</t>
        </is>
      </c>
      <c r="Q139" s="8" t="inlineStr">
        <is>
          <t>Ver</t>
        </is>
      </c>
      <c r="R139" s="8" t="inlineStr">
        <is>
          <t>PCAP</t>
        </is>
      </c>
      <c r="S139" s="9" t="n">
        <v>46324</v>
      </c>
      <c r="T139" s="3" t="n">
        <v>46323.40010416666</v>
      </c>
      <c r="U139" s="2" t="n"/>
    </row>
    <row r="140">
      <c r="A140" s="2" t="inlineStr">
        <is>
          <t>Resuelta</t>
        </is>
      </c>
      <c r="B140" s="3" t="n">
        <v>45915.99930555555</v>
      </c>
      <c r="C140" s="5" t="n">
        <v>206611.57</v>
      </c>
      <c r="D140" s="5" t="n">
        <v>206611.57</v>
      </c>
      <c r="E140" s="2" t="inlineStr">
        <is>
          <t>Andalucía</t>
        </is>
      </c>
      <c r="F140" s="2" t="inlineStr">
        <is>
          <t>Sevilla</t>
        </is>
      </c>
      <c r="G140" s="2" t="n"/>
      <c r="H140" s="2" t="inlineStr">
        <is>
          <t>Presidencia de la Diputación Provincial de Sevilla</t>
        </is>
      </c>
      <c r="I140" s="2" t="inlineStr">
        <is>
          <t>Obras en C.P. SE-4107, mejora de firme varios tramos</t>
        </is>
      </c>
      <c r="J140" s="2" t="inlineStr">
        <is>
          <t>2025/000670-PAAS</t>
        </is>
      </c>
      <c r="K140" s="2" t="inlineStr">
        <is>
          <t>Abierto simplificado</t>
        </is>
      </c>
      <c r="L140" s="6" t="n">
        <v>3</v>
      </c>
      <c r="M140" s="2" t="n"/>
      <c r="N140" s="7" t="n">
        <v>0</v>
      </c>
      <c r="O140" s="4" t="n"/>
      <c r="P140" s="2" t="inlineStr">
        <is>
          <t>45233142</t>
        </is>
      </c>
      <c r="Q140" s="8" t="inlineStr">
        <is>
          <t>Ver</t>
        </is>
      </c>
      <c r="R140" s="8" t="inlineStr">
        <is>
          <t>PCAP</t>
        </is>
      </c>
      <c r="S140" s="9" t="n">
        <v>46324</v>
      </c>
      <c r="T140" s="3" t="n">
        <v>46323.39987268519</v>
      </c>
      <c r="U140" s="2" t="n"/>
    </row>
    <row r="141">
      <c r="A141" s="2" t="inlineStr">
        <is>
          <t>Resuelta</t>
        </is>
      </c>
      <c r="B141" s="3" t="n">
        <v>46322.99930555555</v>
      </c>
      <c r="C141" s="5" t="n">
        <v>77663.16</v>
      </c>
      <c r="D141" s="5" t="n">
        <v>93195.78999999999</v>
      </c>
      <c r="E141" s="2" t="inlineStr">
        <is>
          <t>Comunitat Valenciana</t>
        </is>
      </c>
      <c r="F141" s="2" t="inlineStr">
        <is>
          <t>Valencia</t>
        </is>
      </c>
      <c r="G141" s="2" t="n"/>
      <c r="H141" s="2" t="inlineStr">
        <is>
          <t>Dirección General Societat Anonima de Gestió Sagunt Mitja Propi Municipal S.A.</t>
        </is>
      </c>
      <c r="I141" s="2" t="inlineStr">
        <is>
          <t>El contrato tiene por objeto la ejecución completa de la obra civil asociada a la futura mejora de iluminación: zanjas y canalizaciones en asfalto, tierra y zonas de paso pesado; arquetas de registro; y cimentaciones para columnas de 6, 7 y 10 m final en la Planta de Transferencia de Sagunto.</t>
        </is>
      </c>
      <c r="J141" s="2" t="inlineStr">
        <is>
          <t>BASADO05 AMSAG2025-09</t>
        </is>
      </c>
      <c r="K141" s="2" t="inlineStr">
        <is>
          <t>Abierto</t>
        </is>
      </c>
      <c r="L141" s="6" t="n">
        <v>1</v>
      </c>
      <c r="M141" s="2" t="n"/>
      <c r="N141" s="7" t="n">
        <v>0</v>
      </c>
      <c r="O141" s="4" t="n"/>
      <c r="P141" s="2" t="inlineStr">
        <is>
          <t>45232000</t>
        </is>
      </c>
      <c r="Q141" s="8" t="inlineStr">
        <is>
          <t>Ver</t>
        </is>
      </c>
      <c r="R141" s="8" t="inlineStr">
        <is>
          <t>PCAP</t>
        </is>
      </c>
      <c r="S141" s="9" t="n">
        <v>46324</v>
      </c>
      <c r="T141" s="3" t="n">
        <v>46323.39971064815</v>
      </c>
      <c r="U141" s="2" t="n"/>
    </row>
    <row r="142">
      <c r="A142" s="2" t="inlineStr">
        <is>
          <t>En plazo</t>
        </is>
      </c>
      <c r="B142" s="3" t="n">
        <v>46349.99930555555</v>
      </c>
      <c r="C142" s="5" t="n">
        <v>2005218.3</v>
      </c>
      <c r="D142" s="5" t="n">
        <v>2205740.13</v>
      </c>
      <c r="E142" s="2" t="inlineStr">
        <is>
          <t>Comunitat Valenciana</t>
        </is>
      </c>
      <c r="F142" s="2" t="inlineStr">
        <is>
          <t>Castellón</t>
        </is>
      </c>
      <c r="G142" s="2" t="n"/>
      <c r="H142" s="2" t="inlineStr">
        <is>
          <t>Junta de Gobierno del Ayuntamiento de La Vall d'Uixó</t>
        </is>
      </c>
      <c r="I142" s="2" t="inlineStr">
        <is>
          <t>Obres EDIFICANT - CEIP Lleonard Mingarro - Demolició i Construcció Nou Edifici Infantil i Adecuació Edifici Primària</t>
        </is>
      </c>
      <c r="J142" s="2" t="inlineStr">
        <is>
          <t>JGL-OBR/2026000049</t>
        </is>
      </c>
      <c r="K142" s="2" t="inlineStr">
        <is>
          <t>Abierto</t>
        </is>
      </c>
      <c r="L142" s="6" t="n">
        <v>12</v>
      </c>
      <c r="M142" s="2" t="n"/>
      <c r="N142" s="7" t="n">
        <v>0.3</v>
      </c>
      <c r="O142" s="4" t="n"/>
      <c r="P142" s="2" t="inlineStr">
        <is>
          <t>45214000</t>
        </is>
      </c>
      <c r="Q142" s="8" t="inlineStr">
        <is>
          <t>Ver</t>
        </is>
      </c>
      <c r="R142" s="8" t="inlineStr">
        <is>
          <t>PCAP</t>
        </is>
      </c>
      <c r="S142" s="9" t="n">
        <v>46323</v>
      </c>
      <c r="T142" s="3" t="n">
        <v>46323.39966435185</v>
      </c>
      <c r="U142" s="2" t="n"/>
    </row>
    <row r="143">
      <c r="A143" s="2" t="inlineStr">
        <is>
          <t>Pendiente de adjudicación</t>
        </is>
      </c>
      <c r="B143" s="3" t="n">
        <v>46317.99930555555</v>
      </c>
      <c r="C143" s="5" t="n">
        <v>700330.77</v>
      </c>
      <c r="D143" s="5" t="n">
        <v>700330.77</v>
      </c>
      <c r="E143" s="2" t="inlineStr">
        <is>
          <t>Andalucía</t>
        </is>
      </c>
      <c r="F143" s="2" t="inlineStr">
        <is>
          <t>Córdoba</t>
        </is>
      </c>
      <c r="G143" s="2" t="n"/>
      <c r="H143" s="2" t="inlineStr">
        <is>
          <t>Junta de Gobierno Local del Ayuntamiento de Hornachuelos</t>
        </is>
      </c>
      <c r="I143" s="2" t="inlineStr">
        <is>
          <t>Contratación de la obra relativa al proyecto de construcción de pabellón polivalente para actividades relacionadas con el desarrollo económico en el recinto ferial Las Erillas (zona norte) de Hornachuelos (Córdoba)</t>
        </is>
      </c>
      <c r="J143" s="2" t="inlineStr">
        <is>
          <t>10893/2026</t>
        </is>
      </c>
      <c r="K143" s="2" t="inlineStr">
        <is>
          <t>Abierto</t>
        </is>
      </c>
      <c r="L143" s="6" t="n">
        <v>7</v>
      </c>
      <c r="M143" s="2" t="inlineStr">
        <is>
          <t>C4-2</t>
        </is>
      </c>
      <c r="N143" s="7" t="n">
        <v>0</v>
      </c>
      <c r="O143" s="4" t="n"/>
      <c r="P143" s="2" t="inlineStr">
        <is>
          <t>45212000</t>
        </is>
      </c>
      <c r="Q143" s="8" t="inlineStr">
        <is>
          <t>Ver</t>
        </is>
      </c>
      <c r="R143" s="8" t="inlineStr">
        <is>
          <t>PCAP</t>
        </is>
      </c>
      <c r="S143" s="9" t="n">
        <v>46310</v>
      </c>
      <c r="T143" s="3" t="n">
        <v>46323.39469907407</v>
      </c>
      <c r="U143" s="2" t="inlineStr">
        <is>
          <t>2026-10-29: estado PUB → EV</t>
        </is>
      </c>
    </row>
    <row r="144">
      <c r="A144" s="2" t="inlineStr">
        <is>
          <t>En plazo</t>
        </is>
      </c>
      <c r="B144" s="3" t="n">
        <v>46335.99930555555</v>
      </c>
      <c r="C144" s="5" t="n">
        <v>242770.61</v>
      </c>
      <c r="D144" s="5" t="n">
        <v>242770.61</v>
      </c>
      <c r="E144" s="2" t="inlineStr">
        <is>
          <t>Andalucía</t>
        </is>
      </c>
      <c r="F144" s="2" t="inlineStr">
        <is>
          <t>Huelva</t>
        </is>
      </c>
      <c r="G144" s="2" t="inlineStr">
        <is>
          <t>VILLALBA DEL ALCOR</t>
        </is>
      </c>
      <c r="H144" s="2" t="inlineStr">
        <is>
          <t>Presidencia de la Diputación Provincial de Huelva</t>
        </is>
      </c>
      <c r="I144" s="2" t="inlineStr">
        <is>
          <t>Contrato de Obras para la sustitución de equipamiento municipal: piscina infantil y edificio anexo, en Villalba del Alcor (Huelva)</t>
        </is>
      </c>
      <c r="J144" s="2" t="inlineStr">
        <is>
          <t>2026/CMY_03/000132</t>
        </is>
      </c>
      <c r="K144" s="2" t="inlineStr">
        <is>
          <t>Abierto simplificado</t>
        </is>
      </c>
      <c r="L144" s="6" t="n">
        <v>8</v>
      </c>
      <c r="M144" s="2" t="n"/>
      <c r="N144" s="7" t="n">
        <v>0</v>
      </c>
      <c r="O144" s="4" t="n"/>
      <c r="P144" s="2" t="inlineStr">
        <is>
          <t>45212212; 45212000; 45000000; 45210000; 45200000; 45212200</t>
        </is>
      </c>
      <c r="Q144" s="8" t="inlineStr">
        <is>
          <t>Ver</t>
        </is>
      </c>
      <c r="R144" s="8" t="inlineStr">
        <is>
          <t>PCAP</t>
        </is>
      </c>
      <c r="S144" s="9" t="n">
        <v>46315</v>
      </c>
      <c r="T144" s="3" t="n">
        <v>46323.38987268518</v>
      </c>
      <c r="U144" s="2" t="n"/>
    </row>
    <row r="145">
      <c r="A145" s="2" t="inlineStr">
        <is>
          <t>Resuelta</t>
        </is>
      </c>
      <c r="B145" s="3" t="n">
        <v>45817.99930555555</v>
      </c>
      <c r="C145" s="5" t="n">
        <v>8816965.23</v>
      </c>
      <c r="D145" s="5" t="n">
        <v>8816965.23</v>
      </c>
      <c r="E145" s="2" t="inlineStr">
        <is>
          <t>Comunitat Valenciana</t>
        </is>
      </c>
      <c r="F145" s="2" t="inlineStr">
        <is>
          <t>Castellón</t>
        </is>
      </c>
      <c r="G145" s="2" t="n"/>
      <c r="H145" s="2" t="inlineStr">
        <is>
          <t>Junta de Gobierno del Ayuntamiento de Castellón de la Plana</t>
        </is>
      </c>
      <c r="I145" s="2" t="inlineStr">
        <is>
          <t>Obras de rehabilitación integral del Mercado Central de Castelló de la Plana.</t>
        </is>
      </c>
      <c r="J145" s="2" t="inlineStr">
        <is>
          <t>27521/2025</t>
        </is>
      </c>
      <c r="K145" s="2" t="inlineStr">
        <is>
          <t>Abierto</t>
        </is>
      </c>
      <c r="L145" s="6" t="n">
        <v>16</v>
      </c>
      <c r="M145" s="2" t="n"/>
      <c r="N145" s="7" t="n">
        <v>0.48</v>
      </c>
      <c r="O145" s="4" t="n"/>
      <c r="P145" s="2" t="inlineStr">
        <is>
          <t>45213140</t>
        </is>
      </c>
      <c r="Q145" s="8" t="inlineStr">
        <is>
          <t>Ver</t>
        </is>
      </c>
      <c r="R145" s="8" t="inlineStr">
        <is>
          <t>PCAP</t>
        </is>
      </c>
      <c r="S145" s="9" t="n">
        <v>46324</v>
      </c>
      <c r="T145" s="3" t="n">
        <v>46323.38792824074</v>
      </c>
      <c r="U145" s="2" t="n"/>
    </row>
    <row r="146">
      <c r="A146" s="2" t="inlineStr">
        <is>
          <t>Resuelta</t>
        </is>
      </c>
      <c r="B146" s="3" t="n">
        <v>45986.99930555555</v>
      </c>
      <c r="C146" s="5" t="n">
        <v>937505.64</v>
      </c>
      <c r="D146" s="5" t="n">
        <v>937505.64</v>
      </c>
      <c r="E146" s="2" t="inlineStr">
        <is>
          <t>Andalucía</t>
        </is>
      </c>
      <c r="F146" s="2" t="inlineStr">
        <is>
          <t>Cádiz</t>
        </is>
      </c>
      <c r="G146" s="2" t="n"/>
      <c r="H146" s="2" t="inlineStr">
        <is>
          <t>Junta de Gobierno Local del Ayuntamiento de Jerez</t>
        </is>
      </c>
      <c r="I146" s="2" t="inlineStr">
        <is>
          <t>Terminación de la urbanización del Sector 26, segunda fase (electrificación), de Jerez de la Frontera.</t>
        </is>
      </c>
      <c r="J146" s="2" t="inlineStr">
        <is>
          <t>45/2025</t>
        </is>
      </c>
      <c r="K146" s="2" t="inlineStr">
        <is>
          <t>Abierto simplificado</t>
        </is>
      </c>
      <c r="L146" s="6" t="n">
        <v>4</v>
      </c>
      <c r="M146" s="2" t="n"/>
      <c r="N146" s="7" t="n">
        <v>0</v>
      </c>
      <c r="O146" s="4" t="n"/>
      <c r="P146" s="2" t="inlineStr">
        <is>
          <t>45220000</t>
        </is>
      </c>
      <c r="Q146" s="8" t="inlineStr">
        <is>
          <t>Ver</t>
        </is>
      </c>
      <c r="R146" s="8" t="inlineStr">
        <is>
          <t>PCAP</t>
        </is>
      </c>
      <c r="S146" s="9" t="n">
        <v>46324</v>
      </c>
      <c r="T146" s="3" t="n">
        <v>46323.38690972222</v>
      </c>
      <c r="U146" s="2" t="n"/>
    </row>
    <row r="147">
      <c r="A147" s="2" t="inlineStr">
        <is>
          <t>En plazo</t>
        </is>
      </c>
      <c r="B147" s="3" t="n">
        <v>46343.99930555555</v>
      </c>
      <c r="C147" s="5" t="n">
        <v>90197.98</v>
      </c>
      <c r="D147" s="5" t="n">
        <v>90197.98</v>
      </c>
      <c r="E147" s="2" t="inlineStr">
        <is>
          <t>Andalucía</t>
        </is>
      </c>
      <c r="F147" s="2" t="inlineStr">
        <is>
          <t>Huelva</t>
        </is>
      </c>
      <c r="G147" s="2" t="inlineStr">
        <is>
          <t>Villarrasa</t>
        </is>
      </c>
      <c r="H147" s="2" t="inlineStr">
        <is>
          <t>Presidencia de la Diputación Provincial de Huelva</t>
        </is>
      </c>
      <c r="I147" s="2" t="inlineStr">
        <is>
          <t>Instalación de Baja Tensión para la nave de Tratamiento de Enseres y Voluminosos del CTRNP de Villarrasa.</t>
        </is>
      </c>
      <c r="J147" s="2" t="inlineStr">
        <is>
          <t>2026/CMY_03/000134</t>
        </is>
      </c>
      <c r="K147" s="2" t="inlineStr">
        <is>
          <t>Abierto simplificado</t>
        </is>
      </c>
      <c r="L147" s="6" t="n">
        <v>2</v>
      </c>
      <c r="M147" s="2" t="n"/>
      <c r="N147" s="7" t="n">
        <v>0</v>
      </c>
      <c r="O147" s="4" t="n"/>
      <c r="P147" s="2" t="inlineStr">
        <is>
          <t>45315600</t>
        </is>
      </c>
      <c r="Q147" s="8" t="inlineStr">
        <is>
          <t>Ver</t>
        </is>
      </c>
      <c r="R147" s="8" t="inlineStr">
        <is>
          <t>PCAP</t>
        </is>
      </c>
      <c r="S147" s="9" t="n">
        <v>46324</v>
      </c>
      <c r="T147" s="3" t="n">
        <v>46323.38627314815</v>
      </c>
      <c r="U147" s="2" t="n"/>
    </row>
    <row r="148">
      <c r="A148" s="2" t="inlineStr">
        <is>
          <t>Adjudicada</t>
        </is>
      </c>
      <c r="B148" s="3" t="n">
        <v>46170.54166666666</v>
      </c>
      <c r="C148" s="5" t="n">
        <v>26749166.88</v>
      </c>
      <c r="D148" s="5" t="n">
        <v>27377026.41</v>
      </c>
      <c r="E148" s="2" t="inlineStr">
        <is>
          <t>Andalucía</t>
        </is>
      </c>
      <c r="F148" s="2" t="n"/>
      <c r="G148" s="2" t="n"/>
      <c r="H148" s="2" t="inlineStr">
        <is>
          <t>ADIF -Consejo de Administración</t>
        </is>
      </c>
      <c r="I148" s="2" t="inlineStr">
        <is>
          <t>Ejecución de las obras y realización del mantenimiento del proyecto constructivo de la subestación eléctrica de tracción y centros de autotransformación asociados del tramo Ronda-Algeciras de la línea Bobadilla-Algeciras.</t>
        </is>
      </c>
      <c r="J148" s="2" t="inlineStr">
        <is>
          <t>4.25/06110.0337</t>
        </is>
      </c>
      <c r="K148" s="2" t="inlineStr">
        <is>
          <t>Abierto</t>
        </is>
      </c>
      <c r="L148" s="6" t="n">
        <v>48</v>
      </c>
      <c r="M148" s="2" t="inlineStr">
        <is>
          <t>I4-4</t>
        </is>
      </c>
      <c r="N148" s="7" t="n">
        <v>0.49</v>
      </c>
      <c r="O148" s="4" t="n"/>
      <c r="P148" s="2" t="inlineStr">
        <is>
          <t>45234170</t>
        </is>
      </c>
      <c r="Q148" s="8" t="inlineStr">
        <is>
          <t>Ver</t>
        </is>
      </c>
      <c r="R148" s="8" t="inlineStr">
        <is>
          <t>PCAP</t>
        </is>
      </c>
      <c r="S148" s="9" t="n">
        <v>46324</v>
      </c>
      <c r="T148" s="3" t="n">
        <v>46323.38479166666</v>
      </c>
      <c r="U148" s="2" t="n"/>
    </row>
    <row r="149">
      <c r="A149" s="2" t="inlineStr">
        <is>
          <t>Resuelta</t>
        </is>
      </c>
      <c r="B149" s="3" t="n">
        <v>46315.79166666666</v>
      </c>
      <c r="C149" s="5" t="n">
        <v>8341338.85</v>
      </c>
      <c r="D149" s="5" t="n">
        <v>8341338.85</v>
      </c>
      <c r="E149" s="2" t="inlineStr">
        <is>
          <t>Comunitat Valenciana</t>
        </is>
      </c>
      <c r="F149" s="2" t="inlineStr">
        <is>
          <t>Valencia</t>
        </is>
      </c>
      <c r="G149" s="2" t="n"/>
      <c r="H149" s="2" t="inlineStr">
        <is>
          <t>Dirección General de Carreteras</t>
        </is>
      </c>
      <c r="I149" s="2" t="inlineStr">
        <is>
          <t>OC-V-26008; 54.646/26 Rehabilitación superficial del firme del tramo de la autovía del Mediterráneo E-15/A-7 comprendido entre los puntos kilométricos 306+700 y 314+000, que discurre por los términos municipales de Museros, Rafelbunyol, El Puig de Santa María, Puçol y Sagunt/Sagunto. Provincia de Valencia. 32-V-7800</t>
        </is>
      </c>
      <c r="J149" s="2" t="inlineStr">
        <is>
          <t>C54264626008</t>
        </is>
      </c>
      <c r="K149" s="2" t="inlineStr">
        <is>
          <t>Abierto</t>
        </is>
      </c>
      <c r="L149" s="6" t="n">
        <v>30</v>
      </c>
      <c r="M149" s="2" t="inlineStr">
        <is>
          <t>G4-5</t>
        </is>
      </c>
      <c r="N149" s="7" t="n">
        <v>0.4</v>
      </c>
      <c r="O149" s="4" t="n"/>
      <c r="P149" s="2" t="inlineStr">
        <is>
          <t>45233000</t>
        </is>
      </c>
      <c r="Q149" s="8" t="inlineStr">
        <is>
          <t>Ver</t>
        </is>
      </c>
      <c r="R149" s="8" t="inlineStr">
        <is>
          <t>PCAP</t>
        </is>
      </c>
      <c r="S149" s="9" t="n">
        <v>46321</v>
      </c>
      <c r="T149" s="3" t="n">
        <v>46323.38422453704</v>
      </c>
      <c r="U149" s="2" t="inlineStr">
        <is>
          <t>2026-10-29: estado EV → RES</t>
        </is>
      </c>
    </row>
    <row r="150">
      <c r="A150" s="2" t="inlineStr">
        <is>
          <t>En plazo</t>
        </is>
      </c>
      <c r="B150" s="3" t="n">
        <v>46340.99930555555</v>
      </c>
      <c r="C150" s="5" t="n">
        <v>3796334.26</v>
      </c>
      <c r="D150" s="5" t="n">
        <v>3796334.26</v>
      </c>
      <c r="E150" s="2" t="inlineStr">
        <is>
          <t>Andalucía</t>
        </is>
      </c>
      <c r="F150" s="2" t="inlineStr">
        <is>
          <t>Málaga</t>
        </is>
      </c>
      <c r="G150" s="2" t="inlineStr">
        <is>
          <t>Coín</t>
        </is>
      </c>
      <c r="H150" s="2" t="inlineStr">
        <is>
          <t>Alcaldía del Ayuntamiento de Coín</t>
        </is>
      </c>
      <c r="I150"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J150" s="2" t="inlineStr">
        <is>
          <t>4835/2026</t>
        </is>
      </c>
      <c r="K150" s="2" t="inlineStr">
        <is>
          <t>Abierto</t>
        </is>
      </c>
      <c r="L150" s="6" t="n">
        <v>18</v>
      </c>
      <c r="M150" s="2" t="inlineStr">
        <is>
          <t>B*-5</t>
        </is>
      </c>
      <c r="N150" s="7" t="n">
        <v>0.25</v>
      </c>
      <c r="O150" s="4" t="n"/>
      <c r="P150" s="2" t="inlineStr">
        <is>
          <t>45221110; 45233222</t>
        </is>
      </c>
      <c r="Q150" s="8" t="inlineStr">
        <is>
          <t>Ver</t>
        </is>
      </c>
      <c r="R150" s="8" t="inlineStr">
        <is>
          <t>PCAP</t>
        </is>
      </c>
      <c r="S150" s="9" t="n">
        <v>46315</v>
      </c>
      <c r="T150" s="3" t="n">
        <v>46323.38313657408</v>
      </c>
      <c r="U150" s="2" t="n"/>
    </row>
    <row r="151">
      <c r="A151" s="2" t="inlineStr">
        <is>
          <t>Adjudicada</t>
        </is>
      </c>
      <c r="B151" s="3" t="n">
        <v>46170.54166666666</v>
      </c>
      <c r="C151" s="5" t="n">
        <v>15691986.76</v>
      </c>
      <c r="D151" s="5" t="n">
        <v>15691986.76</v>
      </c>
      <c r="E151" s="2" t="inlineStr">
        <is>
          <t>Andalucía</t>
        </is>
      </c>
      <c r="F151" s="2" t="inlineStr">
        <is>
          <t>Almería</t>
        </is>
      </c>
      <c r="G151" s="2" t="n"/>
      <c r="H151" s="2" t="inlineStr">
        <is>
          <t>ADIF Alta Velocidad - Consejo de Administración</t>
        </is>
      </c>
      <c r="I151" s="2" t="inlineStr">
        <is>
          <t>Obras de ejecución del proyecto de construcción de la nueva estación de Alta Velocidad de Vera – Almanzora (Almería).</t>
        </is>
      </c>
      <c r="J151" s="2" t="inlineStr">
        <is>
          <t>3.26/20830.0033</t>
        </is>
      </c>
      <c r="K151" s="2" t="inlineStr">
        <is>
          <t>Abierto</t>
        </is>
      </c>
      <c r="L151" s="6" t="n">
        <v>18</v>
      </c>
      <c r="M151" s="2" t="inlineStr">
        <is>
          <t>I6-4; I7-4; C2-5</t>
        </is>
      </c>
      <c r="N151" s="7" t="n">
        <v>0.49</v>
      </c>
      <c r="O151" s="4" t="n"/>
      <c r="P151" s="2" t="inlineStr">
        <is>
          <t>45111200</t>
        </is>
      </c>
      <c r="Q151" s="8" t="inlineStr">
        <is>
          <t>Ver</t>
        </is>
      </c>
      <c r="R151" s="8" t="inlineStr">
        <is>
          <t>PCAP</t>
        </is>
      </c>
      <c r="S151" s="9" t="n">
        <v>46322</v>
      </c>
      <c r="T151" s="3" t="n">
        <v>46323.38119212963</v>
      </c>
      <c r="U151" s="2" t="n"/>
    </row>
    <row r="152">
      <c r="A152" s="2" t="inlineStr">
        <is>
          <t>Adjudicada</t>
        </is>
      </c>
      <c r="B152" s="3" t="n">
        <v>46280.99930555555</v>
      </c>
      <c r="C152" s="5" t="n">
        <v>39759.7</v>
      </c>
      <c r="D152" s="5" t="n">
        <v>39759.7</v>
      </c>
      <c r="E152" s="2" t="inlineStr">
        <is>
          <t>Comunitat Valenciana</t>
        </is>
      </c>
      <c r="F152" s="2" t="inlineStr">
        <is>
          <t>Alicante</t>
        </is>
      </c>
      <c r="G152" s="2" t="n"/>
      <c r="H152" s="2" t="inlineStr">
        <is>
          <t>Presidencia de la Diputación Provincial de Alicante</t>
        </is>
      </c>
      <c r="I152" s="2" t="inlineStr">
        <is>
          <t>Obras de restauración de zona degradada por vertido incontrolado de residuos en Lo Rufete, TM de San Miguel De Salinas (Alicante)</t>
        </is>
      </c>
      <c r="J152" s="2" t="inlineStr">
        <is>
          <t>O4SS-151/2026</t>
        </is>
      </c>
      <c r="K152" s="2" t="inlineStr">
        <is>
          <t>Abierto simplificado</t>
        </is>
      </c>
      <c r="L152" s="6" t="n">
        <v>3</v>
      </c>
      <c r="M152" s="2" t="n"/>
      <c r="N152" s="7" t="n">
        <v>0</v>
      </c>
      <c r="O152" s="4" t="n"/>
      <c r="P152" s="2" t="inlineStr">
        <is>
          <t>45111213</t>
        </is>
      </c>
      <c r="Q152" s="8" t="inlineStr">
        <is>
          <t>Ver</t>
        </is>
      </c>
      <c r="R152" s="8" t="inlineStr">
        <is>
          <t>PCAP</t>
        </is>
      </c>
      <c r="S152" s="9" t="n">
        <v>46324</v>
      </c>
      <c r="T152" s="3" t="n">
        <v>46323.38100694444</v>
      </c>
      <c r="U152" s="2" t="n"/>
    </row>
    <row r="153">
      <c r="A153" s="2" t="inlineStr">
        <is>
          <t>Adjudicada</t>
        </is>
      </c>
      <c r="B153" s="3" t="n">
        <v>46314.99930555555</v>
      </c>
      <c r="C153" s="5" t="n">
        <v>79990</v>
      </c>
      <c r="D153" s="5" t="n">
        <v>79990</v>
      </c>
      <c r="E153" s="2" t="inlineStr">
        <is>
          <t>Comunitat Valenciana</t>
        </is>
      </c>
      <c r="F153" s="2" t="inlineStr">
        <is>
          <t>Alicante</t>
        </is>
      </c>
      <c r="G153" s="2" t="n"/>
      <c r="H153" s="2" t="inlineStr">
        <is>
          <t>Teniente de Alcalde de Contratación Pública del Ayuntamiento de Elche</t>
        </is>
      </c>
      <c r="I153" s="2" t="inlineStr">
        <is>
          <t>Contrato de obras de ejecución del Proyecto de Transformación Inteligente de la Sala de Estudios Municipal de Altábix</t>
        </is>
      </c>
      <c r="J153" s="2" t="inlineStr">
        <is>
          <t>OBR/ABR_SP_SMPL/2026000159</t>
        </is>
      </c>
      <c r="K153" s="2" t="inlineStr">
        <is>
          <t>Abierto simplificado</t>
        </is>
      </c>
      <c r="L153" s="6" t="n">
        <v>1</v>
      </c>
      <c r="M153" s="2" t="n"/>
      <c r="N153" s="7" t="n">
        <v>0</v>
      </c>
      <c r="O153" s="4" t="n"/>
      <c r="P153" s="2" t="inlineStr">
        <is>
          <t>45262520; 45314310; 45311000; 32523000</t>
        </is>
      </c>
      <c r="Q153" s="8" t="inlineStr">
        <is>
          <t>Ver</t>
        </is>
      </c>
      <c r="R153" s="8" t="inlineStr">
        <is>
          <t>PCAP</t>
        </is>
      </c>
      <c r="S153" s="9" t="n">
        <v>46314</v>
      </c>
      <c r="T153" s="3" t="n">
        <v>46323.37671296296</v>
      </c>
      <c r="U153" s="2" t="inlineStr">
        <is>
          <t>2026-10-22: estado PUB → EV | 2026-10-29: estado EV → ADJ</t>
        </is>
      </c>
    </row>
    <row r="154">
      <c r="A154" s="2" t="inlineStr">
        <is>
          <t>Pendiente de adjudicación</t>
        </is>
      </c>
      <c r="B154" s="3" t="n">
        <v>46308.91666666666</v>
      </c>
      <c r="C154" s="5" t="n">
        <v>132231.4</v>
      </c>
      <c r="D154" s="5" t="n">
        <v>132231.4</v>
      </c>
      <c r="E154" s="2" t="inlineStr">
        <is>
          <t>Andalucía</t>
        </is>
      </c>
      <c r="F154" s="2" t="inlineStr">
        <is>
          <t>Málaga</t>
        </is>
      </c>
      <c r="G154" s="2" t="n"/>
      <c r="H154" s="2" t="inlineStr">
        <is>
          <t>Junta de Gobierno Local del Ayuntamiento de Benahavís</t>
        </is>
      </c>
      <c r="I154" s="2" t="inlineStr">
        <is>
          <t>Plan Asfaltado C/ Las Margaritas en T.M. de Benahavís (Málaga)</t>
        </is>
      </c>
      <c r="J154" s="2" t="inlineStr">
        <is>
          <t>1404/2026</t>
        </is>
      </c>
      <c r="K154" s="2" t="inlineStr">
        <is>
          <t>Abierto simplificado</t>
        </is>
      </c>
      <c r="L154" s="6" t="n">
        <v>3</v>
      </c>
      <c r="M154" s="2" t="n"/>
      <c r="N154" s="7" t="n">
        <v>0.25</v>
      </c>
      <c r="O154" s="4" t="n"/>
      <c r="P154" s="2" t="inlineStr">
        <is>
          <t>45233220; 45233223; 45233221; 45233294; 45233222</t>
        </is>
      </c>
      <c r="Q154" s="8" t="inlineStr">
        <is>
          <t>Ver</t>
        </is>
      </c>
      <c r="R154" s="2" t="n"/>
      <c r="S154" s="9" t="n">
        <v>46324</v>
      </c>
      <c r="T154" s="3" t="n">
        <v>46323.3762037037</v>
      </c>
      <c r="U154" s="2" t="n"/>
    </row>
    <row r="155">
      <c r="A155" s="2" t="inlineStr">
        <is>
          <t>Resuelta</t>
        </is>
      </c>
      <c r="B155" s="3" t="n">
        <v>46197.58333333334</v>
      </c>
      <c r="C155" s="5" t="n">
        <v>776005.6800000001</v>
      </c>
      <c r="D155" s="5" t="n">
        <v>776005.6800000001</v>
      </c>
      <c r="E155" s="2" t="inlineStr">
        <is>
          <t>Andalucía</t>
        </is>
      </c>
      <c r="F155" s="2" t="inlineStr">
        <is>
          <t>Cádiz</t>
        </is>
      </c>
      <c r="G155" s="2" t="inlineStr">
        <is>
          <t>CÁDIZ</t>
        </is>
      </c>
      <c r="H155" s="2" t="inlineStr">
        <is>
          <t>Presidencia de la Autoridad Portuaria de la Bahía de Cádiz</t>
        </is>
      </c>
      <c r="I155" s="2" t="inlineStr">
        <is>
          <t>Adecuación de pavimentos de la zona de operaciones del recinto portuario de Cabezuela, zona pesquera de El Puerto de Santa María y Cádiz (Lonjas y Mercado de mayoristas), nueva señalización de seguridad interior, y nueva señalización vial exterior (CA-100-25)</t>
        </is>
      </c>
      <c r="J155" s="2" t="inlineStr">
        <is>
          <t>1642/2025</t>
        </is>
      </c>
      <c r="K155" s="2" t="inlineStr">
        <is>
          <t>Abierto</t>
        </is>
      </c>
      <c r="L155" s="6" t="n">
        <v>4</v>
      </c>
      <c r="M155" s="2" t="inlineStr">
        <is>
          <t>G4-3</t>
        </is>
      </c>
      <c r="N155" s="7" t="n">
        <v>0.4</v>
      </c>
      <c r="O155" s="4" t="n"/>
      <c r="P155" s="2" t="inlineStr">
        <is>
          <t>45233200; 45233222; 45233140; 45233221</t>
        </is>
      </c>
      <c r="Q155" s="8" t="inlineStr">
        <is>
          <t>Ver</t>
        </is>
      </c>
      <c r="R155" s="8" t="inlineStr">
        <is>
          <t>PCAP</t>
        </is>
      </c>
      <c r="S155" s="9" t="n">
        <v>46324</v>
      </c>
      <c r="T155" s="3" t="n">
        <v>46323.37572916667</v>
      </c>
      <c r="U155" s="2" t="n"/>
    </row>
    <row r="156">
      <c r="A156" s="2" t="inlineStr">
        <is>
          <t>Resuelta</t>
        </is>
      </c>
      <c r="B156" s="3" t="n">
        <v>45922.99930555555</v>
      </c>
      <c r="C156" s="5" t="n">
        <v>7384862</v>
      </c>
      <c r="D156" s="5" t="n">
        <v>7384862</v>
      </c>
      <c r="E156" s="2" t="inlineStr">
        <is>
          <t>Comunitat Valenciana</t>
        </is>
      </c>
      <c r="F156" s="2" t="inlineStr">
        <is>
          <t>Alicante</t>
        </is>
      </c>
      <c r="G156" s="2" t="n"/>
      <c r="H156" s="2" t="inlineStr">
        <is>
          <t>Junta de Gobierno del Ayuntamiento de Torrevieja</t>
        </is>
      </c>
      <c r="I156" s="2" t="inlineStr">
        <is>
          <t>Contratación de la ejecución de obras para la Electrificación Secundaria del Recinto Portuario, mediante tramitación anticipada del gasto</t>
        </is>
      </c>
      <c r="J156" s="2" t="inlineStr">
        <is>
          <t>83338/2025</t>
        </is>
      </c>
      <c r="K156" s="2" t="inlineStr">
        <is>
          <t>Abierto</t>
        </is>
      </c>
      <c r="L156" s="6" t="n">
        <v>11</v>
      </c>
      <c r="M156" s="2" t="n"/>
      <c r="N156" s="7" t="n">
        <v>0.4</v>
      </c>
      <c r="O156" s="4" t="n"/>
      <c r="P156" s="2" t="inlineStr">
        <is>
          <t>45231400; 45231300</t>
        </is>
      </c>
      <c r="Q156" s="8" t="inlineStr">
        <is>
          <t>Ver</t>
        </is>
      </c>
      <c r="R156" s="8" t="inlineStr">
        <is>
          <t>PCAP</t>
        </is>
      </c>
      <c r="S156" s="9" t="n">
        <v>46318</v>
      </c>
      <c r="T156" s="3" t="n">
        <v>46323.375</v>
      </c>
      <c r="U156" s="2" t="n"/>
    </row>
    <row r="157">
      <c r="A157" s="2" t="inlineStr">
        <is>
          <t>Pendiente de adjudicación</t>
        </is>
      </c>
      <c r="B157" s="3" t="n">
        <v>46314.99930555555</v>
      </c>
      <c r="C157" s="5" t="n">
        <v>676219.35</v>
      </c>
      <c r="D157" s="5" t="n">
        <v>676219.35</v>
      </c>
      <c r="E157" s="2" t="inlineStr">
        <is>
          <t>Andalucía</t>
        </is>
      </c>
      <c r="F157" s="2" t="inlineStr">
        <is>
          <t>Sevilla</t>
        </is>
      </c>
      <c r="G157" s="2" t="inlineStr">
        <is>
          <t>MAIRENA DEL ALCOR</t>
        </is>
      </c>
      <c r="H157"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57" s="2" t="inlineStr">
        <is>
          <t>Ejecución de Centro de Entrenamiento de Taekwondo, en Calle Algámitas, esquina con Calle Jaén en Mairena del Alcor-Actuación PAI</t>
        </is>
      </c>
      <c r="J157" s="2" t="inlineStr">
        <is>
          <t>8174/2025</t>
        </is>
      </c>
      <c r="K157" s="2" t="inlineStr">
        <is>
          <t>Abierto simplificado</t>
        </is>
      </c>
      <c r="L157" s="6" t="n">
        <v>8</v>
      </c>
      <c r="M157" s="2" t="inlineStr">
        <is>
          <t>C*-3</t>
        </is>
      </c>
      <c r="N157" s="7" t="n">
        <v>0</v>
      </c>
      <c r="O157" s="4" t="n"/>
      <c r="P157" s="2" t="inlineStr">
        <is>
          <t>45212200</t>
        </is>
      </c>
      <c r="Q157" s="8" t="inlineStr">
        <is>
          <t>Ver</t>
        </is>
      </c>
      <c r="R157" s="8" t="inlineStr">
        <is>
          <t>PCAP</t>
        </is>
      </c>
      <c r="S157" s="9" t="n">
        <v>46321</v>
      </c>
      <c r="T157" s="3" t="n">
        <v>46323.37206018518</v>
      </c>
      <c r="U157" s="2" t="n"/>
    </row>
    <row r="158">
      <c r="A158" s="2" t="inlineStr">
        <is>
          <t>Resuelta</t>
        </is>
      </c>
      <c r="B158" s="3" t="n">
        <v>46279.99930555555</v>
      </c>
      <c r="C158" s="5" t="n">
        <v>24793.39</v>
      </c>
      <c r="D158" s="5" t="n">
        <v>24793.39</v>
      </c>
      <c r="E158" s="2" t="inlineStr">
        <is>
          <t>Andalucía</t>
        </is>
      </c>
      <c r="F158" s="2" t="inlineStr">
        <is>
          <t>Málaga</t>
        </is>
      </c>
      <c r="G158" s="2" t="n"/>
      <c r="H158" s="2" t="inlineStr">
        <is>
          <t>Alcaldía del Ayuntamiento de Villanueva de Algaidas</t>
        </is>
      </c>
      <c r="I158" s="2" t="inlineStr">
        <is>
          <t>Cambio trazado de tuberías</t>
        </is>
      </c>
      <c r="J158" s="2" t="inlineStr">
        <is>
          <t>51/2026</t>
        </is>
      </c>
      <c r="K158" s="2" t="inlineStr">
        <is>
          <t>Abierto simplificado</t>
        </is>
      </c>
      <c r="L158" s="6" t="n">
        <v>3</v>
      </c>
      <c r="M158" s="2" t="n"/>
      <c r="N158" s="7" t="n">
        <v>0</v>
      </c>
      <c r="O158" s="4" t="n"/>
      <c r="P158" s="2" t="inlineStr">
        <is>
          <t>45232150; 45233200</t>
        </is>
      </c>
      <c r="Q158" s="8" t="inlineStr">
        <is>
          <t>Ver</t>
        </is>
      </c>
      <c r="R158" s="8" t="inlineStr">
        <is>
          <t>PCAP</t>
        </is>
      </c>
      <c r="S158" s="9" t="n">
        <v>46324</v>
      </c>
      <c r="T158" s="3" t="n">
        <v>46323.37141203704</v>
      </c>
      <c r="U158" s="2" t="n"/>
    </row>
    <row r="159">
      <c r="A159" s="2" t="inlineStr">
        <is>
          <t>Resuelta</t>
        </is>
      </c>
      <c r="B159" s="3" t="n">
        <v>46209.45833333334</v>
      </c>
      <c r="C159" s="5" t="n">
        <v>1088232.12</v>
      </c>
      <c r="D159" s="5" t="n">
        <v>1088232.12</v>
      </c>
      <c r="E159" s="2" t="inlineStr">
        <is>
          <t>Andalucía</t>
        </is>
      </c>
      <c r="F159" s="2" t="inlineStr">
        <is>
          <t>Sevilla</t>
        </is>
      </c>
      <c r="G159" s="2" t="n"/>
      <c r="H159" s="2" t="inlineStr">
        <is>
          <t>Comisión Ejecutiva de la Gerencia de Urbanismo de Sevilla</t>
        </is>
      </c>
      <c r="I159" s="2" t="inlineStr">
        <is>
          <t>Obras del Proyecto de reurbanización de la Avda. de Alemania</t>
        </is>
      </c>
      <c r="J159" s="2" t="inlineStr">
        <is>
          <t>37/2026</t>
        </is>
      </c>
      <c r="K159" s="2" t="inlineStr">
        <is>
          <t>Abierto</t>
        </is>
      </c>
      <c r="L159" s="6" t="n">
        <v>8</v>
      </c>
      <c r="M159" s="2" t="inlineStr">
        <is>
          <t>G6-4</t>
        </is>
      </c>
      <c r="N159" s="7" t="n">
        <v>0.4</v>
      </c>
      <c r="O159" s="4" t="n"/>
      <c r="P159" s="2" t="inlineStr">
        <is>
          <t>45111000; 45233294; 45236230; 34928470; 45111100; 45233252; 45233223; 45232150; 45232410; 45316000; 45112712; 45231400; 45233222; 45233200</t>
        </is>
      </c>
      <c r="Q159" s="8" t="inlineStr">
        <is>
          <t>Ver</t>
        </is>
      </c>
      <c r="R159" s="8" t="inlineStr">
        <is>
          <t>PCAP</t>
        </is>
      </c>
      <c r="S159" s="9" t="n">
        <v>46317</v>
      </c>
      <c r="T159" s="3" t="n">
        <v>46323.36936342593</v>
      </c>
      <c r="U159" s="2" t="inlineStr">
        <is>
          <t>2026-10-29: estado ADJ → RES</t>
        </is>
      </c>
    </row>
    <row r="160">
      <c r="A160" s="2" t="inlineStr">
        <is>
          <t>En plazo</t>
        </is>
      </c>
      <c r="B160" s="3" t="n">
        <v>46338.79166666666</v>
      </c>
      <c r="C160" s="5" t="n">
        <v>116421.18</v>
      </c>
      <c r="D160" s="5" t="n">
        <v>116421.18</v>
      </c>
      <c r="E160" s="2" t="inlineStr">
        <is>
          <t>Comunitat Valenciana</t>
        </is>
      </c>
      <c r="F160" s="2" t="inlineStr">
        <is>
          <t>Alicante</t>
        </is>
      </c>
      <c r="G160" s="2" t="inlineStr">
        <is>
          <t>Alicante (Alacant)</t>
        </is>
      </c>
      <c r="H160" s="2" t="inlineStr">
        <is>
          <t>Junta de Gobierno del Ayuntamiento de Santa Pola</t>
        </is>
      </c>
      <c r="I160" s="2" t="inlineStr">
        <is>
          <t>Licitación para la contratación de las Obras de Rehabilitación de la Torre del Reloj en fachada principal del Castillo Fortaleza de Santa Pola</t>
        </is>
      </c>
      <c r="J160" s="2" t="inlineStr">
        <is>
          <t>10579/2026</t>
        </is>
      </c>
      <c r="K160" s="2" t="inlineStr">
        <is>
          <t>Abierto simplificado</t>
        </is>
      </c>
      <c r="L160" s="6" t="n">
        <v>3</v>
      </c>
      <c r="M160" s="2" t="n"/>
      <c r="N160" s="7" t="n">
        <v>0.35</v>
      </c>
      <c r="O160" s="4" t="n"/>
      <c r="P160" s="2" t="inlineStr">
        <is>
          <t>45454100; 45212350</t>
        </is>
      </c>
      <c r="Q160" s="8" t="inlineStr">
        <is>
          <t>Ver</t>
        </is>
      </c>
      <c r="R160" s="8" t="inlineStr">
        <is>
          <t>PCAP</t>
        </is>
      </c>
      <c r="S160" s="9" t="n">
        <v>46321</v>
      </c>
      <c r="T160" s="3" t="n">
        <v>46323.36462962963</v>
      </c>
      <c r="U160" s="2" t="n"/>
    </row>
    <row r="161">
      <c r="A161" s="2" t="inlineStr">
        <is>
          <t>Pendiente de adjudicación</t>
        </is>
      </c>
      <c r="B161" s="3" t="n">
        <v>46314.58333333334</v>
      </c>
      <c r="C161" s="5" t="n">
        <v>77830.36</v>
      </c>
      <c r="D161" s="5" t="n">
        <v>94174.74000000001</v>
      </c>
      <c r="E161" s="2" t="inlineStr">
        <is>
          <t>Comunitat Valenciana</t>
        </is>
      </c>
      <c r="F161" s="2" t="inlineStr">
        <is>
          <t>Valencia</t>
        </is>
      </c>
      <c r="G161" s="2" t="n"/>
      <c r="H161" s="2" t="inlineStr">
        <is>
          <t>Alcaldía del Ajuntament de Llutxent</t>
        </is>
      </c>
      <c r="I161" s="2" t="inlineStr">
        <is>
          <t>Ampliación y construcción de 96 nichos en el cementerio municipal</t>
        </is>
      </c>
      <c r="J161" s="2" t="inlineStr">
        <is>
          <t>828/2026</t>
        </is>
      </c>
      <c r="K161" s="2" t="inlineStr">
        <is>
          <t>Abierto</t>
        </is>
      </c>
      <c r="L161" s="6" t="n">
        <v>2</v>
      </c>
      <c r="M161" s="2" t="n"/>
      <c r="N161" s="7" t="n"/>
      <c r="O161" s="4" t="n"/>
      <c r="P161" s="2" t="inlineStr">
        <is>
          <t>45000000</t>
        </is>
      </c>
      <c r="Q161" s="8" t="inlineStr">
        <is>
          <t>Ver</t>
        </is>
      </c>
      <c r="R161" s="8" t="inlineStr">
        <is>
          <t>PCAP</t>
        </is>
      </c>
      <c r="S161" s="9" t="n">
        <v>46324</v>
      </c>
      <c r="T161" s="3" t="n">
        <v>46323.36030092592</v>
      </c>
      <c r="U161" s="2" t="n"/>
    </row>
    <row r="162">
      <c r="A162" s="2" t="inlineStr">
        <is>
          <t>Resuelta</t>
        </is>
      </c>
      <c r="B162" s="3" t="n">
        <v>46029.99930555555</v>
      </c>
      <c r="C162" s="5" t="n">
        <v>1466773.55</v>
      </c>
      <c r="D162" s="5" t="n">
        <v>1466773.55</v>
      </c>
      <c r="E162" s="2" t="inlineStr">
        <is>
          <t>Andalucía</t>
        </is>
      </c>
      <c r="F162" s="2" t="inlineStr">
        <is>
          <t>Sevilla</t>
        </is>
      </c>
      <c r="G162" s="2" t="inlineStr">
        <is>
          <t>Sevilla</t>
        </is>
      </c>
      <c r="H162" s="2" t="inlineStr">
        <is>
          <t>Comisión Ejecutiva del Consejo de Administración de la Empresa Municipal de la Vivienda, Suelo y Equipamiento de Sevilla S.A. (EMVISESA)</t>
        </is>
      </c>
      <c r="I162" s="2" t="inlineStr">
        <is>
          <t>Obras de renovación de fachadas, cubiertas, garajes y zonas comunes del parque inmobiliario en alquiler de EMVISESA (Fenix)</t>
        </is>
      </c>
      <c r="J162" s="2" t="inlineStr">
        <is>
          <t>EMVI/2025/0097/01</t>
        </is>
      </c>
      <c r="K162" s="2" t="inlineStr">
        <is>
          <t>Abierto</t>
        </is>
      </c>
      <c r="L162" s="6" t="n">
        <v>18</v>
      </c>
      <c r="M162" s="2" t="inlineStr">
        <is>
          <t>C*-2</t>
        </is>
      </c>
      <c r="N162" s="7" t="n">
        <v>0.4</v>
      </c>
      <c r="O162" s="4" t="n">
        <v>6</v>
      </c>
      <c r="P162" s="2" t="inlineStr">
        <is>
          <t>45443000; 45442120; 45261420; 90911200; 45442100; 45442110; 45442180; 45261220; 90914000</t>
        </is>
      </c>
      <c r="Q162" s="8" t="inlineStr">
        <is>
          <t>Ver</t>
        </is>
      </c>
      <c r="R162" s="8" t="inlineStr">
        <is>
          <t>PCAP</t>
        </is>
      </c>
      <c r="S162" s="9" t="n">
        <v>46317</v>
      </c>
      <c r="T162" s="3" t="n">
        <v>46323.35915509259</v>
      </c>
      <c r="U162" s="2" t="inlineStr">
        <is>
          <t>2026-10-29: estado ADJ → RES</t>
        </is>
      </c>
    </row>
    <row r="163">
      <c r="A163" s="2" t="inlineStr">
        <is>
          <t>Resuelta</t>
        </is>
      </c>
      <c r="B163" s="3" t="n">
        <v>46262.5</v>
      </c>
      <c r="C163" s="5" t="n">
        <v>97929.34</v>
      </c>
      <c r="D163" s="5" t="n">
        <v>97929.34</v>
      </c>
      <c r="E163" s="2" t="inlineStr">
        <is>
          <t>Andalucía</t>
        </is>
      </c>
      <c r="F163" s="2" t="inlineStr">
        <is>
          <t>Sevilla</t>
        </is>
      </c>
      <c r="G163" s="2" t="n"/>
      <c r="H163" s="2" t="inlineStr">
        <is>
          <t>Jefatura de Intendencia de Asuntos Económicos Sur</t>
        </is>
      </c>
      <c r="I163" s="2" t="inlineStr">
        <is>
          <t>OBRA TC 211-04/25 de construcción de dos pistas de Pádel en el CDM HISPALIS (Sevilla)</t>
        </is>
      </c>
      <c r="J163" s="2" t="inlineStr">
        <is>
          <t>2026/ETSAE0226/00005179E</t>
        </is>
      </c>
      <c r="K163" s="2" t="inlineStr">
        <is>
          <t>Abierto</t>
        </is>
      </c>
      <c r="L163" s="6" t="n">
        <v>2</v>
      </c>
      <c r="M163" s="2" t="n"/>
      <c r="N163" s="7" t="n">
        <v>0</v>
      </c>
      <c r="O163" s="4" t="n"/>
      <c r="P163" s="2" t="inlineStr">
        <is>
          <t>45216200</t>
        </is>
      </c>
      <c r="Q163" s="8" t="inlineStr">
        <is>
          <t>Ver</t>
        </is>
      </c>
      <c r="R163" s="8" t="inlineStr">
        <is>
          <t>PCAP</t>
        </is>
      </c>
      <c r="S163" s="9" t="n">
        <v>46324</v>
      </c>
      <c r="T163" s="3" t="n">
        <v>46323.35420138889</v>
      </c>
      <c r="U163" s="2" t="n"/>
    </row>
    <row r="164">
      <c r="A164" s="2" t="inlineStr">
        <is>
          <t>En plazo</t>
        </is>
      </c>
      <c r="B164" s="3" t="n">
        <v>46343.99930555555</v>
      </c>
      <c r="C164" s="5" t="n">
        <v>82644.63</v>
      </c>
      <c r="D164" s="5" t="n">
        <v>82644.63</v>
      </c>
      <c r="E164" s="2" t="inlineStr">
        <is>
          <t>Andalucía</t>
        </is>
      </c>
      <c r="F164" s="2" t="inlineStr">
        <is>
          <t>Málaga</t>
        </is>
      </c>
      <c r="G164" s="2" t="inlineStr">
        <is>
          <t>Torrox</t>
        </is>
      </c>
      <c r="H164" s="2" t="inlineStr">
        <is>
          <t>Alcaldia del Ayuntamiento de Torrox</t>
        </is>
      </c>
      <c r="I164" s="2" t="inlineStr">
        <is>
          <t>Obras de Hormigonado de caminos rurales del término municipal de Torrox.</t>
        </is>
      </c>
      <c r="J164" s="2" t="inlineStr">
        <is>
          <t>5070/2026</t>
        </is>
      </c>
      <c r="K164" s="2" t="inlineStr">
        <is>
          <t>Abierto simplificado</t>
        </is>
      </c>
      <c r="L164" s="6" t="n">
        <v>8</v>
      </c>
      <c r="M164" s="2" t="n"/>
      <c r="N164" s="7" t="n">
        <v>0</v>
      </c>
      <c r="O164" s="4" t="n"/>
      <c r="P164" s="2" t="inlineStr">
        <is>
          <t>45262300</t>
        </is>
      </c>
      <c r="Q164" s="8" t="inlineStr">
        <is>
          <t>Ver</t>
        </is>
      </c>
      <c r="R164" s="8" t="inlineStr">
        <is>
          <t>PCAP</t>
        </is>
      </c>
      <c r="S164" s="9" t="n">
        <v>46323</v>
      </c>
      <c r="T164" s="3" t="n">
        <v>46323.35057870371</v>
      </c>
      <c r="U164" s="2" t="n"/>
    </row>
    <row r="165">
      <c r="A165" s="2" t="inlineStr">
        <is>
          <t>Adjudicada</t>
        </is>
      </c>
      <c r="B165" s="3" t="n">
        <v>46297.99930555555</v>
      </c>
      <c r="C165" s="5" t="n">
        <v>62128.71</v>
      </c>
      <c r="D165" s="5" t="n">
        <v>62128.71</v>
      </c>
      <c r="E165" s="2" t="inlineStr">
        <is>
          <t>Andalucía</t>
        </is>
      </c>
      <c r="F165" s="2" t="inlineStr">
        <is>
          <t>Córdoba</t>
        </is>
      </c>
      <c r="G165" s="2" t="inlineStr">
        <is>
          <t>Conquista</t>
        </is>
      </c>
      <c r="H165" s="2" t="inlineStr">
        <is>
          <t>Alcaldía del Ayuntamiento de Conquista</t>
        </is>
      </c>
      <c r="I165" s="2" t="inlineStr">
        <is>
          <t>El presente contrato tiene por objeto acometer las obras necesarias para la construcción de una pista de pádel en el término municipal de Conquista</t>
        </is>
      </c>
      <c r="J165" s="2" t="inlineStr">
        <is>
          <t>1623/2026</t>
        </is>
      </c>
      <c r="K165" s="2" t="inlineStr">
        <is>
          <t>Abierto simplificado</t>
        </is>
      </c>
      <c r="L165" s="6" t="n">
        <v>1</v>
      </c>
      <c r="M165" s="2" t="n"/>
      <c r="N165" s="7" t="n">
        <v>0</v>
      </c>
      <c r="O165" s="4" t="n"/>
      <c r="P165" s="2" t="inlineStr">
        <is>
          <t>45212210; 45000000</t>
        </is>
      </c>
      <c r="Q165" s="8" t="inlineStr">
        <is>
          <t>Ver</t>
        </is>
      </c>
      <c r="R165" s="8" t="inlineStr">
        <is>
          <t>PCAP</t>
        </is>
      </c>
      <c r="S165" s="9" t="n">
        <v>46315</v>
      </c>
      <c r="T165" s="3" t="n">
        <v>46323.34831018518</v>
      </c>
      <c r="U165" s="2" t="inlineStr">
        <is>
          <t>2026-10-29: estado EV → ADJ</t>
        </is>
      </c>
    </row>
    <row r="166">
      <c r="A166" s="2" t="inlineStr">
        <is>
          <t>Pendiente de adjudicación</t>
        </is>
      </c>
      <c r="B166" s="3" t="n">
        <v>46314.99930555555</v>
      </c>
      <c r="C166" s="5" t="n">
        <v>338318.95</v>
      </c>
      <c r="D166" s="5" t="n">
        <v>338318.95</v>
      </c>
      <c r="E166" s="2" t="inlineStr">
        <is>
          <t>Andalucía</t>
        </is>
      </c>
      <c r="F166" s="2" t="inlineStr">
        <is>
          <t>Jaén</t>
        </is>
      </c>
      <c r="G166" s="2" t="inlineStr">
        <is>
          <t>Lupión</t>
        </is>
      </c>
      <c r="H166" s="2" t="inlineStr">
        <is>
          <t>Pleno del Ayuntamiento de Lupión</t>
        </is>
      </c>
      <c r="I166" s="2" t="inlineStr">
        <is>
          <t>Reparación y mejora de los drenajes de aguas pluviales y de los muros de cerramiento deteriorados del campo de futbol de Lupión.</t>
        </is>
      </c>
      <c r="J166" s="2" t="inlineStr">
        <is>
          <t>332/2026</t>
        </is>
      </c>
      <c r="K166" s="2" t="inlineStr">
        <is>
          <t>Abierto simplificado</t>
        </is>
      </c>
      <c r="L166" s="6" t="n">
        <v>5</v>
      </c>
      <c r="M166" s="2" t="inlineStr">
        <is>
          <t>C6-2; G6-2</t>
        </is>
      </c>
      <c r="N166" s="7" t="n">
        <v>0</v>
      </c>
      <c r="O166" s="4" t="n"/>
      <c r="P166" s="2" t="inlineStr">
        <is>
          <t>45212290</t>
        </is>
      </c>
      <c r="Q166" s="8" t="inlineStr">
        <is>
          <t>Ver</t>
        </is>
      </c>
      <c r="R166" s="8" t="inlineStr">
        <is>
          <t>PCAP</t>
        </is>
      </c>
      <c r="S166" s="9" t="n">
        <v>46310</v>
      </c>
      <c r="T166" s="3" t="n">
        <v>46323.34462962963</v>
      </c>
      <c r="U166" s="2" t="inlineStr">
        <is>
          <t>2026-10-22: estado PUB → EV</t>
        </is>
      </c>
    </row>
    <row r="167">
      <c r="A167" s="2" t="inlineStr">
        <is>
          <t>En plazo</t>
        </is>
      </c>
      <c r="B167" s="3" t="n">
        <v>46342.99930555555</v>
      </c>
      <c r="C167" s="5" t="n">
        <v>1012255.37</v>
      </c>
      <c r="D167" s="5" t="n">
        <v>1012255.37</v>
      </c>
      <c r="E167" s="2" t="inlineStr">
        <is>
          <t>Andalucía</t>
        </is>
      </c>
      <c r="F167" s="2" t="inlineStr">
        <is>
          <t>Málaga</t>
        </is>
      </c>
      <c r="G167" s="2" t="n"/>
      <c r="H167" s="2" t="inlineStr">
        <is>
          <t>Gerente de la Gerencia Municipal de Urbanismo del Ayuntamiento de Málaga</t>
        </is>
      </c>
      <c r="I167" s="2" t="inlineStr">
        <is>
          <t>Obras del proyecto de reurbanización barriada Las Flores. Fase I (T.M. Málaga). Actuación cofinanciada por la Unión Europea a través del Fondo Europeo de Desarrollo Regional (FEDER), Programa Plurirregional de España (POPE) (2021-2027)</t>
        </is>
      </c>
      <c r="J167" s="2" t="inlineStr">
        <is>
          <t>2026000152/GMU/OBR/ABR_SMPL</t>
        </is>
      </c>
      <c r="K167" s="2" t="inlineStr">
        <is>
          <t>Abierto simplificado</t>
        </is>
      </c>
      <c r="L167" s="6" t="n">
        <v>6</v>
      </c>
      <c r="M167" s="2" t="inlineStr">
        <is>
          <t>G6-4</t>
        </is>
      </c>
      <c r="N167" s="7" t="n">
        <v>0</v>
      </c>
      <c r="O167" s="4" t="n"/>
      <c r="P167" s="2" t="inlineStr">
        <is>
          <t>45233140; 45232400</t>
        </is>
      </c>
      <c r="Q167" s="8" t="inlineStr">
        <is>
          <t>Ver</t>
        </is>
      </c>
      <c r="R167" s="8" t="inlineStr">
        <is>
          <t>PCAP</t>
        </is>
      </c>
      <c r="S167" s="9" t="n">
        <v>46323</v>
      </c>
      <c r="T167" s="3" t="n">
        <v>46323.34334490741</v>
      </c>
      <c r="U167" s="2" t="n"/>
    </row>
    <row r="168">
      <c r="A168" s="2" t="inlineStr">
        <is>
          <t>Pendiente de adjudicación</t>
        </is>
      </c>
      <c r="B168" s="3" t="n">
        <v>46322.99930555555</v>
      </c>
      <c r="C168" s="5" t="n">
        <v>299441.74</v>
      </c>
      <c r="D168" s="5" t="n">
        <v>299441.74</v>
      </c>
      <c r="E168" s="2" t="inlineStr">
        <is>
          <t>Andalucía</t>
        </is>
      </c>
      <c r="F168" s="2" t="inlineStr">
        <is>
          <t>Cádiz</t>
        </is>
      </c>
      <c r="G168" s="2" t="inlineStr">
        <is>
          <t>Cádiz</t>
        </is>
      </c>
      <c r="H168" s="2" t="inlineStr">
        <is>
          <t>Rectorado de la Universidad de Cádiz</t>
        </is>
      </c>
      <c r="I168" s="2" t="inlineStr">
        <is>
          <t>Actuaciones de conservación y mejora de la eficiencia energética en la cubierta del Aulario "La Bomba" integrado en el conjunto edificatorio del edificio Constitución de 1812 de la Universidad de Cádiz</t>
        </is>
      </c>
      <c r="J168" s="2" t="inlineStr">
        <is>
          <t>EXP044/2026/19</t>
        </is>
      </c>
      <c r="K168" s="2" t="inlineStr">
        <is>
          <t>Abierto</t>
        </is>
      </c>
      <c r="L168" s="6" t="n">
        <v>5</v>
      </c>
      <c r="M168" s="2" t="n"/>
      <c r="N168" s="7" t="n">
        <v>0.4</v>
      </c>
      <c r="O168" s="4" t="n"/>
      <c r="P168" s="2" t="inlineStr">
        <is>
          <t>45261910; 45261420</t>
        </is>
      </c>
      <c r="Q168" s="8" t="inlineStr">
        <is>
          <t>Ver</t>
        </is>
      </c>
      <c r="R168" s="8" t="inlineStr">
        <is>
          <t>PCAP</t>
        </is>
      </c>
      <c r="S168" s="9" t="n">
        <v>46324</v>
      </c>
      <c r="T168" s="3" t="n">
        <v>46323.34163194444</v>
      </c>
      <c r="U168" s="2" t="n"/>
    </row>
    <row r="169">
      <c r="A169" s="2" t="inlineStr">
        <is>
          <t>Resuelta</t>
        </is>
      </c>
      <c r="B169" s="3" t="n">
        <v>46255.99930555555</v>
      </c>
      <c r="C169" s="5" t="n">
        <v>70067.99000000001</v>
      </c>
      <c r="D169" s="5" t="n">
        <v>70067.99000000001</v>
      </c>
      <c r="E169" s="2" t="inlineStr">
        <is>
          <t>Andalucía</t>
        </is>
      </c>
      <c r="F169" s="2" t="inlineStr">
        <is>
          <t>Córdoba</t>
        </is>
      </c>
      <c r="G169" s="2" t="n"/>
      <c r="H169" s="2" t="inlineStr">
        <is>
          <t>Alcaldia del Ayuntamiento de Palma del Río</t>
        </is>
      </c>
      <c r="I169" s="2" t="inlineStr">
        <is>
          <t>Obras para el acondicionamiento y pintura fachadas del C.E.I.P. El Parque de Palma del Río (Córdoba), subvención excepcional de la Diputación Provincial de Córdoba</t>
        </is>
      </c>
      <c r="J169" s="2" t="inlineStr">
        <is>
          <t>OB-05/2025</t>
        </is>
      </c>
      <c r="K169" s="2" t="inlineStr">
        <is>
          <t>Abierto simplificado</t>
        </is>
      </c>
      <c r="L169" s="6" t="n">
        <v>1.6</v>
      </c>
      <c r="M169" s="2" t="n"/>
      <c r="N169" s="7" t="n">
        <v>0</v>
      </c>
      <c r="O169" s="4" t="n"/>
      <c r="P169" s="2" t="inlineStr">
        <is>
          <t>45440000</t>
        </is>
      </c>
      <c r="Q169" s="8" t="inlineStr">
        <is>
          <t>Ver</t>
        </is>
      </c>
      <c r="R169" s="8" t="inlineStr">
        <is>
          <t>PCAP</t>
        </is>
      </c>
      <c r="S169" s="9" t="n">
        <v>46310</v>
      </c>
      <c r="T169" s="3" t="n">
        <v>46323.3399074074</v>
      </c>
      <c r="U169" s="2" t="inlineStr">
        <is>
          <t>2026-10-29: estado ADJ → RES</t>
        </is>
      </c>
    </row>
    <row r="170">
      <c r="A170" s="2" t="inlineStr">
        <is>
          <t>En plazo</t>
        </is>
      </c>
      <c r="B170" s="3" t="n">
        <v>46330.58333333334</v>
      </c>
      <c r="C170" s="5" t="n">
        <v>166226.69</v>
      </c>
      <c r="D170" s="5" t="n">
        <v>166226.69</v>
      </c>
      <c r="E170" s="2" t="inlineStr">
        <is>
          <t>Andalucía</t>
        </is>
      </c>
      <c r="F170" s="2" t="inlineStr">
        <is>
          <t>Córdoba</t>
        </is>
      </c>
      <c r="G170" s="2" t="inlineStr">
        <is>
          <t>Hinojosa del Duque</t>
        </is>
      </c>
      <c r="H170" s="2" t="inlineStr">
        <is>
          <t>Alcaldía del Ayuntamiento de Hinojosa del Duque</t>
        </is>
      </c>
      <c r="I170" s="2" t="inlineStr">
        <is>
          <t>Reparación del pavimento y renovación de la red de saneamiento en Calle Caridad</t>
        </is>
      </c>
      <c r="J170" s="2" t="inlineStr">
        <is>
          <t>GEX 4627/2026</t>
        </is>
      </c>
      <c r="K170" s="2" t="inlineStr">
        <is>
          <t>Abierto simplificado</t>
        </is>
      </c>
      <c r="L170" s="6" t="n">
        <v>1.2</v>
      </c>
      <c r="M170" s="2" t="inlineStr">
        <is>
          <t>G6-2</t>
        </is>
      </c>
      <c r="N170" s="7" t="n">
        <v>0</v>
      </c>
      <c r="O170" s="4" t="n"/>
      <c r="P170" s="2" t="inlineStr">
        <is>
          <t>45220000; 45232410; 45233251; 45233252</t>
        </is>
      </c>
      <c r="Q170" s="8" t="inlineStr">
        <is>
          <t>Ver</t>
        </is>
      </c>
      <c r="R170" s="8" t="inlineStr">
        <is>
          <t>PCAP</t>
        </is>
      </c>
      <c r="S170" s="9" t="n">
        <v>46311</v>
      </c>
      <c r="T170" s="3" t="n">
        <v>46323.33233796297</v>
      </c>
      <c r="U170" s="2" t="n"/>
    </row>
    <row r="171">
      <c r="A171" s="2" t="inlineStr">
        <is>
          <t>En plazo</t>
        </is>
      </c>
      <c r="B171" s="3" t="n">
        <v>46349.99930555555</v>
      </c>
      <c r="C171" s="5" t="n">
        <v>115284.74</v>
      </c>
      <c r="D171" s="5" t="n">
        <v>126813.21</v>
      </c>
      <c r="E171" s="2" t="inlineStr">
        <is>
          <t>Comunitat Valenciana</t>
        </is>
      </c>
      <c r="F171" s="2" t="inlineStr">
        <is>
          <t>Valencia</t>
        </is>
      </c>
      <c r="G171" s="2" t="n"/>
      <c r="H171" s="2" t="inlineStr">
        <is>
          <t>Departamento de Salud de Manises. Dirección Económica-Gerencia</t>
        </is>
      </c>
      <c r="I171" s="2" t="inlineStr">
        <is>
          <t>Obra de recrecido de muro antiinundación de hormigón armado en el perímetro sur del Hospital de Manises</t>
        </is>
      </c>
      <c r="J171" s="2" t="inlineStr">
        <is>
          <t>1793/2026</t>
        </is>
      </c>
      <c r="K171" s="2" t="inlineStr">
        <is>
          <t>Abierto</t>
        </is>
      </c>
      <c r="L171" s="6" t="n">
        <v>4</v>
      </c>
      <c r="M171" s="2" t="n"/>
      <c r="N171" s="7" t="n">
        <v>0.45</v>
      </c>
      <c r="O171" s="4" t="n"/>
      <c r="P171" s="2" t="inlineStr">
        <is>
          <t>45246400</t>
        </is>
      </c>
      <c r="Q171" s="8" t="inlineStr">
        <is>
          <t>Ver</t>
        </is>
      </c>
      <c r="R171" s="8" t="inlineStr">
        <is>
          <t>PCAP</t>
        </is>
      </c>
      <c r="S171" s="9" t="n">
        <v>46323</v>
      </c>
      <c r="T171" s="3" t="n">
        <v>46323.33055555556</v>
      </c>
      <c r="U171" s="2" t="n"/>
    </row>
    <row r="172">
      <c r="A172" s="2" t="inlineStr">
        <is>
          <t>Resuelta</t>
        </is>
      </c>
      <c r="B172" s="3" t="n">
        <v>46195.99930555555</v>
      </c>
      <c r="C172" s="5" t="n">
        <v>498644.77</v>
      </c>
      <c r="D172" s="5" t="n">
        <v>598373.73</v>
      </c>
      <c r="E172" s="2" t="inlineStr">
        <is>
          <t>Comunitat Valenciana</t>
        </is>
      </c>
      <c r="F172" s="2" t="inlineStr">
        <is>
          <t>Alicante</t>
        </is>
      </c>
      <c r="G172" s="2" t="inlineStr">
        <is>
          <t>Alicante</t>
        </is>
      </c>
      <c r="H172" s="2" t="inlineStr">
        <is>
          <t>Departamento de Salud Alicante. Dirección Económica-Gerencia</t>
        </is>
      </c>
      <c r="I172" s="2" t="inlineStr">
        <is>
          <t>Obra de reforma interior del auditorio del Hospital General Universitario Dr. Balmis de Alicante</t>
        </is>
      </c>
      <c r="J172" s="2" t="inlineStr">
        <is>
          <t>PAS 490/2026</t>
        </is>
      </c>
      <c r="K172" s="2" t="inlineStr">
        <is>
          <t>Abierto simplificado</t>
        </is>
      </c>
      <c r="L172" s="6" t="n">
        <v>5</v>
      </c>
      <c r="M172" s="2" t="inlineStr">
        <is>
          <t>C*-3</t>
        </is>
      </c>
      <c r="N172" s="7" t="n">
        <v>0.25</v>
      </c>
      <c r="O172" s="4" t="n"/>
      <c r="P172" s="2" t="inlineStr">
        <is>
          <t>45215140; 45300000</t>
        </is>
      </c>
      <c r="Q172" s="8" t="inlineStr">
        <is>
          <t>Ver</t>
        </is>
      </c>
      <c r="R172" s="8" t="inlineStr">
        <is>
          <t>PCAP</t>
        </is>
      </c>
      <c r="S172" s="9" t="n">
        <v>46324</v>
      </c>
      <c r="T172" s="3" t="n">
        <v>46323.32972222222</v>
      </c>
      <c r="U172" s="2" t="n"/>
    </row>
    <row r="173">
      <c r="A173" s="2" t="inlineStr">
        <is>
          <t>En plazo</t>
        </is>
      </c>
      <c r="B173" s="3" t="n">
        <v>46343.99930555555</v>
      </c>
      <c r="C173" s="5" t="n">
        <v>205947.73</v>
      </c>
      <c r="D173" s="5" t="n">
        <v>249196.75</v>
      </c>
      <c r="E173" s="2" t="inlineStr">
        <is>
          <t>Comunitat Valenciana</t>
        </is>
      </c>
      <c r="F173" s="2" t="inlineStr">
        <is>
          <t>Valencia</t>
        </is>
      </c>
      <c r="G173" s="2" t="n"/>
      <c r="H173" s="2" t="inlineStr">
        <is>
          <t>Junta de Gobierno del Ayuntamiento de Llíria</t>
        </is>
      </c>
      <c r="I173" s="2" t="inlineStr">
        <is>
          <t>Obras de contención de talud de la Calle Garcilaso de Llíria</t>
        </is>
      </c>
      <c r="J173" s="2" t="inlineStr">
        <is>
          <t>9594Q/2026</t>
        </is>
      </c>
      <c r="K173" s="2" t="inlineStr">
        <is>
          <t>Abierto simplificado</t>
        </is>
      </c>
      <c r="L173" s="6" t="n">
        <v>3</v>
      </c>
      <c r="M173" s="2" t="n"/>
      <c r="N173" s="7" t="n">
        <v>0</v>
      </c>
      <c r="O173" s="4" t="n"/>
      <c r="P173" s="2" t="inlineStr">
        <is>
          <t>45111230; 45111213</t>
        </is>
      </c>
      <c r="Q173" s="8" t="inlineStr">
        <is>
          <t>Ver</t>
        </is>
      </c>
      <c r="R173" s="8" t="inlineStr">
        <is>
          <t>PCAP</t>
        </is>
      </c>
      <c r="S173" s="9" t="n">
        <v>46324</v>
      </c>
      <c r="T173" s="3" t="n">
        <v>46323.3234837963</v>
      </c>
      <c r="U173" s="2" t="n"/>
    </row>
    <row r="174">
      <c r="A174" s="2" t="inlineStr">
        <is>
          <t>En plazo</t>
        </is>
      </c>
      <c r="B174" s="3" t="n">
        <v>46349.99930555555</v>
      </c>
      <c r="C174" s="5" t="n">
        <v>118443.04</v>
      </c>
      <c r="D174" s="5" t="n">
        <v>118443.04</v>
      </c>
      <c r="E174" s="2" t="inlineStr">
        <is>
          <t>Andalucía</t>
        </is>
      </c>
      <c r="F174" s="2" t="inlineStr">
        <is>
          <t>Málaga</t>
        </is>
      </c>
      <c r="G174" s="2" t="inlineStr">
        <is>
          <t>Málaga</t>
        </is>
      </c>
      <c r="H174" s="2" t="inlineStr">
        <is>
          <t>Autoridad Portuaria de Málaga</t>
        </is>
      </c>
      <c r="I174" s="2" t="inlineStr">
        <is>
          <t>Demolición del cuartel de la Guardia Civil "La Parra" del muelle 4 del Puerto de Málaga</t>
        </is>
      </c>
      <c r="J174" s="2" t="inlineStr">
        <is>
          <t>26exma-045</t>
        </is>
      </c>
      <c r="K174" s="2" t="inlineStr">
        <is>
          <t>Abierto simplificado</t>
        </is>
      </c>
      <c r="L174" s="6" t="n">
        <v>0.9</v>
      </c>
      <c r="M174" s="2" t="n"/>
      <c r="N174" s="7" t="n">
        <v>0</v>
      </c>
      <c r="O174" s="4" t="n"/>
      <c r="P174" s="2" t="inlineStr">
        <is>
          <t>45110000</t>
        </is>
      </c>
      <c r="Q174" s="8" t="inlineStr">
        <is>
          <t>Ver</t>
        </is>
      </c>
      <c r="R174" s="8" t="inlineStr">
        <is>
          <t>PCAP</t>
        </is>
      </c>
      <c r="S174" s="9" t="n">
        <v>46311</v>
      </c>
      <c r="T174" s="3" t="n">
        <v>46323.31895833334</v>
      </c>
      <c r="U174" s="2" t="n"/>
    </row>
    <row r="175">
      <c r="A175" s="2" t="inlineStr">
        <is>
          <t>Resuelta</t>
        </is>
      </c>
      <c r="B175" s="3" t="n">
        <v>46282.99930555555</v>
      </c>
      <c r="C175" s="5" t="n">
        <v>108172.64</v>
      </c>
      <c r="D175" s="5" t="n">
        <v>108172.64</v>
      </c>
      <c r="E175" s="2" t="inlineStr">
        <is>
          <t>Comunitat Valenciana</t>
        </is>
      </c>
      <c r="F175" s="2" t="inlineStr">
        <is>
          <t>Valencia</t>
        </is>
      </c>
      <c r="G175" s="2" t="n"/>
      <c r="H175" s="2" t="inlineStr">
        <is>
          <t>Junta de Gobierno del Ayuntamiento de Sagunto</t>
        </is>
      </c>
      <c r="I175" s="2" t="inlineStr">
        <is>
          <t>Contrato de obras para la construcción de aseos públicos a paelleros de gerencia del Puerto de Sagunto.</t>
        </is>
      </c>
      <c r="J175" s="2" t="inlineStr">
        <is>
          <t>29/26-C BIS III</t>
        </is>
      </c>
      <c r="K175" s="2" t="inlineStr">
        <is>
          <t>Restringido</t>
        </is>
      </c>
      <c r="L175" s="6" t="n">
        <v>2</v>
      </c>
      <c r="M175" s="2" t="n"/>
      <c r="N175" s="7" t="n">
        <v>0</v>
      </c>
      <c r="O175" s="4" t="n">
        <v>1</v>
      </c>
      <c r="P175" s="2" t="inlineStr">
        <is>
          <t>45000000</t>
        </is>
      </c>
      <c r="Q175" s="8" t="inlineStr">
        <is>
          <t>Ver</t>
        </is>
      </c>
      <c r="R175" s="8" t="inlineStr">
        <is>
          <t>PCAP</t>
        </is>
      </c>
      <c r="S175" s="9" t="n">
        <v>46324</v>
      </c>
      <c r="T175" s="3" t="n">
        <v>46323.30572916667</v>
      </c>
      <c r="U175" s="2" t="n"/>
    </row>
    <row r="176">
      <c r="A176" s="2" t="inlineStr">
        <is>
          <t>Plazo vencido</t>
        </is>
      </c>
      <c r="B176" s="3" t="n">
        <v>46323.5</v>
      </c>
      <c r="C176" s="5" t="n">
        <v>653963.23</v>
      </c>
      <c r="D176" s="5" t="n">
        <v>653963.23</v>
      </c>
      <c r="E176" s="2" t="inlineStr">
        <is>
          <t>Comunitat Valenciana</t>
        </is>
      </c>
      <c r="F176" s="2" t="inlineStr">
        <is>
          <t>Alicante</t>
        </is>
      </c>
      <c r="G176" s="2" t="inlineStr">
        <is>
          <t>Almoradí</t>
        </is>
      </c>
      <c r="H176" s="2" t="inlineStr">
        <is>
          <t>Junta de Gobierno del Ayuntamiento de Almoradí</t>
        </is>
      </c>
      <c r="I176" s="2" t="inlineStr">
        <is>
          <t>Mejora de la accesibilidad y la escena urbana en el entorno del Teatro Cortés y Museo del Terremoto (Plan de Actuación Integrado PAI, cofinanciado con la Unión Europea - FEDER)</t>
        </is>
      </c>
      <c r="J176" s="2" t="inlineStr">
        <is>
          <t>6981/2026</t>
        </is>
      </c>
      <c r="K176" s="2" t="inlineStr">
        <is>
          <t>Abierto simplificado</t>
        </is>
      </c>
      <c r="L176" s="6" t="n">
        <v>5</v>
      </c>
      <c r="M176" s="2" t="n"/>
      <c r="N176" s="7" t="n">
        <v>0.25</v>
      </c>
      <c r="O176" s="4" t="n"/>
      <c r="P176" s="2" t="inlineStr">
        <is>
          <t>45233200; 45000000; 45111100; 45233140; 45233253; 45211360</t>
        </is>
      </c>
      <c r="Q176" s="8" t="inlineStr">
        <is>
          <t>Ver</t>
        </is>
      </c>
      <c r="R176" s="8" t="inlineStr">
        <is>
          <t>PCAP</t>
        </is>
      </c>
      <c r="S176" s="9" t="n">
        <v>46310</v>
      </c>
      <c r="T176" s="3" t="n">
        <v>46323.28976851852</v>
      </c>
      <c r="U176" s="2" t="n"/>
    </row>
    <row r="177">
      <c r="A177" s="2" t="inlineStr">
        <is>
          <t>Adjudicada</t>
        </is>
      </c>
      <c r="B177" s="3" t="n">
        <v>46160.99930555555</v>
      </c>
      <c r="C177" s="5" t="n">
        <v>318589.13</v>
      </c>
      <c r="D177" s="5" t="n">
        <v>318589.13</v>
      </c>
      <c r="E177" s="2" t="inlineStr">
        <is>
          <t>Comunitat Valenciana</t>
        </is>
      </c>
      <c r="F177" s="2" t="inlineStr">
        <is>
          <t>Alicante</t>
        </is>
      </c>
      <c r="G177" s="2" t="n"/>
      <c r="H177" s="2" t="inlineStr">
        <is>
          <t>Junta de Gobierno del Ayuntamiento de Torrevieja</t>
        </is>
      </c>
      <c r="I177" s="2" t="inlineStr">
        <is>
          <t>Contratación de la obra de adaptación y reparación de las playas del municipio de Torrevieja mediante tramitación anticipada del gasto</t>
        </is>
      </c>
      <c r="J177" s="2" t="inlineStr">
        <is>
          <t>82528/2025</t>
        </is>
      </c>
      <c r="K177" s="2" t="inlineStr">
        <is>
          <t>Abierto simplificado</t>
        </is>
      </c>
      <c r="L177" s="6" t="n">
        <v>3</v>
      </c>
      <c r="M177" s="2" t="n"/>
      <c r="N177" s="7" t="n">
        <v>0</v>
      </c>
      <c r="O177" s="4" t="n"/>
      <c r="P177" s="2" t="inlineStr">
        <is>
          <t>45000000</t>
        </is>
      </c>
      <c r="Q177" s="8" t="inlineStr">
        <is>
          <t>Ver</t>
        </is>
      </c>
      <c r="R177" s="8" t="inlineStr">
        <is>
          <t>PCAP</t>
        </is>
      </c>
      <c r="S177" s="9" t="n">
        <v>46324</v>
      </c>
      <c r="T177" s="3" t="n">
        <v>46323.2871875</v>
      </c>
      <c r="U177" s="2" t="n"/>
    </row>
    <row r="178">
      <c r="A178" s="2" t="inlineStr">
        <is>
          <t>En plazo</t>
        </is>
      </c>
      <c r="B178" s="3" t="n">
        <v>46349.96458333333</v>
      </c>
      <c r="C178" s="5" t="n">
        <v>104913.48</v>
      </c>
      <c r="D178" s="5" t="n">
        <v>104913.48</v>
      </c>
      <c r="E178" s="2" t="inlineStr">
        <is>
          <t>Andalucía</t>
        </is>
      </c>
      <c r="F178" s="2" t="inlineStr">
        <is>
          <t>Huelva</t>
        </is>
      </c>
      <c r="G178" s="2" t="inlineStr">
        <is>
          <t>Aracena</t>
        </is>
      </c>
      <c r="H178" s="2" t="inlineStr">
        <is>
          <t>Junta de Gobierno Local del Ayuntamiento de Aracena</t>
        </is>
      </c>
      <c r="I178" s="2" t="inlineStr">
        <is>
          <t>Contrato para la ejecución de las obras definidas en la Memoria Técnica de Ejecución de Terminación de las Obras de Reforma del Mercado de Abastos de Aracena, en calle José Nogales, s/n, Aracena (Huelva).</t>
        </is>
      </c>
      <c r="J178" s="2" t="inlineStr">
        <is>
          <t>7427/2026</t>
        </is>
      </c>
      <c r="K178" s="2" t="inlineStr">
        <is>
          <t>Abierto</t>
        </is>
      </c>
      <c r="L178" s="6" t="n">
        <v>4</v>
      </c>
      <c r="M178" s="2" t="n"/>
      <c r="N178" s="7" t="n">
        <v>0.45</v>
      </c>
      <c r="O178" s="4" t="n"/>
      <c r="P178" s="2" t="inlineStr">
        <is>
          <t>45000000</t>
        </is>
      </c>
      <c r="Q178" s="8" t="inlineStr">
        <is>
          <t>Ver</t>
        </is>
      </c>
      <c r="R178" s="8" t="inlineStr">
        <is>
          <t>PCAP</t>
        </is>
      </c>
      <c r="S178" s="9" t="n">
        <v>46323</v>
      </c>
      <c r="T178" s="3" t="n">
        <v>46322.85643518518</v>
      </c>
      <c r="U178" s="2" t="n"/>
    </row>
    <row r="179">
      <c r="A179" s="2" t="inlineStr">
        <is>
          <t>Adjudicada</t>
        </is>
      </c>
      <c r="B179" s="3" t="n">
        <v>46273.99930555555</v>
      </c>
      <c r="C179" s="5" t="n">
        <v>162803.26</v>
      </c>
      <c r="D179" s="5" t="n">
        <v>162803.26</v>
      </c>
      <c r="E179" s="2" t="inlineStr">
        <is>
          <t>Comunitat Valenciana</t>
        </is>
      </c>
      <c r="F179" s="2" t="inlineStr">
        <is>
          <t>Valencia</t>
        </is>
      </c>
      <c r="G179" s="2" t="n"/>
      <c r="H179" s="2" t="inlineStr">
        <is>
          <t>Alcaldía del Ayuntamiento de Sellent</t>
        </is>
      </c>
      <c r="I179" s="2" t="inlineStr">
        <is>
          <t>Reforma y urbanización de la plaza Llevant de Sellent</t>
        </is>
      </c>
      <c r="J179" s="2" t="inlineStr">
        <is>
          <t>238/2026</t>
        </is>
      </c>
      <c r="K179" s="2" t="inlineStr">
        <is>
          <t>Abierto simplificado</t>
        </is>
      </c>
      <c r="L179" s="6" t="n">
        <v>4</v>
      </c>
      <c r="M179" s="2" t="n"/>
      <c r="N179" s="7" t="n">
        <v>0</v>
      </c>
      <c r="O179" s="4" t="n"/>
      <c r="P179" s="2" t="inlineStr">
        <is>
          <t>45233262; 45233293; 45112712; 45200000; 45000000; 45233252; 45233253</t>
        </is>
      </c>
      <c r="Q179" s="8" t="inlineStr">
        <is>
          <t>Ver</t>
        </is>
      </c>
      <c r="R179" s="8" t="inlineStr">
        <is>
          <t>PCAP</t>
        </is>
      </c>
      <c r="S179" s="9" t="n">
        <v>46315</v>
      </c>
      <c r="T179" s="3" t="n">
        <v>46322.80862268519</v>
      </c>
      <c r="U179" s="2" t="inlineStr">
        <is>
          <t>2026-10-28: estado EV → ADJ</t>
        </is>
      </c>
    </row>
    <row r="180">
      <c r="A180" s="2" t="inlineStr">
        <is>
          <t>En plazo</t>
        </is>
      </c>
      <c r="B180" s="3" t="n">
        <v>46332.99930555555</v>
      </c>
      <c r="C180" s="5" t="n">
        <v>48084.15</v>
      </c>
      <c r="D180" s="5" t="n">
        <v>48084.15</v>
      </c>
      <c r="E180" s="2" t="inlineStr">
        <is>
          <t>Andalucía</t>
        </is>
      </c>
      <c r="F180" s="2" t="inlineStr">
        <is>
          <t>Granada</t>
        </is>
      </c>
      <c r="G180" s="2" t="inlineStr">
        <is>
          <t>DÚDAR</t>
        </is>
      </c>
      <c r="H180" s="2" t="inlineStr">
        <is>
          <t>Alcaldia del Ayuntamiento de Dúdar</t>
        </is>
      </c>
      <c r="I180" s="2" t="inlineStr">
        <is>
          <t>constituye el objeto del contrato la ejecución de las obras adecuación de espacio bajo cubierta en ayuntamiento de Dúdar</t>
        </is>
      </c>
      <c r="J180" s="2" t="inlineStr">
        <is>
          <t>229/2026</t>
        </is>
      </c>
      <c r="K180" s="2" t="inlineStr">
        <is>
          <t>Abierto simplificado</t>
        </is>
      </c>
      <c r="L180" s="6" t="n">
        <v>3</v>
      </c>
      <c r="M180" s="2" t="n"/>
      <c r="N180" s="7" t="n">
        <v>0</v>
      </c>
      <c r="O180" s="4" t="n"/>
      <c r="P180" s="2" t="inlineStr">
        <is>
          <t>45000000</t>
        </is>
      </c>
      <c r="Q180" s="8" t="inlineStr">
        <is>
          <t>Ver</t>
        </is>
      </c>
      <c r="R180" s="8" t="inlineStr">
        <is>
          <t>PCAP</t>
        </is>
      </c>
      <c r="S180" s="9" t="n">
        <v>46323</v>
      </c>
      <c r="T180" s="3" t="n">
        <v>46322.78108796296</v>
      </c>
      <c r="U180" s="2" t="n"/>
    </row>
    <row r="181">
      <c r="A181" s="2" t="inlineStr">
        <is>
          <t>Pendiente de adjudicación</t>
        </is>
      </c>
      <c r="B181" s="3" t="n">
        <v>46321.99930555555</v>
      </c>
      <c r="C181" s="5" t="n">
        <v>108742.04</v>
      </c>
      <c r="D181" s="5" t="n">
        <v>119616.24</v>
      </c>
      <c r="E181" s="2" t="inlineStr">
        <is>
          <t>Comunitat Valenciana</t>
        </is>
      </c>
      <c r="F181" s="2" t="inlineStr">
        <is>
          <t>Valencia</t>
        </is>
      </c>
      <c r="G181" s="2" t="n"/>
      <c r="H181" s="2" t="inlineStr">
        <is>
          <t>Junta de Gobierno del Ayuntamiento de Silla</t>
        </is>
      </c>
      <c r="I181" s="2" t="inlineStr">
        <is>
          <t>Obra «Adecuación de las condiciones e instalaciones de protección contra incendios del edificio municipal la Nau Jove de Silla»</t>
        </is>
      </c>
      <c r="J181" s="2" t="inlineStr">
        <is>
          <t>3040807T</t>
        </is>
      </c>
      <c r="K181" s="2" t="inlineStr">
        <is>
          <t>Abierto simplificado</t>
        </is>
      </c>
      <c r="L181" s="6" t="n">
        <v>3</v>
      </c>
      <c r="M181" s="2" t="n"/>
      <c r="N181" s="7" t="n">
        <v>0</v>
      </c>
      <c r="O181" s="4" t="n"/>
      <c r="P181" s="2" t="inlineStr">
        <is>
          <t>45343100; 45343200; 45343000</t>
        </is>
      </c>
      <c r="Q181" s="8" t="inlineStr">
        <is>
          <t>Ver</t>
        </is>
      </c>
      <c r="R181" s="8" t="inlineStr">
        <is>
          <t>PCAP</t>
        </is>
      </c>
      <c r="S181" s="9" t="n">
        <v>46310</v>
      </c>
      <c r="T181" s="3" t="n">
        <v>46322.77574074074</v>
      </c>
      <c r="U181" s="2" t="inlineStr">
        <is>
          <t>2026-10-28: estado PUB → EV</t>
        </is>
      </c>
    </row>
    <row r="182">
      <c r="A182" s="2" t="inlineStr">
        <is>
          <t>En plazo</t>
        </is>
      </c>
      <c r="B182" s="3" t="n">
        <v>46351.99930555555</v>
      </c>
      <c r="C182" s="5" t="n">
        <v>357000</v>
      </c>
      <c r="D182" s="5" t="n">
        <v>357000</v>
      </c>
      <c r="E182" s="2" t="inlineStr">
        <is>
          <t>Andalucía</t>
        </is>
      </c>
      <c r="F182" s="2" t="inlineStr">
        <is>
          <t>Almería</t>
        </is>
      </c>
      <c r="G182" s="2" t="inlineStr">
        <is>
          <t>ABRUCENA</t>
        </is>
      </c>
      <c r="H182" s="2" t="inlineStr">
        <is>
          <t>Pleno del Ayuntamiento de Abrucena</t>
        </is>
      </c>
      <c r="I182" s="2" t="inlineStr">
        <is>
          <t>Construcción de gimnasio en área recreativa "Las Chinas" en Abrucena</t>
        </is>
      </c>
      <c r="J182" s="2" t="inlineStr">
        <is>
          <t>705/2026</t>
        </is>
      </c>
      <c r="K182" s="2" t="inlineStr">
        <is>
          <t>Abierto simplificado</t>
        </is>
      </c>
      <c r="L182" s="6" t="n">
        <v>6.7</v>
      </c>
      <c r="M182" s="2" t="n"/>
      <c r="N182" s="7" t="n">
        <v>0</v>
      </c>
      <c r="O182" s="4" t="n"/>
      <c r="P182" s="2" t="inlineStr">
        <is>
          <t>45212220</t>
        </is>
      </c>
      <c r="Q182" s="8" t="inlineStr">
        <is>
          <t>Ver</t>
        </is>
      </c>
      <c r="R182" s="8" t="inlineStr">
        <is>
          <t>PCAP</t>
        </is>
      </c>
      <c r="S182" s="9" t="n">
        <v>46323</v>
      </c>
      <c r="T182" s="3" t="n">
        <v>46322.77277777778</v>
      </c>
      <c r="U182" s="2" t="n"/>
    </row>
    <row r="183">
      <c r="A183" s="2" t="inlineStr">
        <is>
          <t>Pendiente de adjudicación</t>
        </is>
      </c>
      <c r="B183" s="3" t="n">
        <v>46282.99930555555</v>
      </c>
      <c r="C183" s="5" t="n">
        <v>132897.85</v>
      </c>
      <c r="D183" s="5" t="n">
        <v>132897.85</v>
      </c>
      <c r="E183" s="2" t="inlineStr">
        <is>
          <t>Comunitat Valenciana</t>
        </is>
      </c>
      <c r="F183" s="2" t="inlineStr">
        <is>
          <t>Castellón</t>
        </is>
      </c>
      <c r="G183" s="2" t="inlineStr">
        <is>
          <t>Portell de Morella</t>
        </is>
      </c>
      <c r="H183" s="2" t="inlineStr">
        <is>
          <t>Alcaldía del Ayuntamiento de Portell de Morella</t>
        </is>
      </c>
      <c r="I183" s="2" t="inlineStr">
        <is>
          <t>Ejecucion de las obras definidas en el proyecto conservación de la torre 3 y excavación arqueológica del entorno de la muralla del recinto superior del Castillo de Portell de Morella</t>
        </is>
      </c>
      <c r="J183" s="2" t="inlineStr">
        <is>
          <t>163/2026</t>
        </is>
      </c>
      <c r="K183" s="2" t="inlineStr">
        <is>
          <t>Abierto simplificado</t>
        </is>
      </c>
      <c r="L183" s="6" t="n">
        <v>4</v>
      </c>
      <c r="M183" s="2" t="n"/>
      <c r="N183" s="7" t="n">
        <v>0.25</v>
      </c>
      <c r="O183" s="4" t="n"/>
      <c r="P183" s="2" t="inlineStr">
        <is>
          <t>45262522; 45100000; 45212314; 71351914</t>
        </is>
      </c>
      <c r="Q183" s="8" t="inlineStr">
        <is>
          <t>Ver</t>
        </is>
      </c>
      <c r="R183" s="8" t="inlineStr">
        <is>
          <t>PCAP</t>
        </is>
      </c>
      <c r="S183" s="9" t="n">
        <v>46317</v>
      </c>
      <c r="T183" s="3" t="n">
        <v>46322.76596064815</v>
      </c>
      <c r="U183" s="2" t="n"/>
    </row>
    <row r="184">
      <c r="A184" s="2" t="inlineStr">
        <is>
          <t>En plazo</t>
        </is>
      </c>
      <c r="B184" s="3" t="n">
        <v>46351.625</v>
      </c>
      <c r="C184" s="5" t="n">
        <v>164796.66</v>
      </c>
      <c r="D184" s="5" t="n">
        <v>164796.66</v>
      </c>
      <c r="E184" s="2" t="inlineStr">
        <is>
          <t>Comunitat Valenciana</t>
        </is>
      </c>
      <c r="F184" s="2" t="inlineStr">
        <is>
          <t>Alicante</t>
        </is>
      </c>
      <c r="G184" s="2" t="n"/>
      <c r="H184" s="2" t="inlineStr">
        <is>
          <t>Alcaldía del Ayuntamiento de Polop</t>
        </is>
      </c>
      <c r="I184" s="2" t="inlineStr">
        <is>
          <t>Obras de adecuación del edificio de servicios junto a la Ermita en Polop de la Marina (Alicante).</t>
        </is>
      </c>
      <c r="J184" s="2" t="inlineStr">
        <is>
          <t>2024/2026</t>
        </is>
      </c>
      <c r="K184" s="2" t="inlineStr">
        <is>
          <t>Abierto simplificado</t>
        </is>
      </c>
      <c r="L184" s="6" t="n">
        <v>5</v>
      </c>
      <c r="M184" s="2" t="n"/>
      <c r="N184" s="7" t="n">
        <v>0.25</v>
      </c>
      <c r="O184" s="4" t="n"/>
      <c r="P184" s="2" t="inlineStr">
        <is>
          <t>45200000</t>
        </is>
      </c>
      <c r="Q184" s="8" t="inlineStr">
        <is>
          <t>Ver</t>
        </is>
      </c>
      <c r="R184" s="8" t="inlineStr">
        <is>
          <t>PCAP</t>
        </is>
      </c>
      <c r="S184" s="9" t="n">
        <v>46323</v>
      </c>
      <c r="T184" s="3" t="n">
        <v>46322.73696759259</v>
      </c>
      <c r="U184" s="2" t="n"/>
    </row>
    <row r="185">
      <c r="A185" s="2" t="inlineStr">
        <is>
          <t>Pendiente de adjudicación</t>
        </is>
      </c>
      <c r="B185" s="3" t="n">
        <v>46269.5</v>
      </c>
      <c r="C185" s="5" t="n">
        <v>1442838.13</v>
      </c>
      <c r="D185" s="5" t="n">
        <v>1442838.13</v>
      </c>
      <c r="E185" s="2" t="inlineStr">
        <is>
          <t>Andalucía</t>
        </is>
      </c>
      <c r="F185" s="2" t="inlineStr">
        <is>
          <t>Sevilla</t>
        </is>
      </c>
      <c r="G185" s="2" t="inlineStr">
        <is>
          <t>Sevilla</t>
        </is>
      </c>
      <c r="H185" s="2" t="inlineStr">
        <is>
          <t>Consejería Delegada de la Empresa Metropolitana de Abastecimiento y Saneamiento de Aguas de Sevilla S.A. (EMASESA)</t>
        </is>
      </c>
      <c r="I185" s="2" t="inlineStr">
        <is>
          <t>Proyecto de sustitución de las redes de abastecimiento y saneamiento en calle Albaida. Distrito Macarena, Sevilla.</t>
        </is>
      </c>
      <c r="J185" s="2" t="inlineStr">
        <is>
          <t>0591/2026</t>
        </is>
      </c>
      <c r="K185" s="2" t="inlineStr">
        <is>
          <t>Abierto</t>
        </is>
      </c>
      <c r="L185" s="6" t="n">
        <v>8.4</v>
      </c>
      <c r="M185" s="2" t="inlineStr">
        <is>
          <t>G6-4; E1-3</t>
        </is>
      </c>
      <c r="N185" s="7" t="n">
        <v>0.5</v>
      </c>
      <c r="O185" s="4" t="n"/>
      <c r="P185" s="2" t="inlineStr">
        <is>
          <t>45231300</t>
        </is>
      </c>
      <c r="Q185" s="8" t="inlineStr">
        <is>
          <t>Ver</t>
        </is>
      </c>
      <c r="R185" s="8" t="inlineStr">
        <is>
          <t>PCAP</t>
        </is>
      </c>
      <c r="S185" s="9" t="n">
        <v>46317</v>
      </c>
      <c r="T185" s="3" t="n">
        <v>46322.73626157407</v>
      </c>
      <c r="U185" s="2" t="n"/>
    </row>
    <row r="186">
      <c r="A186" s="2" t="inlineStr">
        <is>
          <t>Resuelta</t>
        </is>
      </c>
      <c r="B186" s="3" t="n">
        <v>45856</v>
      </c>
      <c r="C186" s="5" t="n">
        <v>5389076.95</v>
      </c>
      <c r="D186" s="5" t="n">
        <v>12933783.22</v>
      </c>
      <c r="E186" s="2" t="inlineStr">
        <is>
          <t>Comunitat Valenciana</t>
        </is>
      </c>
      <c r="F186" s="2" t="inlineStr">
        <is>
          <t>Valencia</t>
        </is>
      </c>
      <c r="G186" s="2" t="n"/>
      <c r="H186" s="2" t="inlineStr">
        <is>
          <t>Consejo de Administración de la Societat Valenciana FIRA València S.A.</t>
        </is>
      </c>
      <c r="I186" s="2" t="inlineStr">
        <is>
          <t>Acuerdo Marco para stands, mobiliario y pintura para la Societat Valenciana Fira València S.A</t>
        </is>
      </c>
      <c r="J186" s="2" t="inlineStr">
        <is>
          <t>AMARCO/2025/FIRAV/0023</t>
        </is>
      </c>
      <c r="K186" s="2" t="inlineStr">
        <is>
          <t>Abierto</t>
        </is>
      </c>
      <c r="L186" s="6" t="n">
        <v>24</v>
      </c>
      <c r="M186" s="2" t="n"/>
      <c r="N186" s="7" t="n">
        <v>0</v>
      </c>
      <c r="O186" s="4" t="n">
        <v>6</v>
      </c>
      <c r="P186" s="2" t="inlineStr">
        <is>
          <t>45442100; 45223800; 50000000; 39154100; 39100000</t>
        </is>
      </c>
      <c r="Q186" s="8" t="inlineStr">
        <is>
          <t>Ver</t>
        </is>
      </c>
      <c r="R186" s="8" t="inlineStr">
        <is>
          <t>PCAP</t>
        </is>
      </c>
      <c r="S186" s="9" t="n">
        <v>46323</v>
      </c>
      <c r="T186" s="3" t="n">
        <v>46322.70798611111</v>
      </c>
      <c r="U186" s="2" t="n"/>
    </row>
    <row r="187">
      <c r="A187" s="2" t="inlineStr">
        <is>
          <t>Resuelta</t>
        </is>
      </c>
      <c r="B187" s="3" t="n">
        <v>46174.41666666666</v>
      </c>
      <c r="C187" s="5" t="n">
        <v>45500</v>
      </c>
      <c r="D187" s="5" t="n">
        <v>45500</v>
      </c>
      <c r="E187" s="2" t="inlineStr">
        <is>
          <t>Andalucía</t>
        </is>
      </c>
      <c r="F187" s="2" t="inlineStr">
        <is>
          <t>Huelva</t>
        </is>
      </c>
      <c r="G187" s="2" t="n"/>
      <c r="H187" s="2" t="inlineStr">
        <is>
          <t>Empresa de Transformación Agraria S.A.,S.M.E., M.P., (TRAGSA)</t>
        </is>
      </c>
      <c r="I18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87" s="2" t="inlineStr">
        <is>
          <t>TSA0080057-201</t>
        </is>
      </c>
      <c r="K187" s="2" t="inlineStr">
        <is>
          <t>Abierto</t>
        </is>
      </c>
      <c r="L187" s="6" t="n">
        <v>6</v>
      </c>
      <c r="M187" s="2" t="n"/>
      <c r="N187" s="7" t="n">
        <v>0</v>
      </c>
      <c r="O187" s="4" t="n"/>
      <c r="P187" s="2" t="inlineStr">
        <is>
          <t>45500000</t>
        </is>
      </c>
      <c r="Q187" s="8" t="inlineStr">
        <is>
          <t>Ver</t>
        </is>
      </c>
      <c r="R187" s="8" t="inlineStr">
        <is>
          <t>PCAP</t>
        </is>
      </c>
      <c r="S187" s="9" t="n">
        <v>46323</v>
      </c>
      <c r="T187" s="3" t="n">
        <v>46322.69136574074</v>
      </c>
      <c r="U187" s="2" t="n"/>
    </row>
    <row r="188">
      <c r="A188" s="2" t="inlineStr">
        <is>
          <t>Resuelta</t>
        </is>
      </c>
      <c r="B188" s="3" t="n">
        <v>46174.41666666666</v>
      </c>
      <c r="C188" s="5" t="n">
        <v>45500</v>
      </c>
      <c r="D188" s="5" t="n">
        <v>45500</v>
      </c>
      <c r="E188" s="2" t="inlineStr">
        <is>
          <t>Andalucía</t>
        </is>
      </c>
      <c r="F188" s="2" t="inlineStr">
        <is>
          <t>Huelva</t>
        </is>
      </c>
      <c r="G188" s="2" t="n"/>
      <c r="H188" s="2" t="inlineStr">
        <is>
          <t>Empresa de Transformación Agraria S.A.,S.M.E., M.P., (TRAGSA)</t>
        </is>
      </c>
      <c r="I18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88" s="2" t="inlineStr">
        <is>
          <t>TSA0080057-199</t>
        </is>
      </c>
      <c r="K188" s="2" t="inlineStr">
        <is>
          <t>Abierto</t>
        </is>
      </c>
      <c r="L188" s="6" t="n">
        <v>6</v>
      </c>
      <c r="M188" s="2" t="n"/>
      <c r="N188" s="7" t="n">
        <v>0</v>
      </c>
      <c r="O188" s="4" t="n"/>
      <c r="P188" s="2" t="inlineStr">
        <is>
          <t>45500000</t>
        </is>
      </c>
      <c r="Q188" s="8" t="inlineStr">
        <is>
          <t>Ver</t>
        </is>
      </c>
      <c r="R188" s="8" t="inlineStr">
        <is>
          <t>PCAP</t>
        </is>
      </c>
      <c r="S188" s="9" t="n">
        <v>46323</v>
      </c>
      <c r="T188" s="3" t="n">
        <v>46322.68914351852</v>
      </c>
      <c r="U188" s="2" t="n"/>
    </row>
    <row r="189">
      <c r="A189" s="2" t="inlineStr">
        <is>
          <t>Resuelta</t>
        </is>
      </c>
      <c r="B189" s="3" t="n">
        <v>46174.41666666666</v>
      </c>
      <c r="C189" s="5" t="n">
        <v>19250</v>
      </c>
      <c r="D189" s="5" t="n">
        <v>19250</v>
      </c>
      <c r="E189" s="2" t="inlineStr">
        <is>
          <t>Andalucía</t>
        </is>
      </c>
      <c r="F189" s="2" t="inlineStr">
        <is>
          <t>Huelva</t>
        </is>
      </c>
      <c r="G189" s="2" t="n"/>
      <c r="H189" s="2" t="inlineStr">
        <is>
          <t>Empresa de Transformación Agraria S.A.,S.M.E., M.P., (TRAGSA)</t>
        </is>
      </c>
      <c r="I18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89" s="2" t="inlineStr">
        <is>
          <t>TSA0080057-198</t>
        </is>
      </c>
      <c r="K189" s="2" t="inlineStr">
        <is>
          <t>Abierto</t>
        </is>
      </c>
      <c r="L189" s="6" t="n">
        <v>6</v>
      </c>
      <c r="M189" s="2" t="n"/>
      <c r="N189" s="7" t="n">
        <v>0</v>
      </c>
      <c r="O189" s="4" t="n"/>
      <c r="P189" s="2" t="inlineStr">
        <is>
          <t>45500000</t>
        </is>
      </c>
      <c r="Q189" s="8" t="inlineStr">
        <is>
          <t>Ver</t>
        </is>
      </c>
      <c r="R189" s="8" t="inlineStr">
        <is>
          <t>PCAP</t>
        </is>
      </c>
      <c r="S189" s="9" t="n">
        <v>46323</v>
      </c>
      <c r="T189" s="3" t="n">
        <v>46322.68740740741</v>
      </c>
      <c r="U189" s="2" t="n"/>
    </row>
    <row r="190">
      <c r="A190" s="2" t="inlineStr">
        <is>
          <t>Resuelta</t>
        </is>
      </c>
      <c r="B190" s="3" t="n">
        <v>46174.41666666666</v>
      </c>
      <c r="C190" s="5" t="n">
        <v>19250</v>
      </c>
      <c r="D190" s="5" t="n">
        <v>19250</v>
      </c>
      <c r="E190" s="2" t="inlineStr">
        <is>
          <t>Andalucía</t>
        </is>
      </c>
      <c r="F190" s="2" t="inlineStr">
        <is>
          <t>Huelva</t>
        </is>
      </c>
      <c r="G190" s="2" t="n"/>
      <c r="H190" s="2" t="inlineStr">
        <is>
          <t>Empresa de Transformación Agraria S.A.,S.M.E., M.P., (TRAGSA)</t>
        </is>
      </c>
      <c r="I19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90" s="2" t="inlineStr">
        <is>
          <t>TSA0080057-197</t>
        </is>
      </c>
      <c r="K190" s="2" t="inlineStr">
        <is>
          <t>Abierto</t>
        </is>
      </c>
      <c r="L190" s="6" t="n">
        <v>6</v>
      </c>
      <c r="M190" s="2" t="n"/>
      <c r="N190" s="7" t="n">
        <v>0</v>
      </c>
      <c r="O190" s="4" t="n"/>
      <c r="P190" s="2" t="inlineStr">
        <is>
          <t>45500000</t>
        </is>
      </c>
      <c r="Q190" s="8" t="inlineStr">
        <is>
          <t>Ver</t>
        </is>
      </c>
      <c r="R190" s="8" t="inlineStr">
        <is>
          <t>PCAP</t>
        </is>
      </c>
      <c r="S190" s="9" t="n">
        <v>46323</v>
      </c>
      <c r="T190" s="3" t="n">
        <v>46322.68590277778</v>
      </c>
      <c r="U190" s="2" t="n"/>
    </row>
    <row r="191">
      <c r="A191" s="2" t="inlineStr">
        <is>
          <t>Resuelta</t>
        </is>
      </c>
      <c r="B191" s="3" t="n">
        <v>46168.41666666666</v>
      </c>
      <c r="C191" s="5" t="n">
        <v>19250</v>
      </c>
      <c r="D191" s="5" t="n">
        <v>19250</v>
      </c>
      <c r="E191" s="2" t="inlineStr">
        <is>
          <t>Andalucía</t>
        </is>
      </c>
      <c r="F191" s="2" t="inlineStr">
        <is>
          <t>Huelva</t>
        </is>
      </c>
      <c r="G191" s="2" t="n"/>
      <c r="H191" s="2" t="inlineStr">
        <is>
          <t>Empresa de Transformación Agraria S.A.,S.M.E., M.P., (TRAGSA)</t>
        </is>
      </c>
      <c r="I19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91" s="2" t="inlineStr">
        <is>
          <t>TSA0080057-196</t>
        </is>
      </c>
      <c r="K191" s="2" t="inlineStr">
        <is>
          <t>Abierto</t>
        </is>
      </c>
      <c r="L191" s="6" t="n">
        <v>6</v>
      </c>
      <c r="M191" s="2" t="n"/>
      <c r="N191" s="7" t="n">
        <v>0</v>
      </c>
      <c r="O191" s="4" t="n"/>
      <c r="P191" s="2" t="inlineStr">
        <is>
          <t>45500000</t>
        </is>
      </c>
      <c r="Q191" s="8" t="inlineStr">
        <is>
          <t>Ver</t>
        </is>
      </c>
      <c r="R191" s="8" t="inlineStr">
        <is>
          <t>PCAP</t>
        </is>
      </c>
      <c r="S191" s="9" t="n">
        <v>46323</v>
      </c>
      <c r="T191" s="3" t="n">
        <v>46322.68439814815</v>
      </c>
      <c r="U191" s="2" t="n"/>
    </row>
    <row r="192">
      <c r="A192" s="2" t="inlineStr">
        <is>
          <t>Resuelta</t>
        </is>
      </c>
      <c r="B192" s="3" t="n">
        <v>46168.41666666666</v>
      </c>
      <c r="C192" s="5" t="n">
        <v>19250</v>
      </c>
      <c r="D192" s="5" t="n">
        <v>19250</v>
      </c>
      <c r="E192" s="2" t="inlineStr">
        <is>
          <t>Andalucía</t>
        </is>
      </c>
      <c r="F192" s="2" t="inlineStr">
        <is>
          <t>Huelva</t>
        </is>
      </c>
      <c r="G192" s="2" t="n"/>
      <c r="H192" s="2" t="inlineStr">
        <is>
          <t>Empresa de Transformación Agraria S.A.,S.M.E., M.P., (TRAGSA)</t>
        </is>
      </c>
      <c r="I19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92" s="2" t="inlineStr">
        <is>
          <t>TSA0080057-195</t>
        </is>
      </c>
      <c r="K192" s="2" t="inlineStr">
        <is>
          <t>Abierto</t>
        </is>
      </c>
      <c r="L192" s="6" t="n">
        <v>6</v>
      </c>
      <c r="M192" s="2" t="n"/>
      <c r="N192" s="7" t="n">
        <v>0</v>
      </c>
      <c r="O192" s="4" t="n"/>
      <c r="P192" s="2" t="inlineStr">
        <is>
          <t>45500000</t>
        </is>
      </c>
      <c r="Q192" s="8" t="inlineStr">
        <is>
          <t>Ver</t>
        </is>
      </c>
      <c r="R192" s="8" t="inlineStr">
        <is>
          <t>PCAP</t>
        </is>
      </c>
      <c r="S192" s="9" t="n">
        <v>46323</v>
      </c>
      <c r="T192" s="3" t="n">
        <v>46322.68298611111</v>
      </c>
      <c r="U192" s="2" t="n"/>
    </row>
    <row r="193">
      <c r="A193" s="2" t="inlineStr">
        <is>
          <t>Resuelta</t>
        </is>
      </c>
      <c r="B193" s="3" t="n">
        <v>46168.41666666666</v>
      </c>
      <c r="C193" s="5" t="n">
        <v>19250</v>
      </c>
      <c r="D193" s="5" t="n">
        <v>19250</v>
      </c>
      <c r="E193" s="2" t="inlineStr">
        <is>
          <t>Andalucía</t>
        </is>
      </c>
      <c r="F193" s="2" t="inlineStr">
        <is>
          <t>Huelva</t>
        </is>
      </c>
      <c r="G193" s="2" t="n"/>
      <c r="H193" s="2" t="inlineStr">
        <is>
          <t>Empresa de Transformación Agraria S.A.,S.M.E., M.P., (TRAGSA)</t>
        </is>
      </c>
      <c r="I19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93" s="2" t="inlineStr">
        <is>
          <t>TSA0080057-194</t>
        </is>
      </c>
      <c r="K193" s="2" t="inlineStr">
        <is>
          <t>Abierto</t>
        </is>
      </c>
      <c r="L193" s="6" t="n">
        <v>6</v>
      </c>
      <c r="M193" s="2" t="n"/>
      <c r="N193" s="7" t="n">
        <v>0</v>
      </c>
      <c r="O193" s="4" t="n"/>
      <c r="P193" s="2" t="inlineStr">
        <is>
          <t>45500000</t>
        </is>
      </c>
      <c r="Q193" s="8" t="inlineStr">
        <is>
          <t>Ver</t>
        </is>
      </c>
      <c r="R193" s="8" t="inlineStr">
        <is>
          <t>PCAP</t>
        </is>
      </c>
      <c r="S193" s="9" t="n">
        <v>46323</v>
      </c>
      <c r="T193" s="3" t="n">
        <v>46322.68137731482</v>
      </c>
      <c r="U193" s="2" t="n"/>
    </row>
    <row r="194">
      <c r="A194" s="2" t="inlineStr">
        <is>
          <t>En plazo</t>
        </is>
      </c>
      <c r="B194" s="3" t="n">
        <v>46338.99930555555</v>
      </c>
      <c r="C194" s="5" t="n">
        <v>102350.31</v>
      </c>
      <c r="D194" s="5" t="n">
        <v>102350.31</v>
      </c>
      <c r="E194" s="2" t="inlineStr">
        <is>
          <t>Comunitat Valenciana</t>
        </is>
      </c>
      <c r="F194" s="2" t="inlineStr">
        <is>
          <t>Valencia</t>
        </is>
      </c>
      <c r="G194" s="2" t="n"/>
      <c r="H194" s="2" t="inlineStr">
        <is>
          <t>Gerencia del Hospital Intermutual de Levante</t>
        </is>
      </c>
      <c r="I194" s="2" t="inlineStr">
        <is>
          <t>Obras de reforma, renovación e instalación de nuevos vestuarios en planta sótano de hospitalización del Hospital Intermutual de Levante</t>
        </is>
      </c>
      <c r="J194" s="2" t="inlineStr">
        <is>
          <t>HIL/2026/03/102</t>
        </is>
      </c>
      <c r="K194" s="2" t="inlineStr">
        <is>
          <t>Abierto simplificado</t>
        </is>
      </c>
      <c r="L194" s="6" t="n">
        <v>1.5</v>
      </c>
      <c r="M194" s="2" t="n"/>
      <c r="N194" s="7" t="n">
        <v>0.25</v>
      </c>
      <c r="O194" s="4" t="n"/>
      <c r="P194" s="2" t="inlineStr">
        <is>
          <t>45000000; 45400000</t>
        </is>
      </c>
      <c r="Q194" s="8" t="inlineStr">
        <is>
          <t>Ver</t>
        </is>
      </c>
      <c r="R194" s="8" t="inlineStr">
        <is>
          <t>PCAP</t>
        </is>
      </c>
      <c r="S194" s="9" t="n">
        <v>46321</v>
      </c>
      <c r="T194" s="3" t="n">
        <v>46322.65508101852</v>
      </c>
      <c r="U194" s="2" t="n"/>
    </row>
    <row r="195">
      <c r="A195" s="2" t="inlineStr">
        <is>
          <t>Adjudicada</t>
        </is>
      </c>
      <c r="B195" s="3" t="n">
        <v>46133.54166666666</v>
      </c>
      <c r="C195" s="5" t="n">
        <v>2116636.94</v>
      </c>
      <c r="D195" s="5" t="n">
        <v>2116636.94</v>
      </c>
      <c r="E195" s="2" t="inlineStr">
        <is>
          <t>Comunitat Valenciana</t>
        </is>
      </c>
      <c r="F195" s="2" t="inlineStr">
        <is>
          <t>Alicante</t>
        </is>
      </c>
      <c r="G195" s="2" t="n"/>
      <c r="H195" s="2" t="inlineStr">
        <is>
          <t>ADIF - Presidencia</t>
        </is>
      </c>
      <c r="I195" s="2" t="inlineStr">
        <is>
          <t>Ejecución de las obras del proyecto constructivo para la supresión del paso a nivel en el p.k. 31/575 de la línea Red Ferroviaria de Interés General (RFIG) 336 El reguerón – Alacant – Terminal. Término municipal de Crevillente (Alicante).</t>
        </is>
      </c>
      <c r="J195" s="2" t="inlineStr">
        <is>
          <t>3.26/27507.0018</t>
        </is>
      </c>
      <c r="K195" s="2" t="inlineStr">
        <is>
          <t>Abierto</t>
        </is>
      </c>
      <c r="L195" s="6" t="n">
        <v>8</v>
      </c>
      <c r="M195" s="2" t="inlineStr">
        <is>
          <t>B4-4</t>
        </is>
      </c>
      <c r="N195" s="7" t="n">
        <v>0.49</v>
      </c>
      <c r="O195" s="4" t="n"/>
      <c r="P195" s="2" t="inlineStr">
        <is>
          <t>45221000</t>
        </is>
      </c>
      <c r="Q195" s="8" t="inlineStr">
        <is>
          <t>Ver</t>
        </is>
      </c>
      <c r="R195" s="8" t="inlineStr">
        <is>
          <t>PCAP</t>
        </is>
      </c>
      <c r="S195" s="9" t="n">
        <v>46323</v>
      </c>
      <c r="T195" s="3" t="n">
        <v>46322.63083333334</v>
      </c>
      <c r="U195" s="2" t="n"/>
    </row>
    <row r="196">
      <c r="A196" s="2" t="inlineStr">
        <is>
          <t>En plazo</t>
        </is>
      </c>
      <c r="B196" s="3" t="n">
        <v>46342.99930555555</v>
      </c>
      <c r="C196" s="5" t="n">
        <v>49586.78</v>
      </c>
      <c r="D196" s="5" t="n">
        <v>49586.78</v>
      </c>
      <c r="E196" s="2" t="inlineStr">
        <is>
          <t>Andalucía</t>
        </is>
      </c>
      <c r="F196" s="2" t="inlineStr">
        <is>
          <t>Málaga</t>
        </is>
      </c>
      <c r="G196" s="2" t="n"/>
      <c r="H196" s="2" t="inlineStr">
        <is>
          <t>Alcaldía del Ayuntamiento de Arriate</t>
        </is>
      </c>
      <c r="I196" s="2" t="inlineStr">
        <is>
          <t>Pavimentación de diversas calles y aparcamiento en Urbanización la Estacá</t>
        </is>
      </c>
      <c r="J196" s="2" t="inlineStr">
        <is>
          <t>670/2026 Pavimentación y Aparcamientos</t>
        </is>
      </c>
      <c r="K196" s="2" t="inlineStr">
        <is>
          <t>Abierto simplificado</t>
        </is>
      </c>
      <c r="L196" s="6" t="n">
        <v>6</v>
      </c>
      <c r="M196" s="2" t="n"/>
      <c r="N196" s="7" t="n">
        <v>0</v>
      </c>
      <c r="O196" s="4" t="n"/>
      <c r="P196" s="2" t="inlineStr">
        <is>
          <t>45233252</t>
        </is>
      </c>
      <c r="Q196" s="8" t="inlineStr">
        <is>
          <t>Ver</t>
        </is>
      </c>
      <c r="R196" s="8" t="inlineStr">
        <is>
          <t>PCAP</t>
        </is>
      </c>
      <c r="S196" s="9" t="n">
        <v>46323</v>
      </c>
      <c r="T196" s="3" t="n">
        <v>46322.62523148148</v>
      </c>
      <c r="U196" s="2" t="n"/>
    </row>
    <row r="197">
      <c r="A197" s="2" t="inlineStr">
        <is>
          <t>Resuelta</t>
        </is>
      </c>
      <c r="B197" s="3" t="n">
        <v>46279.99930555555</v>
      </c>
      <c r="C197" s="5" t="n">
        <v>279230.28</v>
      </c>
      <c r="D197" s="5" t="n">
        <v>279230.28</v>
      </c>
      <c r="E197" s="2" t="inlineStr">
        <is>
          <t>Andalucía</t>
        </is>
      </c>
      <c r="F197" s="2" t="inlineStr">
        <is>
          <t>Almería</t>
        </is>
      </c>
      <c r="G197" s="2" t="inlineStr">
        <is>
          <t>VÍCAR</t>
        </is>
      </c>
      <c r="H197" s="2" t="inlineStr">
        <is>
          <t>JUNTA DE GOBIERNO LOCAL AYUNTAMIENTO DE VÍCAR</t>
        </is>
      </c>
      <c r="I197" s="2" t="inlineStr">
        <is>
          <t>Centro Social LLanos de Vícar (Almería), Act.nº15.1 Operación 4 del PAI-Vícar, Ciudad Verde, cofinanciado con un 85% por el Fondo Europeo de Desarrollo Regional (FEDER-PLAN EDIL), en el marco programa plurirregional de España del2021-2027</t>
        </is>
      </c>
      <c r="J197" s="2" t="inlineStr">
        <is>
          <t>8532/2026</t>
        </is>
      </c>
      <c r="K197" s="2" t="inlineStr">
        <is>
          <t>Abierto simplificado</t>
        </is>
      </c>
      <c r="L197" s="6" t="n">
        <v>5</v>
      </c>
      <c r="M197" s="2" t="n"/>
      <c r="N197" s="7" t="n">
        <v>0.25</v>
      </c>
      <c r="O197" s="4" t="n"/>
      <c r="P197" s="2" t="inlineStr">
        <is>
          <t>45215200; 45262700; 45453000</t>
        </is>
      </c>
      <c r="Q197" s="8" t="inlineStr">
        <is>
          <t>Ver</t>
        </is>
      </c>
      <c r="R197" s="8" t="inlineStr">
        <is>
          <t>PCAP</t>
        </is>
      </c>
      <c r="S197" s="9" t="n">
        <v>46310</v>
      </c>
      <c r="T197" s="3" t="n">
        <v>46322.62287037037</v>
      </c>
      <c r="U197" s="2" t="inlineStr">
        <is>
          <t>2026-10-28: estado ADJ → RES</t>
        </is>
      </c>
    </row>
    <row r="198">
      <c r="A198" s="2" t="inlineStr">
        <is>
          <t>Pendiente de adjudicación</t>
        </is>
      </c>
      <c r="B198" s="3" t="n">
        <v>46269.83333333334</v>
      </c>
      <c r="C198" s="5" t="n">
        <v>161657.94</v>
      </c>
      <c r="D198" s="5" t="n">
        <v>177823.73</v>
      </c>
      <c r="E198" s="2" t="inlineStr">
        <is>
          <t>Comunitat Valenciana</t>
        </is>
      </c>
      <c r="F198" s="2" t="inlineStr">
        <is>
          <t>Castellón</t>
        </is>
      </c>
      <c r="G198" s="2" t="inlineStr">
        <is>
          <t>Castellón</t>
        </is>
      </c>
      <c r="H198" s="2" t="inlineStr">
        <is>
          <t>Hospital La Magdalena. Dirección Económica-Gerencia</t>
        </is>
      </c>
      <c r="I198" s="2" t="inlineStr">
        <is>
          <t>Obra de Reforma y Sustitución del Cuadro General de Distribución Eléctrica de Baja Tensión en el Hospital la Magdalena de Castellón</t>
        </is>
      </c>
      <c r="J198" s="2" t="inlineStr">
        <is>
          <t>PAS 1598/2026</t>
        </is>
      </c>
      <c r="K198" s="2" t="inlineStr">
        <is>
          <t>Abierto simplificado</t>
        </is>
      </c>
      <c r="L198" s="6" t="n">
        <v>2.3</v>
      </c>
      <c r="M198" s="2" t="n"/>
      <c r="N198" s="7" t="n">
        <v>0.25</v>
      </c>
      <c r="O198" s="4" t="n"/>
      <c r="P198" s="2" t="inlineStr">
        <is>
          <t>45315600; 51112000</t>
        </is>
      </c>
      <c r="Q198" s="8" t="inlineStr">
        <is>
          <t>Ver</t>
        </is>
      </c>
      <c r="R198" s="8" t="inlineStr">
        <is>
          <t>PCAP</t>
        </is>
      </c>
      <c r="S198" s="9" t="n">
        <v>46323</v>
      </c>
      <c r="T198" s="3" t="n">
        <v>46322.62001157407</v>
      </c>
      <c r="U198" s="2" t="n"/>
    </row>
    <row r="199">
      <c r="A199" s="2" t="inlineStr">
        <is>
          <t>En plazo</t>
        </is>
      </c>
      <c r="B199" s="3" t="n">
        <v>46342.99930555555</v>
      </c>
      <c r="C199" s="5" t="n">
        <v>65585.84</v>
      </c>
      <c r="D199" s="5" t="n">
        <v>65585.84</v>
      </c>
      <c r="E199" s="2" t="inlineStr">
        <is>
          <t>Andalucía</t>
        </is>
      </c>
      <c r="F199" s="2" t="inlineStr">
        <is>
          <t>Málaga</t>
        </is>
      </c>
      <c r="G199" s="2" t="n"/>
      <c r="H199" s="2" t="inlineStr">
        <is>
          <t>Alcaldía del Ayuntamiento de Arriate</t>
        </is>
      </c>
      <c r="I199" s="2" t="inlineStr">
        <is>
          <t>Reforma Integral Callejuela</t>
        </is>
      </c>
      <c r="J199" s="2" t="inlineStr">
        <is>
          <t>710/2026- CALLEJUELA</t>
        </is>
      </c>
      <c r="K199" s="2" t="inlineStr">
        <is>
          <t>Abierto simplificado</t>
        </is>
      </c>
      <c r="L199" s="6" t="n">
        <v>6</v>
      </c>
      <c r="M199" s="2" t="n"/>
      <c r="N199" s="7" t="n">
        <v>0</v>
      </c>
      <c r="O199" s="4" t="n"/>
      <c r="P199" s="2" t="inlineStr">
        <is>
          <t>45233252</t>
        </is>
      </c>
      <c r="Q199" s="8" t="inlineStr">
        <is>
          <t>Ver</t>
        </is>
      </c>
      <c r="R199" s="8" t="inlineStr">
        <is>
          <t>PCAP</t>
        </is>
      </c>
      <c r="S199" s="9" t="n">
        <v>46323</v>
      </c>
      <c r="T199" s="3" t="n">
        <v>46322.61888888889</v>
      </c>
      <c r="U199" s="2" t="n"/>
    </row>
    <row r="200">
      <c r="A200" s="2" t="inlineStr">
        <is>
          <t>En plazo</t>
        </is>
      </c>
      <c r="B200" s="3" t="n">
        <v>46365.99930555555</v>
      </c>
      <c r="C200" s="5" t="n">
        <v>1878452.74</v>
      </c>
      <c r="D200" s="5" t="n">
        <v>1878452.74</v>
      </c>
      <c r="E200" s="2" t="inlineStr">
        <is>
          <t>Andalucía</t>
        </is>
      </c>
      <c r="F200" s="2" t="inlineStr">
        <is>
          <t>Sevilla</t>
        </is>
      </c>
      <c r="G200" s="2" t="inlineStr">
        <is>
          <t>Camas</t>
        </is>
      </c>
      <c r="H200" s="2" t="inlineStr">
        <is>
          <t>Junta de Gobierno del Ayuntamiento de Camas</t>
        </is>
      </c>
      <c r="I200" s="2" t="inlineStr">
        <is>
          <t>Contrato de Obras para la Ejecución de Campo de Fútbol 7 e Instalaciones Complementarias en Barriada La Pañoleta y Campo de Fútbol 11 e Instalaciones Complementarias en Parcela EQE 02 del PP4 Poeta Muñoz San Román</t>
        </is>
      </c>
      <c r="J200" s="2" t="inlineStr">
        <is>
          <t>11722/2026</t>
        </is>
      </c>
      <c r="K200" s="2" t="inlineStr">
        <is>
          <t>Abierto simplificado</t>
        </is>
      </c>
      <c r="L200" s="6" t="n">
        <v>10</v>
      </c>
      <c r="M200" s="2" t="n"/>
      <c r="N200" s="7" t="n">
        <v>0</v>
      </c>
      <c r="O200" s="4" t="n">
        <v>2</v>
      </c>
      <c r="P200" s="2" t="inlineStr">
        <is>
          <t>45212200; 45212224; 45212221</t>
        </is>
      </c>
      <c r="Q200" s="8" t="inlineStr">
        <is>
          <t>Ver</t>
        </is>
      </c>
      <c r="R200" s="8" t="inlineStr">
        <is>
          <t>PCAP</t>
        </is>
      </c>
      <c r="S200" s="9" t="n">
        <v>46323</v>
      </c>
      <c r="T200" s="3" t="n">
        <v>46322.6144212963</v>
      </c>
      <c r="U200" s="2" t="n"/>
    </row>
    <row r="201">
      <c r="A201" s="2" t="inlineStr">
        <is>
          <t>Pendiente de adjudicación</t>
        </is>
      </c>
      <c r="B201" s="3" t="n">
        <v>46308.58333333334</v>
      </c>
      <c r="C201" s="5" t="n">
        <v>25392793.84</v>
      </c>
      <c r="D201" s="5" t="n">
        <v>30471352.61</v>
      </c>
      <c r="E201" s="2" t="inlineStr">
        <is>
          <t>Comunitat Valenciana</t>
        </is>
      </c>
      <c r="F201" s="2" t="inlineStr">
        <is>
          <t>Valencia</t>
        </is>
      </c>
      <c r="G201" s="2" t="n"/>
      <c r="H201" s="2" t="inlineStr">
        <is>
          <t>Subsecretaría-Conselleria de Justicia, Transparencia y Participación de la Generalitat Valenciana</t>
        </is>
      </c>
      <c r="I201" s="2" t="inlineStr">
        <is>
          <t>Obras para la construcción del Palacio de Justicia de Torrent (Valencia)</t>
        </is>
      </c>
      <c r="J201" s="2" t="inlineStr">
        <is>
          <t>CMAYOR/2026/25Y04/0031</t>
        </is>
      </c>
      <c r="K201" s="2" t="inlineStr">
        <is>
          <t>Abierto</t>
        </is>
      </c>
      <c r="L201" s="6" t="n">
        <v>24</v>
      </c>
      <c r="M201" s="2" t="inlineStr">
        <is>
          <t>C*-6</t>
        </is>
      </c>
      <c r="N201" s="7" t="n">
        <v>0.3</v>
      </c>
      <c r="O201" s="4" t="n"/>
      <c r="P201" s="2" t="inlineStr">
        <is>
          <t>45000000; 45300000; 45216112</t>
        </is>
      </c>
      <c r="Q201" s="8" t="inlineStr">
        <is>
          <t>Ver</t>
        </is>
      </c>
      <c r="R201" s="8" t="inlineStr">
        <is>
          <t>PCAP</t>
        </is>
      </c>
      <c r="S201" s="9" t="n">
        <v>46318</v>
      </c>
      <c r="T201" s="3" t="n">
        <v>46322.61096064815</v>
      </c>
      <c r="U201" s="2" t="n"/>
    </row>
    <row r="202">
      <c r="A202" s="2" t="inlineStr">
        <is>
          <t>Pendiente de adjudicación</t>
        </is>
      </c>
      <c r="B202" s="3" t="n">
        <v>46293.99930555555</v>
      </c>
      <c r="C202" s="5" t="n">
        <v>152179.91</v>
      </c>
      <c r="D202" s="5" t="n">
        <v>152179.91</v>
      </c>
      <c r="E202" s="2" t="inlineStr">
        <is>
          <t>Comunitat Valenciana</t>
        </is>
      </c>
      <c r="F202" s="2" t="inlineStr">
        <is>
          <t>Alicante</t>
        </is>
      </c>
      <c r="G202" s="2" t="inlineStr">
        <is>
          <t>Novelda</t>
        </is>
      </c>
      <c r="H202" s="2" t="inlineStr">
        <is>
          <t>Junta de Gobierno del Ayuntamiento de Novelda</t>
        </is>
      </c>
      <c r="I202" s="2" t="inlineStr">
        <is>
          <t>Rehabilitación y Adecuación de la Ermita Sant Felip como Sala Polivalente de Usos Culturales en el Municipio de Novelda</t>
        </is>
      </c>
      <c r="J202" s="2" t="inlineStr">
        <is>
          <t>2026/3938H</t>
        </is>
      </c>
      <c r="K202" s="2" t="inlineStr">
        <is>
          <t>Abierto simplificado</t>
        </is>
      </c>
      <c r="L202" s="6" t="n">
        <v>5</v>
      </c>
      <c r="M202" s="2" t="n"/>
      <c r="N202" s="7" t="n">
        <v>0</v>
      </c>
      <c r="O202" s="4" t="n"/>
      <c r="P202" s="2" t="inlineStr">
        <is>
          <t>45212350</t>
        </is>
      </c>
      <c r="Q202" s="8" t="inlineStr">
        <is>
          <t>Ver</t>
        </is>
      </c>
      <c r="R202" s="8" t="inlineStr">
        <is>
          <t>PCAP</t>
        </is>
      </c>
      <c r="S202" s="9" t="n">
        <v>46310</v>
      </c>
      <c r="T202" s="3" t="n">
        <v>46322.60887731481</v>
      </c>
      <c r="U202" s="2" t="n"/>
    </row>
    <row r="203">
      <c r="A203" s="2" t="inlineStr">
        <is>
          <t>Plazo vencido</t>
        </is>
      </c>
      <c r="B203" s="3" t="n">
        <v>46322.625</v>
      </c>
      <c r="C203" s="5" t="n">
        <v>82300.83</v>
      </c>
      <c r="D203" s="5" t="n">
        <v>82300.83</v>
      </c>
      <c r="E203" s="2" t="inlineStr">
        <is>
          <t>Andalucía</t>
        </is>
      </c>
      <c r="F203" s="2" t="inlineStr">
        <is>
          <t>Granada</t>
        </is>
      </c>
      <c r="G203" s="2" t="n"/>
      <c r="H203" s="2" t="inlineStr">
        <is>
          <t>Alcaldía del Ayuntamiento de Escúzar</t>
        </is>
      </c>
      <c r="I203" s="2" t="inlineStr">
        <is>
          <t>Obras de mejora en el camino de Paveros</t>
        </is>
      </c>
      <c r="J203" s="2" t="inlineStr">
        <is>
          <t>2026-04</t>
        </is>
      </c>
      <c r="K203" s="2" t="inlineStr">
        <is>
          <t>Abierto simplificado</t>
        </is>
      </c>
      <c r="L203" s="6" t="n">
        <v>1.5</v>
      </c>
      <c r="M203" s="2" t="n"/>
      <c r="N203" s="7" t="n"/>
      <c r="O203" s="4" t="n"/>
      <c r="P203" s="2" t="inlineStr">
        <is>
          <t>45233141</t>
        </is>
      </c>
      <c r="Q203" s="8" t="inlineStr">
        <is>
          <t>Ver</t>
        </is>
      </c>
      <c r="R203" s="8" t="inlineStr">
        <is>
          <t>PCAP</t>
        </is>
      </c>
      <c r="S203" s="9" t="n">
        <v>46310</v>
      </c>
      <c r="T203" s="3" t="n">
        <v>46322.6061574074</v>
      </c>
      <c r="U203" s="2" t="n"/>
    </row>
    <row r="204">
      <c r="A204" s="2" t="inlineStr">
        <is>
          <t>Pendiente de adjudicación</t>
        </is>
      </c>
      <c r="B204" s="3" t="n">
        <v>46302.79166666666</v>
      </c>
      <c r="C204" s="5" t="n">
        <v>450336.58</v>
      </c>
      <c r="D204" s="5" t="n">
        <v>450336.58</v>
      </c>
      <c r="E204" s="2" t="inlineStr">
        <is>
          <t>Comunitat Valenciana</t>
        </is>
      </c>
      <c r="F204" s="2" t="inlineStr">
        <is>
          <t>Valencia</t>
        </is>
      </c>
      <c r="G204" s="2" t="inlineStr">
        <is>
          <t>Agullent</t>
        </is>
      </c>
      <c r="H204" s="2" t="inlineStr">
        <is>
          <t>Alcaldía del Ayuntamiento de Agullent</t>
        </is>
      </c>
      <c r="I204" s="2" t="inlineStr">
        <is>
          <t>Contractacions obres per a l’execució de projecte bàsic i d’execució d’habilitació de construcció en Biblioteca i sales multi-usos.</t>
        </is>
      </c>
      <c r="J204" s="2" t="inlineStr">
        <is>
          <t>632/2025</t>
        </is>
      </c>
      <c r="K204" s="2" t="inlineStr">
        <is>
          <t>Abierto simplificado</t>
        </is>
      </c>
      <c r="L204" s="6" t="n">
        <v>7</v>
      </c>
      <c r="M204" s="2" t="n"/>
      <c r="N204" s="7" t="n">
        <v>0</v>
      </c>
      <c r="O204" s="4" t="n"/>
      <c r="P204" s="2" t="inlineStr">
        <is>
          <t>45262520; 45432100; 45432110; 45432210; 45262310; 44230000; 45431000</t>
        </is>
      </c>
      <c r="Q204" s="8" t="inlineStr">
        <is>
          <t>Ver</t>
        </is>
      </c>
      <c r="R204" s="8" t="inlineStr">
        <is>
          <t>PCAP</t>
        </is>
      </c>
      <c r="S204" s="9" t="n">
        <v>46311</v>
      </c>
      <c r="T204" s="3" t="n">
        <v>46322.60594907407</v>
      </c>
      <c r="U204" s="2" t="n"/>
    </row>
    <row r="205">
      <c r="A205" s="2" t="inlineStr">
        <is>
          <t>Resuelta</t>
        </is>
      </c>
      <c r="B205" s="3" t="n">
        <v>45978.99930555555</v>
      </c>
      <c r="C205" s="5" t="n">
        <v>95064.46000000001</v>
      </c>
      <c r="D205" s="5" t="n">
        <v>95064.46000000001</v>
      </c>
      <c r="E205" s="2" t="inlineStr">
        <is>
          <t>Andalucía</t>
        </is>
      </c>
      <c r="F205" s="2" t="inlineStr">
        <is>
          <t>Granada</t>
        </is>
      </c>
      <c r="G205" s="2" t="inlineStr">
        <is>
          <t>ARENAS DEL REY</t>
        </is>
      </c>
      <c r="H205" s="2" t="inlineStr">
        <is>
          <t>Presidencia de la Diputación Provincial de Granada</t>
        </is>
      </c>
      <c r="I205" s="2" t="inlineStr">
        <is>
          <t>2024/4/PPOYS-18 “Arenas del Rey, acondicionamiento de redes y pavimentación en calles Barcelona, Infanta Eulalia, Trabajo nacional e Instituto y pavimentación en Plaza García Lorca y C/ Caridad"</t>
        </is>
      </c>
      <c r="J205" s="2" t="inlineStr">
        <is>
          <t>OB-048/25</t>
        </is>
      </c>
      <c r="K205" s="2" t="inlineStr">
        <is>
          <t>Abierto simplificado</t>
        </is>
      </c>
      <c r="L205" s="6" t="n">
        <v>4</v>
      </c>
      <c r="M205" s="2" t="inlineStr">
        <is>
          <t>E7-1; G6-1</t>
        </is>
      </c>
      <c r="N205" s="7" t="n">
        <v>0</v>
      </c>
      <c r="O205" s="4" t="n"/>
      <c r="P205" s="2" t="inlineStr">
        <is>
          <t>45231100; 45233252</t>
        </is>
      </c>
      <c r="Q205" s="8" t="inlineStr">
        <is>
          <t>Ver</t>
        </is>
      </c>
      <c r="R205" s="8" t="inlineStr">
        <is>
          <t>PCAP</t>
        </is>
      </c>
      <c r="S205" s="9" t="n">
        <v>46323</v>
      </c>
      <c r="T205" s="3" t="n">
        <v>46322.60126157408</v>
      </c>
      <c r="U205" s="2" t="n"/>
    </row>
    <row r="206">
      <c r="A206" s="2" t="inlineStr">
        <is>
          <t>Adjudicada</t>
        </is>
      </c>
      <c r="B206" s="3" t="n">
        <v>46301.99930555555</v>
      </c>
      <c r="C206" s="5" t="n">
        <v>58649.33</v>
      </c>
      <c r="D206" s="5" t="n">
        <v>58649.33</v>
      </c>
      <c r="E206" s="2" t="inlineStr">
        <is>
          <t>Comunitat Valenciana</t>
        </is>
      </c>
      <c r="F206" s="2" t="inlineStr">
        <is>
          <t>Castellón</t>
        </is>
      </c>
      <c r="G206" s="2" t="inlineStr">
        <is>
          <t>Tales</t>
        </is>
      </c>
      <c r="H206" s="2" t="inlineStr">
        <is>
          <t>Presidencia de la Mancomunidad Espadán Mijares</t>
        </is>
      </c>
      <c r="I206" s="2" t="inlineStr">
        <is>
          <t>La realización de los trabajos de sustitución y reparación de la cubierta del edificio donde que alberga la sede de la Mancomunidad Espadán-Mijares</t>
        </is>
      </c>
      <c r="J206" s="2" t="inlineStr">
        <is>
          <t>500/2026</t>
        </is>
      </c>
      <c r="K206" s="2" t="inlineStr">
        <is>
          <t>Abierto simplificado</t>
        </is>
      </c>
      <c r="L206" s="6" t="n">
        <v>6</v>
      </c>
      <c r="M206" s="2" t="n"/>
      <c r="N206" s="7" t="n">
        <v>0</v>
      </c>
      <c r="O206" s="4" t="n"/>
      <c r="P206" s="2" t="inlineStr">
        <is>
          <t>45260000</t>
        </is>
      </c>
      <c r="Q206" s="8" t="inlineStr">
        <is>
          <t>Ver</t>
        </is>
      </c>
      <c r="R206" s="8" t="inlineStr">
        <is>
          <t>PCAP</t>
        </is>
      </c>
      <c r="S206" s="9" t="n">
        <v>46323</v>
      </c>
      <c r="T206" s="3" t="n">
        <v>46322.6003587963</v>
      </c>
      <c r="U206" s="2" t="n"/>
    </row>
    <row r="207">
      <c r="A207" s="2" t="inlineStr">
        <is>
          <t>En plazo</t>
        </is>
      </c>
      <c r="B207" s="3" t="n">
        <v>46339.54166666666</v>
      </c>
      <c r="C207" s="5" t="n">
        <v>900915.88</v>
      </c>
      <c r="D207" s="5" t="n">
        <v>900915.88</v>
      </c>
      <c r="E207" s="2" t="inlineStr">
        <is>
          <t>Comunitat Valenciana</t>
        </is>
      </c>
      <c r="F207" s="2" t="inlineStr">
        <is>
          <t>Castellón</t>
        </is>
      </c>
      <c r="G207" s="2" t="inlineStr">
        <is>
          <t>L'Alcora</t>
        </is>
      </c>
      <c r="H207" s="2" t="inlineStr">
        <is>
          <t>Alcaldía del Ayuntamiento de L'Alcora</t>
        </is>
      </c>
      <c r="I207" s="2" t="inlineStr">
        <is>
          <t>Ejecución del proyecto de obras de "Derribo y adecuación de solar de la antgua fábrica de Azulejos Sanchis de l'Alcora".</t>
        </is>
      </c>
      <c r="J207" s="2" t="inlineStr">
        <is>
          <t>9083/2026</t>
        </is>
      </c>
      <c r="K207" s="2" t="inlineStr">
        <is>
          <t>Abierto simplificado</t>
        </is>
      </c>
      <c r="L207" s="6" t="n">
        <v>4</v>
      </c>
      <c r="M207" s="2" t="inlineStr">
        <is>
          <t>C1-4</t>
        </is>
      </c>
      <c r="N207" s="7" t="n">
        <v>0.25</v>
      </c>
      <c r="O207" s="4" t="n"/>
      <c r="P207" s="2" t="inlineStr">
        <is>
          <t>45110000</t>
        </is>
      </c>
      <c r="Q207" s="8" t="inlineStr">
        <is>
          <t>Ver</t>
        </is>
      </c>
      <c r="R207" s="8" t="inlineStr">
        <is>
          <t>PCAP</t>
        </is>
      </c>
      <c r="S207" s="9" t="n">
        <v>46321</v>
      </c>
      <c r="T207" s="3" t="n">
        <v>46322.59643518519</v>
      </c>
      <c r="U207" s="2" t="n"/>
    </row>
    <row r="208">
      <c r="A208" s="2" t="inlineStr">
        <is>
          <t>Resuelta</t>
        </is>
      </c>
      <c r="B208" s="3" t="n">
        <v>46203.41666666666</v>
      </c>
      <c r="C208" s="5" t="n">
        <v>104720</v>
      </c>
      <c r="D208" s="5" t="n">
        <v>104720</v>
      </c>
      <c r="E208" s="2" t="inlineStr">
        <is>
          <t>Andalucía</t>
        </is>
      </c>
      <c r="F208" s="2" t="inlineStr">
        <is>
          <t>Córdoba</t>
        </is>
      </c>
      <c r="G208" s="2" t="n"/>
      <c r="H208" s="2" t="inlineStr">
        <is>
          <t>Empresa de Transformación Agraria S.A.,S.M.E., M.P., (TRAGSA)</t>
        </is>
      </c>
      <c r="I208"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208" s="2" t="inlineStr">
        <is>
          <t>TSA0079529-127</t>
        </is>
      </c>
      <c r="K208" s="2" t="inlineStr">
        <is>
          <t>Abierto</t>
        </is>
      </c>
      <c r="L208" s="6" t="n">
        <v>7</v>
      </c>
      <c r="M208" s="2" t="n"/>
      <c r="N208" s="7" t="n">
        <v>0</v>
      </c>
      <c r="O208" s="4" t="n"/>
      <c r="P208" s="2" t="inlineStr">
        <is>
          <t>45500000</t>
        </is>
      </c>
      <c r="Q208" s="8" t="inlineStr">
        <is>
          <t>Ver</t>
        </is>
      </c>
      <c r="R208" s="8" t="inlineStr">
        <is>
          <t>PCAP</t>
        </is>
      </c>
      <c r="S208" s="9" t="n">
        <v>46323</v>
      </c>
      <c r="T208" s="3" t="n">
        <v>46322.59642361111</v>
      </c>
      <c r="U208" s="2" t="n"/>
    </row>
    <row r="209">
      <c r="A209" s="2" t="inlineStr">
        <is>
          <t>Resuelta</t>
        </is>
      </c>
      <c r="B209" s="3" t="n">
        <v>46231.99930555555</v>
      </c>
      <c r="C209" s="5" t="n">
        <v>752116.46</v>
      </c>
      <c r="D209" s="5" t="n">
        <v>752116.46</v>
      </c>
      <c r="E209" s="2" t="inlineStr">
        <is>
          <t>Comunitat Valenciana</t>
        </is>
      </c>
      <c r="F209" s="2" t="inlineStr">
        <is>
          <t>Alicante</t>
        </is>
      </c>
      <c r="G209" s="2" t="n"/>
      <c r="H209" s="2" t="inlineStr">
        <is>
          <t>Junta de Gobierno del Ayuntamiento Dénia</t>
        </is>
      </c>
      <c r="I209" s="2" t="inlineStr">
        <is>
          <t>Obras de restauración de la Torre de la Devesa y la Batería de Terra</t>
        </is>
      </c>
      <c r="J209" s="2" t="inlineStr">
        <is>
          <t>OBR/2026000035</t>
        </is>
      </c>
      <c r="K209" s="2" t="inlineStr">
        <is>
          <t>Abierto</t>
        </is>
      </c>
      <c r="L209" s="6" t="n">
        <v>10</v>
      </c>
      <c r="M209" s="2" t="inlineStr">
        <is>
          <t>K7-3</t>
        </is>
      </c>
      <c r="N209" s="7" t="n">
        <v>0.35</v>
      </c>
      <c r="O209" s="4" t="n"/>
      <c r="P209" s="2" t="inlineStr">
        <is>
          <t>45212350; 45212354; 45454100</t>
        </is>
      </c>
      <c r="Q209" s="8" t="inlineStr">
        <is>
          <t>Ver</t>
        </is>
      </c>
      <c r="R209" s="8" t="inlineStr">
        <is>
          <t>PCAP</t>
        </is>
      </c>
      <c r="S209" s="9" t="n">
        <v>46323</v>
      </c>
      <c r="T209" s="3" t="n">
        <v>46322.5955787037</v>
      </c>
      <c r="U209" s="2" t="n"/>
    </row>
    <row r="210">
      <c r="A210" s="2" t="inlineStr">
        <is>
          <t>Pendiente de adjudicación</t>
        </is>
      </c>
      <c r="B210" s="3" t="n">
        <v>46300.99930555555</v>
      </c>
      <c r="C210" s="5" t="n">
        <v>156095.87</v>
      </c>
      <c r="D210" s="5" t="n">
        <v>156095.87</v>
      </c>
      <c r="E210" s="2" t="inlineStr">
        <is>
          <t>Andalucía</t>
        </is>
      </c>
      <c r="F210" s="2" t="inlineStr">
        <is>
          <t>Málaga</t>
        </is>
      </c>
      <c r="G210" s="2" t="n"/>
      <c r="H210" s="2" t="inlineStr">
        <is>
          <t>Concejalía de Hacienda del Ayuntamiento de Benalmádena</t>
        </is>
      </c>
      <c r="I210" s="2" t="inlineStr">
        <is>
          <t>Obras de sustitución de la cubierta de la Biblioteca de Arroyo de la Miel, conforme al proyecto redactado por D.LUIS GIL-DELGADO DÍEZ</t>
        </is>
      </c>
      <c r="J210" s="2" t="inlineStr">
        <is>
          <t>2026/31865W</t>
        </is>
      </c>
      <c r="K210" s="2" t="inlineStr">
        <is>
          <t>Abierto simplificado</t>
        </is>
      </c>
      <c r="L210" s="6" t="n">
        <v>4</v>
      </c>
      <c r="M210" s="2" t="n"/>
      <c r="N210" s="7" t="n">
        <v>0</v>
      </c>
      <c r="O210" s="4" t="n"/>
      <c r="P210" s="2" t="inlineStr">
        <is>
          <t>45212330; 45261000</t>
        </is>
      </c>
      <c r="Q210" s="8" t="inlineStr">
        <is>
          <t>Ver</t>
        </is>
      </c>
      <c r="R210" s="8" t="inlineStr">
        <is>
          <t>PCAP</t>
        </is>
      </c>
      <c r="S210" s="9" t="n">
        <v>46310</v>
      </c>
      <c r="T210" s="3" t="n">
        <v>46322.59442129629</v>
      </c>
      <c r="U210" s="2" t="n"/>
    </row>
    <row r="211">
      <c r="A211" s="2" t="inlineStr">
        <is>
          <t>Pendiente de adjudicación</t>
        </is>
      </c>
      <c r="B211" s="3" t="n">
        <v>46315.99930555555</v>
      </c>
      <c r="C211" s="5" t="n">
        <v>41380.57</v>
      </c>
      <c r="D211" s="5" t="n">
        <v>41380.57</v>
      </c>
      <c r="E211" s="2" t="inlineStr">
        <is>
          <t>Andalucía</t>
        </is>
      </c>
      <c r="F211" s="2" t="inlineStr">
        <is>
          <t>Sevilla</t>
        </is>
      </c>
      <c r="G211" s="2" t="inlineStr">
        <is>
          <t>GELVES</t>
        </is>
      </c>
      <c r="H211" s="2" t="inlineStr">
        <is>
          <t>Alcaldía del Ayuntamiento de Gelves</t>
        </is>
      </c>
      <c r="I211" s="2" t="inlineStr">
        <is>
          <t>Ejecución del Proyecto Básico y de Ejecución de Reformas para la Adecuación de la Accesibilidad Exterior de la Casa de la Cultura, sita en calle Párroco Juan de Dios Corrales n.º 3, Gelves (Sevilla), incluido en el Plan Provincial MÁS SEVILLA, subvencionado por la Excma. Diputación Provincial de Sevilla.</t>
        </is>
      </c>
      <c r="J211" s="2" t="inlineStr">
        <is>
          <t>LIC 42/2026 OBRAS CASA CULTURA</t>
        </is>
      </c>
      <c r="K211" s="2" t="inlineStr">
        <is>
          <t>Abierto simplificado</t>
        </is>
      </c>
      <c r="L211" s="6" t="n">
        <v>3.5</v>
      </c>
      <c r="M211" s="2" t="n"/>
      <c r="N211" s="7" t="n">
        <v>0</v>
      </c>
      <c r="O211" s="4" t="n"/>
      <c r="P211" s="2" t="inlineStr">
        <is>
          <t>45200000</t>
        </is>
      </c>
      <c r="Q211" s="8" t="inlineStr">
        <is>
          <t>Ver</t>
        </is>
      </c>
      <c r="R211" s="8" t="inlineStr">
        <is>
          <t>PCAP</t>
        </is>
      </c>
      <c r="S211" s="9" t="n">
        <v>46318</v>
      </c>
      <c r="T211" s="3" t="n">
        <v>46322.59385416667</v>
      </c>
      <c r="U211" s="2" t="n"/>
    </row>
    <row r="212">
      <c r="A212" s="2" t="inlineStr">
        <is>
          <t>Resuelta</t>
        </is>
      </c>
      <c r="B212" s="3" t="n">
        <v>46203.41666666666</v>
      </c>
      <c r="C212" s="5" t="n">
        <v>184800</v>
      </c>
      <c r="D212" s="5" t="n">
        <v>184800</v>
      </c>
      <c r="E212" s="2" t="inlineStr">
        <is>
          <t>Andalucía</t>
        </is>
      </c>
      <c r="F212" s="2" t="inlineStr">
        <is>
          <t>Córdoba</t>
        </is>
      </c>
      <c r="G212" s="2" t="n"/>
      <c r="H212" s="2" t="inlineStr">
        <is>
          <t>Empresa de Transformación Agraria S.A.,S.M.E., M.P., (TRAGSA)</t>
        </is>
      </c>
      <c r="I21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212" s="2" t="inlineStr">
        <is>
          <t>TSA0079529-126</t>
        </is>
      </c>
      <c r="K212" s="2" t="inlineStr">
        <is>
          <t>Abierto</t>
        </is>
      </c>
      <c r="L212" s="6" t="n">
        <v>7</v>
      </c>
      <c r="M212" s="2" t="n"/>
      <c r="N212" s="7" t="n">
        <v>0</v>
      </c>
      <c r="O212" s="4" t="n"/>
      <c r="P212" s="2" t="inlineStr">
        <is>
          <t>45500000</t>
        </is>
      </c>
      <c r="Q212" s="8" t="inlineStr">
        <is>
          <t>Ver</t>
        </is>
      </c>
      <c r="R212" s="8" t="inlineStr">
        <is>
          <t>PCAP</t>
        </is>
      </c>
      <c r="S212" s="9" t="n">
        <v>46315</v>
      </c>
      <c r="T212" s="3" t="n">
        <v>46322.59350694445</v>
      </c>
      <c r="U212" s="2" t="n"/>
    </row>
    <row r="213">
      <c r="A213" s="2" t="inlineStr">
        <is>
          <t>Pendiente de adjudicación</t>
        </is>
      </c>
      <c r="B213" s="3" t="n">
        <v>46321.99930555555</v>
      </c>
      <c r="C213" s="5" t="n">
        <v>775919.42</v>
      </c>
      <c r="D213" s="5" t="n">
        <v>775919.42</v>
      </c>
      <c r="E213" s="2" t="inlineStr">
        <is>
          <t>Andalucía</t>
        </is>
      </c>
      <c r="F213" s="2" t="inlineStr">
        <is>
          <t>Sevilla</t>
        </is>
      </c>
      <c r="G213" s="2" t="inlineStr">
        <is>
          <t>Marchena (Sevilla)</t>
        </is>
      </c>
      <c r="H213" s="2" t="inlineStr">
        <is>
          <t>Alcaldía del Ayuntamiento de Marchena</t>
        </is>
      </c>
      <c r="I213" s="2" t="inlineStr">
        <is>
          <t>Contratación de las Obras denominadas: Proyecto de campo de fútbol de césped artificial para el CEIP Maestra Ángeles Cuesta.</t>
        </is>
      </c>
      <c r="J213" s="2" t="inlineStr">
        <is>
          <t>2026/CTT_01/000158</t>
        </is>
      </c>
      <c r="K213" s="2" t="inlineStr">
        <is>
          <t>Abierto simplificado</t>
        </is>
      </c>
      <c r="L213" s="6" t="n">
        <v>6</v>
      </c>
      <c r="M213" s="2" t="n"/>
      <c r="N213" s="7" t="n">
        <v>0</v>
      </c>
      <c r="O213" s="4" t="n"/>
      <c r="P213" s="2" t="inlineStr">
        <is>
          <t>45212210; 45233262</t>
        </is>
      </c>
      <c r="Q213" s="8" t="inlineStr">
        <is>
          <t>Ver</t>
        </is>
      </c>
      <c r="R213" s="8" t="inlineStr">
        <is>
          <t>PCAP</t>
        </is>
      </c>
      <c r="S213" s="9" t="n">
        <v>46323</v>
      </c>
      <c r="T213" s="3" t="n">
        <v>46322.58888888889</v>
      </c>
      <c r="U213" s="2" t="n"/>
    </row>
    <row r="214">
      <c r="A214" s="2" t="inlineStr">
        <is>
          <t>Pendiente de adjudicación</t>
        </is>
      </c>
      <c r="B214" s="3" t="n">
        <v>46321.99930555555</v>
      </c>
      <c r="C214" s="5" t="n">
        <v>80021.95</v>
      </c>
      <c r="D214" s="5" t="n">
        <v>80021.95</v>
      </c>
      <c r="E214" s="2" t="inlineStr">
        <is>
          <t>Andalucía</t>
        </is>
      </c>
      <c r="F214" s="2" t="inlineStr">
        <is>
          <t>Jaén</t>
        </is>
      </c>
      <c r="G214" s="2" t="inlineStr">
        <is>
          <t>Torreblascopedro, Jaén</t>
        </is>
      </c>
      <c r="H214" s="2" t="inlineStr">
        <is>
          <t>Alcaldía del Ayuntamiento de Torreblascopedro</t>
        </is>
      </c>
      <c r="I214"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214" s="2" t="inlineStr">
        <is>
          <t>299/2026</t>
        </is>
      </c>
      <c r="K214" s="2" t="inlineStr">
        <is>
          <t>Abierto simplificado</t>
        </is>
      </c>
      <c r="L214" s="6" t="n">
        <v>3</v>
      </c>
      <c r="M214" s="2" t="inlineStr">
        <is>
          <t>C7-1</t>
        </is>
      </c>
      <c r="N214" s="7" t="n">
        <v>0</v>
      </c>
      <c r="O214" s="4" t="n"/>
      <c r="P214" s="2" t="inlineStr">
        <is>
          <t>45261900; 45261420; 09331200</t>
        </is>
      </c>
      <c r="Q214" s="8" t="inlineStr">
        <is>
          <t>Ver</t>
        </is>
      </c>
      <c r="R214" s="8" t="inlineStr">
        <is>
          <t>PCAP</t>
        </is>
      </c>
      <c r="S214" s="9" t="n">
        <v>46310</v>
      </c>
      <c r="T214" s="3" t="n">
        <v>46322.58792824074</v>
      </c>
      <c r="U214" s="2" t="inlineStr">
        <is>
          <t>2026-10-28: estado PUB → EV</t>
        </is>
      </c>
    </row>
    <row r="215">
      <c r="A215" s="2" t="inlineStr">
        <is>
          <t>En plazo</t>
        </is>
      </c>
      <c r="B215" s="3" t="n">
        <v>46342.99930555555</v>
      </c>
      <c r="C215" s="5" t="n">
        <v>1897107.44</v>
      </c>
      <c r="D215" s="5" t="n">
        <v>1897107.44</v>
      </c>
      <c r="E215" s="2" t="inlineStr">
        <is>
          <t>Andalucía</t>
        </is>
      </c>
      <c r="F215" s="2" t="inlineStr">
        <is>
          <t>Málaga</t>
        </is>
      </c>
      <c r="G215" s="2" t="n"/>
      <c r="H215" s="2" t="inlineStr">
        <is>
          <t>Pleno del Ayuntamiento de Pizarra</t>
        </is>
      </c>
      <c r="I215" s="2" t="inlineStr">
        <is>
          <t>Obras de construcción de un parking subterráneo en la plaza de la Concordia nº 2 de Pizarra.</t>
        </is>
      </c>
      <c r="J215" s="2" t="inlineStr">
        <is>
          <t>252/2026</t>
        </is>
      </c>
      <c r="K215" s="2" t="inlineStr">
        <is>
          <t>Abierto simplificado</t>
        </is>
      </c>
      <c r="L215" s="6" t="n">
        <v>15</v>
      </c>
      <c r="M215" s="2" t="inlineStr">
        <is>
          <t>C*-4</t>
        </is>
      </c>
      <c r="N215" s="7" t="n">
        <v>0.25</v>
      </c>
      <c r="O215" s="4" t="n"/>
      <c r="P215" s="2" t="inlineStr">
        <is>
          <t>45000000; 45223310</t>
        </is>
      </c>
      <c r="Q215" s="8" t="inlineStr">
        <is>
          <t>Ver</t>
        </is>
      </c>
      <c r="R215" s="8" t="inlineStr">
        <is>
          <t>PCAP</t>
        </is>
      </c>
      <c r="S215" s="9" t="n">
        <v>46323</v>
      </c>
      <c r="T215" s="3" t="n">
        <v>46322.58756944445</v>
      </c>
      <c r="U215" s="2" t="n"/>
    </row>
    <row r="216">
      <c r="A216" s="2" t="inlineStr">
        <is>
          <t>Plazo vencido</t>
        </is>
      </c>
      <c r="B216" s="3" t="n">
        <v>46323.99930555555</v>
      </c>
      <c r="C216" s="5" t="n">
        <v>169747.73</v>
      </c>
      <c r="D216" s="5" t="n">
        <v>169747.73</v>
      </c>
      <c r="E216" s="2" t="inlineStr">
        <is>
          <t>Andalucía</t>
        </is>
      </c>
      <c r="F216" s="2" t="inlineStr">
        <is>
          <t>Jaén</t>
        </is>
      </c>
      <c r="G216" s="2" t="inlineStr">
        <is>
          <t>ESCAÑUELA</t>
        </is>
      </c>
      <c r="H216" s="2" t="inlineStr">
        <is>
          <t>Pleno del Ayuntamiento de Escañuela</t>
        </is>
      </c>
      <c r="I216" s="2" t="inlineStr">
        <is>
          <t>Obras necesarias para la reparación, restitución y mejora funcional de las piscinas municipales de Escañuela y de los espacios directamente vinculados a su utilización, promovido por el Ayuntamiento de Escañuela (Jaén).</t>
        </is>
      </c>
      <c r="J216" s="2" t="inlineStr">
        <is>
          <t>429/2026</t>
        </is>
      </c>
      <c r="K216" s="2" t="inlineStr">
        <is>
          <t>Abierto simplificado</t>
        </is>
      </c>
      <c r="L216" s="6" t="n">
        <v>5</v>
      </c>
      <c r="M216" s="2" t="n"/>
      <c r="N216" s="7" t="n">
        <v>0</v>
      </c>
      <c r="O216" s="4" t="n"/>
      <c r="P216" s="2" t="inlineStr">
        <is>
          <t>45212212</t>
        </is>
      </c>
      <c r="Q216" s="8" t="inlineStr">
        <is>
          <t>Ver</t>
        </is>
      </c>
      <c r="R216" s="8" t="inlineStr">
        <is>
          <t>PCAP</t>
        </is>
      </c>
      <c r="S216" s="9" t="n">
        <v>46310</v>
      </c>
      <c r="T216" s="3" t="n">
        <v>46322.58666666667</v>
      </c>
      <c r="U216" s="2" t="n"/>
    </row>
    <row r="217">
      <c r="A217" s="2" t="inlineStr">
        <is>
          <t>Adjudicada</t>
        </is>
      </c>
      <c r="B217" s="3" t="n">
        <v>46302.99930555555</v>
      </c>
      <c r="C217" s="5" t="n">
        <v>93939.17</v>
      </c>
      <c r="D217" s="5" t="n">
        <v>93939.17</v>
      </c>
      <c r="E217" s="2" t="inlineStr">
        <is>
          <t>Comunitat Valenciana</t>
        </is>
      </c>
      <c r="F217" s="2" t="inlineStr">
        <is>
          <t>Valencia</t>
        </is>
      </c>
      <c r="G217" s="2" t="inlineStr">
        <is>
          <t>Castelló de Rugat</t>
        </is>
      </c>
      <c r="H217" s="2" t="inlineStr">
        <is>
          <t>Alcaldía de l'Ajuntament de Castelló de Rugat</t>
        </is>
      </c>
      <c r="I217" s="2" t="inlineStr">
        <is>
          <t>Mejora, modernización y dotación de infraestructuras en el Polígono Industrial El Molí de Castelló de Rugat</t>
        </is>
      </c>
      <c r="J217" s="2" t="inlineStr">
        <is>
          <t>875/2026</t>
        </is>
      </c>
      <c r="K217" s="2" t="inlineStr">
        <is>
          <t>Abierto simplificado</t>
        </is>
      </c>
      <c r="L217" s="6" t="n">
        <v>3</v>
      </c>
      <c r="M217" s="2" t="n"/>
      <c r="N217" s="7" t="n">
        <v>0</v>
      </c>
      <c r="O217" s="4" t="n"/>
      <c r="P217" s="2" t="inlineStr">
        <is>
          <t>45316100; 34928500; 32323500; 45310000</t>
        </is>
      </c>
      <c r="Q217" s="8" t="inlineStr">
        <is>
          <t>Ver</t>
        </is>
      </c>
      <c r="R217" s="8" t="inlineStr">
        <is>
          <t>PCAP</t>
        </is>
      </c>
      <c r="S217" s="9" t="n">
        <v>46310</v>
      </c>
      <c r="T217" s="3" t="n">
        <v>46322.58509259259</v>
      </c>
      <c r="U217" s="2" t="inlineStr">
        <is>
          <t>2026-10-28: estado EV → ADJ</t>
        </is>
      </c>
    </row>
    <row r="218">
      <c r="A218" s="2" t="inlineStr">
        <is>
          <t>Resuelta</t>
        </is>
      </c>
      <c r="B218" s="3" t="n">
        <v>45818</v>
      </c>
      <c r="C218" s="5" t="n">
        <v>82491.22</v>
      </c>
      <c r="D218" s="5" t="n">
        <v>82491.22</v>
      </c>
      <c r="E218" s="2" t="inlineStr">
        <is>
          <t>Comunitat Valenciana</t>
        </is>
      </c>
      <c r="F218" s="2" t="inlineStr">
        <is>
          <t>Castellón</t>
        </is>
      </c>
      <c r="G218" s="2" t="inlineStr">
        <is>
          <t>Traiguera</t>
        </is>
      </c>
      <c r="H218" s="2" t="inlineStr">
        <is>
          <t>Alcaldía del Ayuntamiento de Traiguera</t>
        </is>
      </c>
      <c r="I218" s="2" t="inlineStr">
        <is>
          <t>El presente proyecto tiene por objeto la descripción de las actuaciones y obras, restantes a 29 de mayo de 2025, a realizar para la rehabilitación de un edificio público.</t>
        </is>
      </c>
      <c r="J218" s="2" t="inlineStr">
        <is>
          <t>270/2025</t>
        </is>
      </c>
      <c r="K218" s="2" t="inlineStr">
        <is>
          <t>Negociado sin publicidad</t>
        </is>
      </c>
      <c r="L218" s="6" t="n">
        <v>3</v>
      </c>
      <c r="M218" s="2" t="n"/>
      <c r="N218" s="7" t="n">
        <v>0</v>
      </c>
      <c r="O218" s="4" t="n"/>
      <c r="P218" s="2" t="inlineStr">
        <is>
          <t>45210000</t>
        </is>
      </c>
      <c r="Q218" s="8" t="inlineStr">
        <is>
          <t>Ver</t>
        </is>
      </c>
      <c r="R218" s="8" t="inlineStr">
        <is>
          <t>PCAP</t>
        </is>
      </c>
      <c r="S218" s="9" t="n">
        <v>46323</v>
      </c>
      <c r="T218" s="3" t="n">
        <v>46322.58400462963</v>
      </c>
      <c r="U218" s="2" t="n"/>
    </row>
    <row r="219">
      <c r="A219" s="2" t="inlineStr">
        <is>
          <t>En plazo</t>
        </is>
      </c>
      <c r="B219" s="3" t="n">
        <v>46349.54166666666</v>
      </c>
      <c r="C219" s="5" t="n">
        <v>794981.21</v>
      </c>
      <c r="D219" s="5" t="n">
        <v>794981.21</v>
      </c>
      <c r="E219" s="2" t="inlineStr">
        <is>
          <t>Andalucía</t>
        </is>
      </c>
      <c r="F219" s="2" t="inlineStr">
        <is>
          <t>Sevilla</t>
        </is>
      </c>
      <c r="G219" s="2" t="n"/>
      <c r="H219" s="2" t="inlineStr">
        <is>
          <t>Autoridad Portuaria de Sevilla</t>
        </is>
      </c>
      <c r="I219" s="2" t="inlineStr">
        <is>
          <t>Alumbrado público fotovoltaico en Zona Franca, Polígonos Torrecuéllar y Astilleros</t>
        </is>
      </c>
      <c r="J219" s="2" t="inlineStr">
        <is>
          <t>CONT26082</t>
        </is>
      </c>
      <c r="K219" s="2" t="inlineStr">
        <is>
          <t>Abierto</t>
        </is>
      </c>
      <c r="L219" s="6" t="n">
        <v>4</v>
      </c>
      <c r="M219" s="2" t="inlineStr">
        <is>
          <t>I9-3</t>
        </is>
      </c>
      <c r="N219" s="7" t="n">
        <v>0</v>
      </c>
      <c r="O219" s="4" t="n"/>
      <c r="P219" s="2" t="inlineStr">
        <is>
          <t>45316000</t>
        </is>
      </c>
      <c r="Q219" s="8" t="inlineStr">
        <is>
          <t>Ver</t>
        </is>
      </c>
      <c r="R219" s="8" t="inlineStr">
        <is>
          <t>PCAP</t>
        </is>
      </c>
      <c r="S219" s="9" t="n">
        <v>46323</v>
      </c>
      <c r="T219" s="3" t="n">
        <v>46322.58334490741</v>
      </c>
      <c r="U219" s="2" t="n"/>
    </row>
    <row r="220">
      <c r="A220" s="2" t="inlineStr">
        <is>
          <t>Resuelta</t>
        </is>
      </c>
      <c r="B220" s="3" t="n">
        <v>46063.41666666666</v>
      </c>
      <c r="C220" s="5" t="n">
        <v>323136</v>
      </c>
      <c r="D220" s="5" t="n">
        <v>323136</v>
      </c>
      <c r="E220" s="2" t="inlineStr">
        <is>
          <t>Andalucía</t>
        </is>
      </c>
      <c r="F220" s="2" t="inlineStr">
        <is>
          <t>Córdoba</t>
        </is>
      </c>
      <c r="G220" s="2" t="n"/>
      <c r="H220" s="2" t="inlineStr">
        <is>
          <t>Empresa de Transformación Agraria S.A.,S.M.E., M.P., (TRAGSA)</t>
        </is>
      </c>
      <c r="I22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220" s="2" t="inlineStr">
        <is>
          <t>TSA0079529-071</t>
        </is>
      </c>
      <c r="K220" s="2" t="inlineStr">
        <is>
          <t>Abierto</t>
        </is>
      </c>
      <c r="L220" s="6" t="n"/>
      <c r="M220" s="2" t="n"/>
      <c r="N220" s="7" t="n">
        <v>0</v>
      </c>
      <c r="O220" s="4" t="n"/>
      <c r="P220" s="2" t="inlineStr">
        <is>
          <t>45500000</t>
        </is>
      </c>
      <c r="Q220" s="8" t="inlineStr">
        <is>
          <t>Ver</t>
        </is>
      </c>
      <c r="R220" s="8" t="inlineStr">
        <is>
          <t>PCAP</t>
        </is>
      </c>
      <c r="S220" s="9" t="n">
        <v>46323</v>
      </c>
      <c r="T220" s="3" t="n">
        <v>46322.58221064815</v>
      </c>
      <c r="U220" s="2" t="n"/>
    </row>
    <row r="221">
      <c r="A221" s="2" t="inlineStr">
        <is>
          <t>Adjudicada</t>
        </is>
      </c>
      <c r="B221" s="3" t="n">
        <v>46294.99930555555</v>
      </c>
      <c r="C221" s="5" t="n">
        <v>28551.49</v>
      </c>
      <c r="D221" s="5" t="n">
        <v>28551.49</v>
      </c>
      <c r="E221" s="2" t="inlineStr">
        <is>
          <t>Andalucía</t>
        </is>
      </c>
      <c r="F221" s="2" t="inlineStr">
        <is>
          <t>Jaén</t>
        </is>
      </c>
      <c r="G221" s="2" t="inlineStr">
        <is>
          <t>Cárcheles</t>
        </is>
      </c>
      <c r="H221" s="2" t="inlineStr">
        <is>
          <t>Alcaldía del Ayuntamiento de Cárcheles</t>
        </is>
      </c>
      <c r="I221" s="2" t="inlineStr">
        <is>
          <t>Pavimentación y arreglo del parque de la fuente, renovación pavimento asfáltico en calzada municipal y renovación pavimento pétreo acceso a calle a mediodía en Cárcheles (Jaén), mediante lotes (3).</t>
        </is>
      </c>
      <c r="J221" s="2" t="inlineStr">
        <is>
          <t>424/2026</t>
        </is>
      </c>
      <c r="K221" s="2" t="inlineStr">
        <is>
          <t>Abierto simplificado</t>
        </is>
      </c>
      <c r="L221" s="6" t="n">
        <v>1</v>
      </c>
      <c r="M221" s="2" t="n"/>
      <c r="N221" s="7" t="n">
        <v>0</v>
      </c>
      <c r="O221" s="4" t="n">
        <v>3</v>
      </c>
      <c r="P221" s="2" t="inlineStr">
        <is>
          <t>45233200; 45233222; 45233252</t>
        </is>
      </c>
      <c r="Q221" s="8" t="inlineStr">
        <is>
          <t>Ver</t>
        </is>
      </c>
      <c r="R221" s="8" t="inlineStr">
        <is>
          <t>PCAP</t>
        </is>
      </c>
      <c r="S221" s="9" t="n">
        <v>46310</v>
      </c>
      <c r="T221" s="3" t="n">
        <v>46322.57936342592</v>
      </c>
      <c r="U221" s="2" t="inlineStr">
        <is>
          <t>2026-10-28: estado EV → ADJ</t>
        </is>
      </c>
    </row>
    <row r="222">
      <c r="A222" s="2" t="inlineStr">
        <is>
          <t>Pendiente de adjudicación</t>
        </is>
      </c>
      <c r="B222" s="3" t="n">
        <v>46315.99930555555</v>
      </c>
      <c r="C222" s="5" t="n">
        <v>84120.06</v>
      </c>
      <c r="D222" s="5" t="n">
        <v>84120.06</v>
      </c>
      <c r="E222" s="2" t="inlineStr">
        <is>
          <t>Comunitat Valenciana</t>
        </is>
      </c>
      <c r="F222" s="2" t="inlineStr">
        <is>
          <t>Valencia</t>
        </is>
      </c>
      <c r="G222" s="2" t="n"/>
      <c r="H222" s="2" t="inlineStr">
        <is>
          <t>Presidente de la Entidad Local Menor El Perelló</t>
        </is>
      </c>
      <c r="I222" s="2" t="inlineStr">
        <is>
          <t>Contrato de obras "Instalación solar fotovoltaica de 100,3 kWp y 100kWn sobre estructura en edificio colegio CEIP El Perelló de autoconsumo colectivo con excedentes y compensación simplificada de energía en varios consumidores".</t>
        </is>
      </c>
      <c r="J222" s="2" t="inlineStr">
        <is>
          <t>494/2026</t>
        </is>
      </c>
      <c r="K222" s="2" t="inlineStr">
        <is>
          <t>Abierto simplificado</t>
        </is>
      </c>
      <c r="L222" s="6" t="n">
        <v>3</v>
      </c>
      <c r="M222" s="2" t="n"/>
      <c r="N222" s="7" t="n">
        <v>0</v>
      </c>
      <c r="O222" s="4" t="n"/>
      <c r="P222" s="2" t="inlineStr">
        <is>
          <t>45261215; 09331200; 45300000; 09332000</t>
        </is>
      </c>
      <c r="Q222" s="8" t="inlineStr">
        <is>
          <t>Ver</t>
        </is>
      </c>
      <c r="R222" s="8" t="inlineStr">
        <is>
          <t>PCAP</t>
        </is>
      </c>
      <c r="S222" s="9" t="n">
        <v>46323</v>
      </c>
      <c r="T222" s="3" t="n">
        <v>46322.57871527778</v>
      </c>
      <c r="U222" s="2" t="n"/>
    </row>
    <row r="223">
      <c r="A223" s="2" t="inlineStr">
        <is>
          <t>Pendiente de adjudicación</t>
        </is>
      </c>
      <c r="B223" s="3" t="n">
        <v>46316.99930555555</v>
      </c>
      <c r="C223" s="5" t="n">
        <v>45409.09</v>
      </c>
      <c r="D223" s="5" t="n">
        <v>45409.09</v>
      </c>
      <c r="E223" s="2" t="inlineStr">
        <is>
          <t>Andalucía</t>
        </is>
      </c>
      <c r="F223" s="2" t="inlineStr">
        <is>
          <t>Sevilla</t>
        </is>
      </c>
      <c r="G223" s="2" t="n"/>
      <c r="H223" s="2" t="inlineStr">
        <is>
          <t>Alcaldía del Ayuntamiento de Espartinas</t>
        </is>
      </c>
      <c r="I223" s="2" t="inlineStr">
        <is>
          <t>Constituye el objeto del contrato la ejecución de las obras de Reparación, rehabilitación y conservación de caminos rurales, Espartinas, conforme a lo previsto en la Memoria Valorada que establece las características de la actuación</t>
        </is>
      </c>
      <c r="J223" s="2" t="inlineStr">
        <is>
          <t>2382/2026</t>
        </is>
      </c>
      <c r="K223" s="2" t="inlineStr">
        <is>
          <t>Abierto simplificado</t>
        </is>
      </c>
      <c r="L223" s="6" t="n">
        <v>1</v>
      </c>
      <c r="M223" s="2" t="n"/>
      <c r="N223" s="7" t="n">
        <v>0</v>
      </c>
      <c r="O223" s="4" t="n"/>
      <c r="P223" s="2" t="inlineStr">
        <is>
          <t>45233141; 45111200</t>
        </is>
      </c>
      <c r="Q223" s="8" t="inlineStr">
        <is>
          <t>Ver</t>
        </is>
      </c>
      <c r="R223" s="8" t="inlineStr">
        <is>
          <t>PCAP</t>
        </is>
      </c>
      <c r="S223" s="9" t="n">
        <v>46318</v>
      </c>
      <c r="T223" s="3" t="n">
        <v>46322.57420138889</v>
      </c>
      <c r="U223" s="2" t="n"/>
    </row>
    <row r="224">
      <c r="A224" s="2" t="inlineStr">
        <is>
          <t>Resuelta</t>
        </is>
      </c>
      <c r="B224" s="3" t="n">
        <v>46119.99930555555</v>
      </c>
      <c r="C224" s="5" t="n">
        <v>49056.56</v>
      </c>
      <c r="D224" s="5" t="n">
        <v>49056.56</v>
      </c>
      <c r="E224" s="2" t="inlineStr">
        <is>
          <t>Comunitat Valenciana</t>
        </is>
      </c>
      <c r="F224" s="2" t="inlineStr">
        <is>
          <t>Alicante</t>
        </is>
      </c>
      <c r="G224" s="2" t="inlineStr">
        <is>
          <t>Alcalalí</t>
        </is>
      </c>
      <c r="H224" s="2" t="inlineStr">
        <is>
          <t>Alcaldía del Ajuntament de Alcalalí</t>
        </is>
      </c>
      <c r="I224" s="2" t="inlineStr">
        <is>
          <t>la ejecución de las obras de salvaguarda, recuperación, cerramiento perimetral, estudio y puesta en valor del conjunto de arte rupestre prehistórico de "les penyes dels seguers" en Alcalalí contenidas en el Proyecto técnico, redactado por Rubén Vidal Bertomeu y aprobado por Alcaldía, de acuerdo al mismo y a las determinaciones contenidas en este pliego y en el de prescripciones técnicas</t>
        </is>
      </c>
      <c r="J224" s="2" t="inlineStr">
        <is>
          <t>264/2026</t>
        </is>
      </c>
      <c r="K224" s="2" t="inlineStr">
        <is>
          <t>Abierto simplificado</t>
        </is>
      </c>
      <c r="L224" s="6" t="n">
        <v>3</v>
      </c>
      <c r="M224" s="2" t="n"/>
      <c r="N224" s="7" t="n">
        <v>0</v>
      </c>
      <c r="O224" s="4" t="n"/>
      <c r="P224" s="2" t="inlineStr">
        <is>
          <t>45233200</t>
        </is>
      </c>
      <c r="Q224" s="8" t="inlineStr">
        <is>
          <t>Ver</t>
        </is>
      </c>
      <c r="R224" s="8" t="inlineStr">
        <is>
          <t>PCAP</t>
        </is>
      </c>
      <c r="S224" s="9" t="n">
        <v>46323</v>
      </c>
      <c r="T224" s="3" t="n">
        <v>46322.5730787037</v>
      </c>
      <c r="U224" s="2" t="n"/>
    </row>
    <row r="225">
      <c r="A225" s="2" t="inlineStr">
        <is>
          <t>Adjudicada</t>
        </is>
      </c>
      <c r="B225" s="3" t="n">
        <v>46234.99930555555</v>
      </c>
      <c r="C225" s="5" t="n">
        <v>208063.72</v>
      </c>
      <c r="D225" s="5" t="n">
        <v>228870.09</v>
      </c>
      <c r="E225" s="2" t="inlineStr">
        <is>
          <t>Comunitat Valenciana</t>
        </is>
      </c>
      <c r="F225" s="2" t="inlineStr">
        <is>
          <t>Valencia</t>
        </is>
      </c>
      <c r="G225" s="2" t="n"/>
      <c r="H225" s="2" t="inlineStr">
        <is>
          <t>Junta de Gobierno del Ayuntamiento de Sagunto</t>
        </is>
      </c>
      <c r="I225" s="2" t="inlineStr">
        <is>
          <t>Contrato para la sustitución de pavimento y vallado de la pista de hockey línea</t>
        </is>
      </c>
      <c r="J225" s="2" t="inlineStr">
        <is>
          <t>90/25-C</t>
        </is>
      </c>
      <c r="K225" s="2" t="inlineStr">
        <is>
          <t>Abierto simplificado</t>
        </is>
      </c>
      <c r="L225" s="6" t="n">
        <v>1.5</v>
      </c>
      <c r="M225" s="2" t="n"/>
      <c r="N225" s="7" t="n">
        <v>0</v>
      </c>
      <c r="O225" s="4" t="n"/>
      <c r="P225" s="2" t="inlineStr">
        <is>
          <t>45212211; 45212290</t>
        </is>
      </c>
      <c r="Q225" s="8" t="inlineStr">
        <is>
          <t>Ver</t>
        </is>
      </c>
      <c r="R225" s="8" t="inlineStr">
        <is>
          <t>PCAP</t>
        </is>
      </c>
      <c r="S225" s="9" t="n">
        <v>46323</v>
      </c>
      <c r="T225" s="3" t="n">
        <v>46322.57296296296</v>
      </c>
      <c r="U225" s="2" t="n"/>
    </row>
    <row r="226">
      <c r="A226" s="2" t="inlineStr">
        <is>
          <t>Pendiente de adjudicación</t>
        </is>
      </c>
      <c r="B226" s="3" t="n">
        <v>46303.99930555555</v>
      </c>
      <c r="C226" s="5" t="n">
        <v>128977.67</v>
      </c>
      <c r="D226" s="5" t="n">
        <v>128977.67</v>
      </c>
      <c r="E226" s="2" t="inlineStr">
        <is>
          <t>Andalucía</t>
        </is>
      </c>
      <c r="F226" s="2" t="inlineStr">
        <is>
          <t>Jaén</t>
        </is>
      </c>
      <c r="G226" s="2" t="inlineStr">
        <is>
          <t>JAEN</t>
        </is>
      </c>
      <c r="H226" s="2" t="inlineStr">
        <is>
          <t>Presidencia de la Diputación Provincial de Jaén</t>
        </is>
      </c>
      <c r="I226" s="2" t="inlineStr">
        <is>
          <t>Construcción de aparcamiento de vehículos en complejo deportivo de Villanueva de la Reina.</t>
        </is>
      </c>
      <c r="J226" s="2" t="inlineStr">
        <is>
          <t>CO-2025/000121</t>
        </is>
      </c>
      <c r="K226" s="2" t="inlineStr">
        <is>
          <t>Abierto simplificado</t>
        </is>
      </c>
      <c r="L226" s="6" t="n">
        <v>5</v>
      </c>
      <c r="M226" s="2" t="n"/>
      <c r="N226" s="7" t="n">
        <v>0</v>
      </c>
      <c r="O226" s="4" t="n"/>
      <c r="P226" s="2" t="inlineStr">
        <is>
          <t>45223300</t>
        </is>
      </c>
      <c r="Q226" s="8" t="inlineStr">
        <is>
          <t>Ver</t>
        </is>
      </c>
      <c r="R226" s="8" t="inlineStr">
        <is>
          <t>PCAP</t>
        </is>
      </c>
      <c r="S226" s="9" t="n">
        <v>46317</v>
      </c>
      <c r="T226" s="3" t="n">
        <v>46322.57236111111</v>
      </c>
      <c r="U226" s="2" t="n"/>
    </row>
    <row r="227">
      <c r="A227" s="2" t="inlineStr">
        <is>
          <t>Adjudicada</t>
        </is>
      </c>
      <c r="B227" s="3" t="n">
        <v>46282.99930555555</v>
      </c>
      <c r="C227" s="5" t="n">
        <v>181818.18</v>
      </c>
      <c r="D227" s="5" t="n">
        <v>181818.18</v>
      </c>
      <c r="E227" s="2" t="inlineStr">
        <is>
          <t>Andalucía</t>
        </is>
      </c>
      <c r="F227" s="2" t="inlineStr">
        <is>
          <t>Almería</t>
        </is>
      </c>
      <c r="G227" s="2" t="n"/>
      <c r="H227" s="2" t="inlineStr">
        <is>
          <t>Junta de Gobierno de la Diputación Provincial de Almería</t>
        </is>
      </c>
      <c r="I227" s="2" t="inlineStr">
        <is>
          <t>Rehabilitación De Firme Y Mejora De Diversos Tramos De Caminos Municipales En Tijola 17PG2026</t>
        </is>
      </c>
      <c r="J227" s="2" t="inlineStr">
        <is>
          <t>2026/D31000/006-013/00058</t>
        </is>
      </c>
      <c r="K227" s="2" t="inlineStr">
        <is>
          <t>Abierto simplificado</t>
        </is>
      </c>
      <c r="L227" s="6" t="n">
        <v>3</v>
      </c>
      <c r="M227" s="2" t="n"/>
      <c r="N227" s="7" t="n">
        <v>0.25</v>
      </c>
      <c r="O227" s="4" t="n"/>
      <c r="P227" s="2" t="inlineStr">
        <is>
          <t>45233220</t>
        </is>
      </c>
      <c r="Q227" s="8" t="inlineStr">
        <is>
          <t>Ver</t>
        </is>
      </c>
      <c r="R227" s="8" t="inlineStr">
        <is>
          <t>PCAP</t>
        </is>
      </c>
      <c r="S227" s="9" t="n">
        <v>46310</v>
      </c>
      <c r="T227" s="3" t="n">
        <v>46322.56572916666</v>
      </c>
      <c r="U227" s="2" t="inlineStr">
        <is>
          <t>2026-10-28: estado EV → ADJ</t>
        </is>
      </c>
    </row>
    <row r="228">
      <c r="A228" s="2" t="inlineStr">
        <is>
          <t>Resuelta</t>
        </is>
      </c>
      <c r="B228" s="3" t="n">
        <v>46293.625</v>
      </c>
      <c r="C228" s="5" t="n">
        <v>137114.62</v>
      </c>
      <c r="D228" s="5" t="n">
        <v>164537.54</v>
      </c>
      <c r="E228" s="2" t="inlineStr">
        <is>
          <t>Andalucía</t>
        </is>
      </c>
      <c r="F228" s="2" t="inlineStr">
        <is>
          <t>Huelva</t>
        </is>
      </c>
      <c r="G228" s="2" t="n"/>
      <c r="H228" s="2" t="inlineStr">
        <is>
          <t>Comisión Ejecutiva de Gestión Integral del Agua de Huelva</t>
        </is>
      </c>
      <c r="I228" s="2" t="inlineStr">
        <is>
          <t>1742/2026 "Obras del proyecto de ejecución de módulos de vestuarios y edificación auxiliar destinada a despacho en la planta de selección de envases ligueros. Termino Municipal de Trigueros (Huelva)"</t>
        </is>
      </c>
      <c r="J228" s="2" t="inlineStr">
        <is>
          <t>1742/2026</t>
        </is>
      </c>
      <c r="K228" s="2" t="inlineStr">
        <is>
          <t>Abierto simplificado</t>
        </is>
      </c>
      <c r="L228" s="6" t="n">
        <v>3</v>
      </c>
      <c r="M228" s="2" t="n"/>
      <c r="N228" s="7" t="n">
        <v>0</v>
      </c>
      <c r="O228" s="4" t="n"/>
      <c r="P228" s="2" t="inlineStr">
        <is>
          <t>45000000; 45212230</t>
        </is>
      </c>
      <c r="Q228" s="8" t="inlineStr">
        <is>
          <t>Ver</t>
        </is>
      </c>
      <c r="R228" s="8" t="inlineStr">
        <is>
          <t>PCAP</t>
        </is>
      </c>
      <c r="S228" s="9" t="n">
        <v>46315</v>
      </c>
      <c r="T228" s="3" t="n">
        <v>46322.56247685185</v>
      </c>
      <c r="U228" s="2" t="inlineStr">
        <is>
          <t>2026-10-28: estado EV → RES</t>
        </is>
      </c>
    </row>
    <row r="229">
      <c r="A229" s="2" t="inlineStr">
        <is>
          <t>Pendiente de adjudicación</t>
        </is>
      </c>
      <c r="B229" s="3" t="n">
        <v>46318.99930555555</v>
      </c>
      <c r="C229" s="5" t="n">
        <v>1373802.43</v>
      </c>
      <c r="D229" s="5" t="n">
        <v>1373802.43</v>
      </c>
      <c r="E229" s="2" t="inlineStr">
        <is>
          <t>Comunitat Valenciana</t>
        </is>
      </c>
      <c r="F229" s="2" t="n"/>
      <c r="G229" s="2" t="n"/>
      <c r="H229" s="2" t="inlineStr">
        <is>
          <t>Conselleria de Educación, Cultura y Universidades</t>
        </is>
      </c>
      <c r="I229" s="2" t="inlineStr">
        <is>
          <t>Conservación y puesta en valor de la Torre de las Palomas del Monasterio de la Murta, Alzira</t>
        </is>
      </c>
      <c r="J229" s="2" t="inlineStr">
        <is>
          <t>CMAYOR/2026/17Y03/0017</t>
        </is>
      </c>
      <c r="K229" s="2" t="inlineStr">
        <is>
          <t>Abierto simplificado</t>
        </is>
      </c>
      <c r="L229" s="6" t="n">
        <v>18</v>
      </c>
      <c r="M229" s="2" t="inlineStr">
        <is>
          <t>K7-4</t>
        </is>
      </c>
      <c r="N229" s="7" t="n">
        <v>0.2</v>
      </c>
      <c r="O229" s="4" t="n"/>
      <c r="P229" s="2" t="inlineStr">
        <is>
          <t>45212350; 45212300; 45454100; 45212000; 45262500</t>
        </is>
      </c>
      <c r="Q229" s="8" t="inlineStr">
        <is>
          <t>Ver</t>
        </is>
      </c>
      <c r="R229" s="8" t="inlineStr">
        <is>
          <t>PCAP</t>
        </is>
      </c>
      <c r="S229" s="9" t="n">
        <v>46323</v>
      </c>
      <c r="T229" s="3" t="n">
        <v>46322.56115740741</v>
      </c>
      <c r="U229" s="2" t="n"/>
    </row>
    <row r="230">
      <c r="A230" s="2" t="inlineStr">
        <is>
          <t>Pendiente de adjudicación</t>
        </is>
      </c>
      <c r="B230" s="3" t="n">
        <v>46274.99930555555</v>
      </c>
      <c r="C230" s="5" t="n">
        <v>127875.14</v>
      </c>
      <c r="D230" s="5" t="n">
        <v>127875.14</v>
      </c>
      <c r="E230" s="2" t="inlineStr">
        <is>
          <t>Comunitat Valenciana</t>
        </is>
      </c>
      <c r="F230" s="2" t="inlineStr">
        <is>
          <t>Valencia</t>
        </is>
      </c>
      <c r="G230" s="2" t="inlineStr">
        <is>
          <t>Enguera</t>
        </is>
      </c>
      <c r="H230" s="2" t="inlineStr">
        <is>
          <t>Alcaldía del Ayuntamiento de Enguera</t>
        </is>
      </c>
      <c r="I230" s="2" t="inlineStr">
        <is>
          <t>Obras ciclo integral del agua 2025 para la sustitución de un tramo de conducción de agua potable y la mejora de 2 aliviaderos en la red de saneamiento en Enguera.</t>
        </is>
      </c>
      <c r="J230" s="2" t="inlineStr">
        <is>
          <t>1181/2025</t>
        </is>
      </c>
      <c r="K230" s="2" t="inlineStr">
        <is>
          <t>Abierto simplificado</t>
        </is>
      </c>
      <c r="L230" s="6" t="n">
        <v>9</v>
      </c>
      <c r="M230" s="2" t="n"/>
      <c r="N230" s="7" t="n">
        <v>0</v>
      </c>
      <c r="O230" s="4" t="n"/>
      <c r="P230" s="2" t="inlineStr">
        <is>
          <t>45231300; 45232410; 45232400; 45232150</t>
        </is>
      </c>
      <c r="Q230" s="8" t="inlineStr">
        <is>
          <t>Ver</t>
        </is>
      </c>
      <c r="R230" s="8" t="inlineStr">
        <is>
          <t>PCAP</t>
        </is>
      </c>
      <c r="S230" s="9" t="n">
        <v>46322</v>
      </c>
      <c r="T230" s="3" t="n">
        <v>46322.56026620371</v>
      </c>
      <c r="U230" s="2" t="inlineStr">
        <is>
          <t>2026-10-28: estado RES → EV</t>
        </is>
      </c>
    </row>
    <row r="231">
      <c r="A231" s="2" t="inlineStr">
        <is>
          <t>Resuelta</t>
        </is>
      </c>
      <c r="B231" s="3" t="n">
        <v>46281.99930555555</v>
      </c>
      <c r="C231" s="5" t="n">
        <v>59559.5</v>
      </c>
      <c r="D231" s="5" t="n">
        <v>71471.39999999999</v>
      </c>
      <c r="E231" s="2" t="inlineStr">
        <is>
          <t>Andalucía</t>
        </is>
      </c>
      <c r="F231" s="2" t="inlineStr">
        <is>
          <t>Cádiz</t>
        </is>
      </c>
      <c r="G231" s="2" t="inlineStr">
        <is>
          <t>Cádiz</t>
        </is>
      </c>
      <c r="H231" s="2" t="inlineStr">
        <is>
          <t>Dirección Gerencia de la Mutua de Andalucía y Ceuta</t>
        </is>
      </c>
      <c r="I231" s="2" t="inlineStr">
        <is>
          <t>Obra sala fisioterapia y ventilación en Cádiz para Mutua CESMA.</t>
        </is>
      </c>
      <c r="J231" s="2" t="inlineStr">
        <is>
          <t>CG-2026/5101/0163</t>
        </is>
      </c>
      <c r="K231" s="2" t="inlineStr">
        <is>
          <t>Abierto</t>
        </is>
      </c>
      <c r="L231" s="6" t="n">
        <v>2</v>
      </c>
      <c r="M231" s="2" t="n"/>
      <c r="N231" s="7" t="n">
        <v>0.5</v>
      </c>
      <c r="O231" s="4" t="n"/>
      <c r="P231" s="2" t="inlineStr">
        <is>
          <t>45453100</t>
        </is>
      </c>
      <c r="Q231" s="8" t="inlineStr">
        <is>
          <t>Ver</t>
        </is>
      </c>
      <c r="R231" s="8" t="inlineStr">
        <is>
          <t>PCAP</t>
        </is>
      </c>
      <c r="S231" s="9" t="n">
        <v>46311</v>
      </c>
      <c r="T231" s="3" t="n">
        <v>46322.55988425926</v>
      </c>
      <c r="U231" s="2" t="inlineStr">
        <is>
          <t>2026-10-23: estado ADJ → RES</t>
        </is>
      </c>
    </row>
    <row r="232">
      <c r="A232" s="2" t="inlineStr">
        <is>
          <t>Pendiente de adjudicación</t>
        </is>
      </c>
      <c r="B232" s="3" t="n">
        <v>46268.99930555555</v>
      </c>
      <c r="C232" s="5" t="n">
        <v>50000</v>
      </c>
      <c r="D232" s="5" t="n">
        <v>50000</v>
      </c>
      <c r="E232" s="2" t="inlineStr">
        <is>
          <t>Andalucía</t>
        </is>
      </c>
      <c r="F232" s="2" t="inlineStr">
        <is>
          <t>Cádiz</t>
        </is>
      </c>
      <c r="G232" s="2" t="n"/>
      <c r="H232" s="2" t="inlineStr">
        <is>
          <t>Alcaldía del Ayuntamiento de Bornos</t>
        </is>
      </c>
      <c r="I232" s="2" t="inlineStr">
        <is>
          <t>Limpieza, resanado y enjalbegado del cerramiento sur, este y norte del Castillo-Palacio de Los Ribera</t>
        </is>
      </c>
      <c r="J232" s="2" t="inlineStr">
        <is>
          <t>2026_11010_MCON_00008</t>
        </is>
      </c>
      <c r="K232" s="2" t="inlineStr">
        <is>
          <t>Abierto simplificado</t>
        </is>
      </c>
      <c r="L232" s="6" t="n">
        <v>3</v>
      </c>
      <c r="M232" s="2" t="n"/>
      <c r="N232" s="7" t="n">
        <v>0</v>
      </c>
      <c r="O232" s="4" t="n"/>
      <c r="P232" s="2" t="inlineStr">
        <is>
          <t>45400000</t>
        </is>
      </c>
      <c r="Q232" s="8" t="inlineStr">
        <is>
          <t>Ver</t>
        </is>
      </c>
      <c r="R232" s="8" t="inlineStr">
        <is>
          <t>PCAP</t>
        </is>
      </c>
      <c r="S232" s="9" t="n">
        <v>46323</v>
      </c>
      <c r="T232" s="3" t="n">
        <v>46322.55966435185</v>
      </c>
      <c r="U232" s="2" t="n"/>
    </row>
    <row r="233">
      <c r="A233" s="2" t="inlineStr">
        <is>
          <t>Pendiente de adjudicación</t>
        </is>
      </c>
      <c r="B233" s="3" t="n">
        <v>46244.45833333334</v>
      </c>
      <c r="C233" s="5" t="n">
        <v>145510.47</v>
      </c>
      <c r="D233" s="5" t="n">
        <v>145510.47</v>
      </c>
      <c r="E233" s="2" t="inlineStr">
        <is>
          <t>Andalucía</t>
        </is>
      </c>
      <c r="F233" s="2" t="inlineStr">
        <is>
          <t>Granada</t>
        </is>
      </c>
      <c r="G233" s="2" t="n"/>
      <c r="H233" s="2" t="inlineStr">
        <is>
          <t>Alcaldía del Ayuntamiento de Almuñécar</t>
        </is>
      </c>
      <c r="I233" s="2" t="inlineStr">
        <is>
          <t>Obras de reforma y adecuación del Centro Joven de La Herradura (Almuñécar), en base a la Memoria Valorada redactada por la arquitecta Dña. Cristina Barbero García.</t>
        </is>
      </c>
      <c r="J233" s="2" t="inlineStr">
        <is>
          <t>91/2026 (GEST 6949/2026)</t>
        </is>
      </c>
      <c r="K233" s="2" t="inlineStr">
        <is>
          <t>Abierto simplificado</t>
        </is>
      </c>
      <c r="L233" s="6" t="n">
        <v>4</v>
      </c>
      <c r="M233" s="2" t="n"/>
      <c r="N233" s="7" t="n">
        <v>0</v>
      </c>
      <c r="O233" s="4" t="n"/>
      <c r="P233" s="2" t="inlineStr">
        <is>
          <t>45453100; 45262700; 45400000</t>
        </is>
      </c>
      <c r="Q233" s="8" t="inlineStr">
        <is>
          <t>Ver</t>
        </is>
      </c>
      <c r="R233" s="8" t="inlineStr">
        <is>
          <t>PCAP</t>
        </is>
      </c>
      <c r="S233" s="9" t="n">
        <v>46310</v>
      </c>
      <c r="T233" s="3" t="n">
        <v>46322.5579050926</v>
      </c>
      <c r="U233" s="2" t="n"/>
    </row>
    <row r="234">
      <c r="A234" s="2" t="inlineStr">
        <is>
          <t>Adjudicada</t>
        </is>
      </c>
      <c r="B234" s="3" t="n">
        <v>46286.99930555555</v>
      </c>
      <c r="C234" s="5" t="n">
        <v>185950.41</v>
      </c>
      <c r="D234" s="5" t="n">
        <v>169421.49</v>
      </c>
      <c r="E234" s="2" t="inlineStr">
        <is>
          <t>Andalucía</t>
        </is>
      </c>
      <c r="F234" s="2" t="inlineStr">
        <is>
          <t>Almería</t>
        </is>
      </c>
      <c r="G234" s="2" t="n"/>
      <c r="H234" s="2" t="inlineStr">
        <is>
          <t>Junta de Gobierno de la Diputación Provincial de Almería</t>
        </is>
      </c>
      <c r="I234" s="2" t="inlineStr">
        <is>
          <t>Construcción Edificio De Servicios Y Coworking En Almócita 3PPOS24-27BII</t>
        </is>
      </c>
      <c r="J234" s="2" t="inlineStr">
        <is>
          <t>2024/D31000/006-013/00025</t>
        </is>
      </c>
      <c r="K234" s="2" t="inlineStr">
        <is>
          <t>Abierto simplificado</t>
        </is>
      </c>
      <c r="L234" s="6" t="n">
        <v>11</v>
      </c>
      <c r="M234" s="2" t="n"/>
      <c r="N234" s="7" t="n">
        <v>0.25</v>
      </c>
      <c r="O234" s="4" t="n"/>
      <c r="P234" s="2" t="inlineStr">
        <is>
          <t>45210000</t>
        </is>
      </c>
      <c r="Q234" s="8" t="inlineStr">
        <is>
          <t>Ver</t>
        </is>
      </c>
      <c r="R234" s="8" t="inlineStr">
        <is>
          <t>PCAP</t>
        </is>
      </c>
      <c r="S234" s="9" t="n">
        <v>46323</v>
      </c>
      <c r="T234" s="3" t="n">
        <v>46322.55753472223</v>
      </c>
      <c r="U234" s="2" t="n"/>
    </row>
    <row r="235">
      <c r="A235" s="2" t="inlineStr">
        <is>
          <t>En plazo</t>
        </is>
      </c>
      <c r="B235" s="3" t="n">
        <v>46351.99930555555</v>
      </c>
      <c r="C235" s="5" t="n">
        <v>334887.88</v>
      </c>
      <c r="D235" s="5" t="n">
        <v>368376.67</v>
      </c>
      <c r="E235" s="2" t="inlineStr">
        <is>
          <t>Comunitat Valenciana</t>
        </is>
      </c>
      <c r="F235" s="2" t="inlineStr">
        <is>
          <t>Alicante</t>
        </is>
      </c>
      <c r="G235" s="2" t="inlineStr">
        <is>
          <t>SANT JOAN D`ALACANT</t>
        </is>
      </c>
      <c r="H235" s="2" t="inlineStr">
        <is>
          <t>Departamento de Salud de San Juan Alicante. Dirección Económica-Gerencia</t>
        </is>
      </c>
      <c r="I235" s="2" t="inlineStr">
        <is>
          <t>Obra de instalación de nuevo transformador en Hospital Universitario de Sant Joan dAlacant, respetando la normativa en materia social y laboral, mediante prácticas respetuosas con el medioambiente e innovación tecnológica</t>
        </is>
      </c>
      <c r="J235" s="2" t="inlineStr">
        <is>
          <t>PA 297/2026</t>
        </is>
      </c>
      <c r="K235" s="2" t="inlineStr">
        <is>
          <t>Abierto</t>
        </is>
      </c>
      <c r="L235" s="6" t="n">
        <v>6</v>
      </c>
      <c r="M235" s="2" t="n"/>
      <c r="N235" s="7" t="n">
        <v>0.4</v>
      </c>
      <c r="O235" s="4" t="n"/>
      <c r="P235" s="2" t="inlineStr">
        <is>
          <t>45317200; 31172000</t>
        </is>
      </c>
      <c r="Q235" s="8" t="inlineStr">
        <is>
          <t>Ver</t>
        </is>
      </c>
      <c r="R235" s="8" t="inlineStr">
        <is>
          <t>PCAP</t>
        </is>
      </c>
      <c r="S235" s="9" t="n">
        <v>46322</v>
      </c>
      <c r="T235" s="3" t="n">
        <v>46322.55729166666</v>
      </c>
      <c r="U235" s="2" t="n"/>
    </row>
    <row r="236">
      <c r="A236" s="2" t="inlineStr">
        <is>
          <t>Pendiente de adjudicación</t>
        </is>
      </c>
      <c r="B236" s="3" t="n">
        <v>46239.99930555555</v>
      </c>
      <c r="C236" s="5" t="n">
        <v>469223.19</v>
      </c>
      <c r="D236" s="5" t="n">
        <v>469223.19</v>
      </c>
      <c r="E236" s="2" t="inlineStr">
        <is>
          <t>Andalucía</t>
        </is>
      </c>
      <c r="F236" s="2" t="inlineStr">
        <is>
          <t>Jaén</t>
        </is>
      </c>
      <c r="G236" s="2" t="inlineStr">
        <is>
          <t>JAEN</t>
        </is>
      </c>
      <c r="H236" s="2" t="inlineStr">
        <is>
          <t>Presidencia de la Diputación Provincial de Jaén</t>
        </is>
      </c>
      <c r="I236" s="2" t="inlineStr">
        <is>
          <t>Contrato de Obra de JA-4311 Noguerones a límite de provincia, mejora de firme.</t>
        </is>
      </c>
      <c r="J236" s="2" t="inlineStr">
        <is>
          <t>CO-2026/000596</t>
        </is>
      </c>
      <c r="K236" s="2" t="inlineStr">
        <is>
          <t>Abierto simplificado</t>
        </is>
      </c>
      <c r="L236" s="6" t="n">
        <v>4</v>
      </c>
      <c r="M236" s="2" t="n"/>
      <c r="N236" s="7" t="n">
        <v>0.25</v>
      </c>
      <c r="O236" s="4" t="n"/>
      <c r="P236" s="2" t="inlineStr">
        <is>
          <t>45233142</t>
        </is>
      </c>
      <c r="Q236" s="8" t="inlineStr">
        <is>
          <t>Ver</t>
        </is>
      </c>
      <c r="R236" s="8" t="inlineStr">
        <is>
          <t>PCAP</t>
        </is>
      </c>
      <c r="S236" s="9" t="n">
        <v>46317</v>
      </c>
      <c r="T236" s="3" t="n">
        <v>46322.55258101852</v>
      </c>
      <c r="U236" s="2" t="n"/>
    </row>
    <row r="237">
      <c r="A237" s="2" t="inlineStr">
        <is>
          <t>Resuelta</t>
        </is>
      </c>
      <c r="B237" s="3" t="n">
        <v>46275.99930555555</v>
      </c>
      <c r="C237" s="5" t="n">
        <v>114357.09</v>
      </c>
      <c r="D237" s="5" t="n">
        <v>114357.09</v>
      </c>
      <c r="E237" s="2" t="inlineStr">
        <is>
          <t>Comunitat Valenciana</t>
        </is>
      </c>
      <c r="F237" s="2" t="inlineStr">
        <is>
          <t>Castellón</t>
        </is>
      </c>
      <c r="G237" s="2" t="n"/>
      <c r="H237" s="2" t="inlineStr">
        <is>
          <t>Pleno del Ayuntamiento de Chodos - Xodos</t>
        </is>
      </c>
      <c r="I237" s="2" t="inlineStr">
        <is>
          <t>Restauración y puesta en valor de la torre medieval del conjunto amurallado de Xodos</t>
        </is>
      </c>
      <c r="J237" s="2" t="inlineStr">
        <is>
          <t>232/2026</t>
        </is>
      </c>
      <c r="K237" s="2" t="inlineStr">
        <is>
          <t>Abierto simplificado</t>
        </is>
      </c>
      <c r="L237" s="6" t="n"/>
      <c r="M237" s="2" t="n"/>
      <c r="N237" s="7" t="n">
        <v>0</v>
      </c>
      <c r="O237" s="4" t="n"/>
      <c r="P237" s="2" t="inlineStr">
        <is>
          <t>45000000</t>
        </is>
      </c>
      <c r="Q237" s="8" t="inlineStr">
        <is>
          <t>Ver</t>
        </is>
      </c>
      <c r="R237" s="8" t="inlineStr">
        <is>
          <t>PCAP</t>
        </is>
      </c>
      <c r="S237" s="9" t="n">
        <v>46323</v>
      </c>
      <c r="T237" s="3" t="n">
        <v>46322.55221064815</v>
      </c>
      <c r="U237" s="2" t="n"/>
    </row>
    <row r="238">
      <c r="A238" s="2" t="inlineStr">
        <is>
          <t>Pendiente de adjudicación</t>
        </is>
      </c>
      <c r="B238" s="3" t="n">
        <v>46262.99930555555</v>
      </c>
      <c r="C238" s="5" t="n">
        <v>781819.35</v>
      </c>
      <c r="D238" s="5" t="n">
        <v>781819.35</v>
      </c>
      <c r="E238" s="2" t="inlineStr">
        <is>
          <t>Andalucía</t>
        </is>
      </c>
      <c r="F238" s="2" t="inlineStr">
        <is>
          <t>Sevilla</t>
        </is>
      </c>
      <c r="G238" s="2" t="n"/>
      <c r="H238" s="2" t="inlineStr">
        <is>
          <t>Presidencia de la Diputación Provincial de Sevilla</t>
        </is>
      </c>
      <c r="I238" s="2" t="inlineStr">
        <is>
          <t>Obras para la ejecución del proyecto de implantación de prensa de rechazo en la planta de tratamiento de residuos del complejo medioambiental Campiña 2000. (Marchena).</t>
        </is>
      </c>
      <c r="J238" s="2" t="inlineStr">
        <is>
          <t>2026/000435-PAAS</t>
        </is>
      </c>
      <c r="K238" s="2" t="inlineStr">
        <is>
          <t>Abierto simplificado</t>
        </is>
      </c>
      <c r="L238" s="6" t="n">
        <v>4</v>
      </c>
      <c r="M238" s="2" t="inlineStr">
        <is>
          <t>J5-3</t>
        </is>
      </c>
      <c r="N238" s="7" t="n">
        <v>0.25</v>
      </c>
      <c r="O238" s="4" t="n"/>
      <c r="P238" s="2" t="inlineStr">
        <is>
          <t>45222100</t>
        </is>
      </c>
      <c r="Q238" s="8" t="inlineStr">
        <is>
          <t>Ver</t>
        </is>
      </c>
      <c r="R238" s="8" t="inlineStr">
        <is>
          <t>PCAP</t>
        </is>
      </c>
      <c r="S238" s="9" t="n">
        <v>46310</v>
      </c>
      <c r="T238" s="3" t="n">
        <v>46322.55194444444</v>
      </c>
      <c r="U238" s="2" t="n"/>
    </row>
    <row r="239">
      <c r="A239" s="2" t="inlineStr">
        <is>
          <t>Pendiente de adjudicación</t>
        </is>
      </c>
      <c r="B239" s="3" t="n">
        <v>46321.625</v>
      </c>
      <c r="C239" s="5" t="n">
        <v>182644.63</v>
      </c>
      <c r="D239" s="5" t="n">
        <v>219173.56</v>
      </c>
      <c r="E239" s="2" t="inlineStr">
        <is>
          <t>Andalucía</t>
        </is>
      </c>
      <c r="F239" s="2" t="inlineStr">
        <is>
          <t>Málaga</t>
        </is>
      </c>
      <c r="G239" s="2" t="inlineStr">
        <is>
          <t>La Cala del Moral, término municipal de Rincón de la Victoria</t>
        </is>
      </c>
      <c r="H239" s="2" t="inlineStr">
        <is>
          <t>Alcaldía del Ayuntamiento de Rincón de la Victoria</t>
        </is>
      </c>
      <c r="I239" s="2" t="inlineStr">
        <is>
          <t>Renovación del césped artificial y mejoras en el campo de fútbol de La Cala del Moral</t>
        </is>
      </c>
      <c r="J239" s="2" t="inlineStr">
        <is>
          <t>Contratación 54/26</t>
        </is>
      </c>
      <c r="K239" s="2" t="inlineStr">
        <is>
          <t>Abierto simplificado</t>
        </is>
      </c>
      <c r="L239" s="6" t="n">
        <v>1.5</v>
      </c>
      <c r="M239" s="2" t="n"/>
      <c r="N239" s="7" t="n">
        <v>0.25</v>
      </c>
      <c r="O239" s="4" t="n"/>
      <c r="P239" s="2" t="inlineStr">
        <is>
          <t>45000000; 45212290; 45212200</t>
        </is>
      </c>
      <c r="Q239" s="8" t="inlineStr">
        <is>
          <t>Ver</t>
        </is>
      </c>
      <c r="R239" s="8" t="inlineStr">
        <is>
          <t>PCAP</t>
        </is>
      </c>
      <c r="S239" s="9" t="n">
        <v>46317</v>
      </c>
      <c r="T239" s="3" t="n">
        <v>46322.55188657407</v>
      </c>
      <c r="U239" s="2" t="inlineStr">
        <is>
          <t>2026-10-28: estado PUB → EV</t>
        </is>
      </c>
    </row>
    <row r="240">
      <c r="A240" s="2" t="inlineStr">
        <is>
          <t>Resuelta</t>
        </is>
      </c>
      <c r="B240" s="3" t="n">
        <v>46317.41666666666</v>
      </c>
      <c r="C240" s="5" t="n">
        <v>5785.12</v>
      </c>
      <c r="D240" s="5" t="n">
        <v>5785.12</v>
      </c>
      <c r="E240" s="2" t="inlineStr">
        <is>
          <t>Comunitat Valenciana</t>
        </is>
      </c>
      <c r="F240" s="2" t="inlineStr">
        <is>
          <t>Valencia</t>
        </is>
      </c>
      <c r="G240" s="2" t="inlineStr">
        <is>
          <t>GODELLA, VALENCIA</t>
        </is>
      </c>
      <c r="H240" s="2" t="inlineStr">
        <is>
          <t>Jefatura de Intendencia de Asuntos Económicos Este</t>
        </is>
      </c>
      <c r="I240" s="2" t="inlineStr">
        <is>
          <t>Reparación caseta depuradora piscina 1 del núcleo Godella- CDSM Valencia.</t>
        </is>
      </c>
      <c r="J240" s="2" t="inlineStr">
        <is>
          <t>2026/ETSAE0327/00006684E</t>
        </is>
      </c>
      <c r="K240" s="2" t="inlineStr">
        <is>
          <t>Abierto</t>
        </is>
      </c>
      <c r="L240" s="6" t="n">
        <v>1</v>
      </c>
      <c r="M240" s="2" t="n"/>
      <c r="N240" s="7" t="n">
        <v>0</v>
      </c>
      <c r="O240" s="4" t="n"/>
      <c r="P240" s="2" t="inlineStr">
        <is>
          <t>45260000</t>
        </is>
      </c>
      <c r="Q240" s="8" t="inlineStr">
        <is>
          <t>Ver</t>
        </is>
      </c>
      <c r="R240" s="8" t="inlineStr">
        <is>
          <t>PCAP</t>
        </is>
      </c>
      <c r="S240" s="9" t="n">
        <v>46323</v>
      </c>
      <c r="T240" s="3" t="n">
        <v>46322.55114583333</v>
      </c>
      <c r="U240" s="2" t="n"/>
    </row>
    <row r="241">
      <c r="A241" s="2" t="inlineStr">
        <is>
          <t>Resuelta</t>
        </is>
      </c>
      <c r="B241" s="3" t="n">
        <v>46113.99930555555</v>
      </c>
      <c r="C241" s="5" t="n">
        <v>231394.34</v>
      </c>
      <c r="D241" s="5" t="n">
        <v>300812.59</v>
      </c>
      <c r="E241" s="2" t="inlineStr">
        <is>
          <t>Comunitat Valenciana</t>
        </is>
      </c>
      <c r="F241" s="2" t="inlineStr">
        <is>
          <t>Valencia</t>
        </is>
      </c>
      <c r="G241" s="2" t="n"/>
      <c r="H241" s="2" t="inlineStr">
        <is>
          <t>Consorcio Hospital General Universitario de Valencia</t>
        </is>
      </c>
      <c r="I241" s="2" t="inlineStr">
        <is>
          <t>obra para la adecuación del Servicio de Radiofísica y Protección Radiológica (SRFyPR) en el Hospital General Universitario de Valencia</t>
        </is>
      </c>
      <c r="J241" s="2" t="inlineStr">
        <is>
          <t>CMAYOR/2026/HGUV/0593</t>
        </is>
      </c>
      <c r="K241" s="2" t="inlineStr">
        <is>
          <t>Abierto simplificado</t>
        </is>
      </c>
      <c r="L241" s="6" t="n">
        <v>4</v>
      </c>
      <c r="M241" s="2" t="n"/>
      <c r="N241" s="7" t="n">
        <v>0.23</v>
      </c>
      <c r="O241" s="4" t="n"/>
      <c r="P241" s="2" t="inlineStr">
        <is>
          <t>45215100; 45215140</t>
        </is>
      </c>
      <c r="Q241" s="8" t="inlineStr">
        <is>
          <t>Ver</t>
        </is>
      </c>
      <c r="R241" s="8" t="inlineStr">
        <is>
          <t>PCAP</t>
        </is>
      </c>
      <c r="S241" s="9" t="n">
        <v>46323</v>
      </c>
      <c r="T241" s="3" t="n">
        <v>46322.54557870371</v>
      </c>
      <c r="U241" s="2" t="n"/>
    </row>
    <row r="242">
      <c r="A242" s="2" t="inlineStr">
        <is>
          <t>Resuelta</t>
        </is>
      </c>
      <c r="B242" s="3" t="n">
        <v>46209.99930555555</v>
      </c>
      <c r="C242" s="5" t="n">
        <v>162932.64</v>
      </c>
      <c r="D242" s="5" t="n">
        <v>162932.64</v>
      </c>
      <c r="E242" s="2" t="inlineStr">
        <is>
          <t>Comunitat Valenciana</t>
        </is>
      </c>
      <c r="F242" s="2" t="inlineStr">
        <is>
          <t>Valencia</t>
        </is>
      </c>
      <c r="G242" s="2" t="n"/>
      <c r="H242" s="2" t="inlineStr">
        <is>
          <t>Alcaldía del Ayuntamiento de Meliana</t>
        </is>
      </c>
      <c r="I242" s="2" t="inlineStr">
        <is>
          <t>Obras de adecuación Jardií Avda. Sta. María de Meliana, consistentes en la ejecución, mejora y acondicionamiento del parque existente en la Avda. Santa María de Meliana</t>
        </is>
      </c>
      <c r="J242" s="2" t="inlineStr">
        <is>
          <t>LCSP 2026 03</t>
        </is>
      </c>
      <c r="K242" s="2" t="inlineStr">
        <is>
          <t>Abierto</t>
        </is>
      </c>
      <c r="L242" s="6" t="n">
        <v>6</v>
      </c>
      <c r="M242" s="2" t="n"/>
      <c r="N242" s="7" t="n">
        <v>0.4</v>
      </c>
      <c r="O242" s="4" t="n"/>
      <c r="P242" s="2" t="inlineStr">
        <is>
          <t>45112710; 45233293; 45236230; 45112711; 45236250; 45112712</t>
        </is>
      </c>
      <c r="Q242" s="8" t="inlineStr">
        <is>
          <t>Ver</t>
        </is>
      </c>
      <c r="R242" s="8" t="inlineStr">
        <is>
          <t>PCAP</t>
        </is>
      </c>
      <c r="S242" s="9" t="n">
        <v>46323</v>
      </c>
      <c r="T242" s="3" t="n">
        <v>46322.54501157408</v>
      </c>
      <c r="U242" s="2" t="n"/>
    </row>
    <row r="243">
      <c r="A243" s="2" t="inlineStr">
        <is>
          <t>Adjudicada</t>
        </is>
      </c>
      <c r="B243" s="3" t="n">
        <v>46227.99930555555</v>
      </c>
      <c r="C243" s="5" t="n">
        <v>10859504.13</v>
      </c>
      <c r="D243" s="5" t="n">
        <v>10859504.13</v>
      </c>
      <c r="E243" s="2" t="inlineStr">
        <is>
          <t>Andalucía</t>
        </is>
      </c>
      <c r="F243" s="2" t="inlineStr">
        <is>
          <t>Málaga</t>
        </is>
      </c>
      <c r="G243" s="2" t="n"/>
      <c r="H243" s="2" t="inlineStr">
        <is>
          <t>Junta de Gobierno del Ayuntamiento de Fuengirola</t>
        </is>
      </c>
      <c r="I243" s="2" t="inlineStr">
        <is>
          <t>Contrato mixto para la redacción de proyecto y construcción de nuevas viviendas de apoyo municipal en la Calle Oropéndola de Fuengirola.</t>
        </is>
      </c>
      <c r="J243" s="2" t="inlineStr">
        <is>
          <t>CONTR-2026000040</t>
        </is>
      </c>
      <c r="K243" s="2" t="inlineStr">
        <is>
          <t>Abierto</t>
        </is>
      </c>
      <c r="L243" s="6" t="n">
        <v>27</v>
      </c>
      <c r="M243" s="2" t="inlineStr">
        <is>
          <t>C4-5; C2-5</t>
        </is>
      </c>
      <c r="N243" s="7" t="n">
        <v>0.4</v>
      </c>
      <c r="O243" s="4" t="n"/>
      <c r="P243" s="2" t="inlineStr">
        <is>
          <t>45211300</t>
        </is>
      </c>
      <c r="Q243" s="8" t="inlineStr">
        <is>
          <t>Ver</t>
        </is>
      </c>
      <c r="R243" s="8" t="inlineStr">
        <is>
          <t>PCAP</t>
        </is>
      </c>
      <c r="S243" s="9" t="n">
        <v>46323</v>
      </c>
      <c r="T243" s="3" t="n">
        <v>46322.5437962963</v>
      </c>
      <c r="U243" s="2" t="n"/>
    </row>
    <row r="244">
      <c r="A244" s="2" t="inlineStr">
        <is>
          <t>En plazo</t>
        </is>
      </c>
      <c r="B244" s="3" t="n">
        <v>46349.99930555555</v>
      </c>
      <c r="C244" s="5" t="n">
        <v>5241572.84</v>
      </c>
      <c r="D244" s="5" t="n">
        <v>5241572.84</v>
      </c>
      <c r="E244" s="2" t="inlineStr">
        <is>
          <t>Andalucía</t>
        </is>
      </c>
      <c r="F244" s="2" t="inlineStr">
        <is>
          <t>Málaga</t>
        </is>
      </c>
      <c r="G244" s="2" t="n"/>
      <c r="H244" s="2" t="inlineStr">
        <is>
          <t>Alcaldía del Ayuntamiento de Estepona</t>
        </is>
      </c>
      <c r="I244" s="2" t="inlineStr">
        <is>
          <t>Obras del plan de asfaltado 2026-2027</t>
        </is>
      </c>
      <c r="J244" s="2" t="inlineStr">
        <is>
          <t>43075/2026</t>
        </is>
      </c>
      <c r="K244" s="2" t="inlineStr">
        <is>
          <t>Abierto</t>
        </is>
      </c>
      <c r="L244" s="6" t="n">
        <v>7</v>
      </c>
      <c r="M244" s="2" t="inlineStr">
        <is>
          <t>G5-3; G4-5; A1-5</t>
        </is>
      </c>
      <c r="N244" s="7" t="n">
        <v>0.15</v>
      </c>
      <c r="O244" s="4" t="n"/>
      <c r="P244" s="2" t="inlineStr">
        <is>
          <t>45233140; 45233222; 45233200</t>
        </is>
      </c>
      <c r="Q244" s="8" t="inlineStr">
        <is>
          <t>Ver</t>
        </is>
      </c>
      <c r="R244" s="8" t="inlineStr">
        <is>
          <t>PCAP</t>
        </is>
      </c>
      <c r="S244" s="9" t="n">
        <v>46322</v>
      </c>
      <c r="T244" s="3" t="n">
        <v>46322.54081018519</v>
      </c>
      <c r="U244" s="2" t="n"/>
    </row>
    <row r="245">
      <c r="A245" s="2" t="inlineStr">
        <is>
          <t>En plazo</t>
        </is>
      </c>
      <c r="B245" s="3" t="n">
        <v>46342.99930555555</v>
      </c>
      <c r="C245" s="5" t="n">
        <v>578512.11</v>
      </c>
      <c r="D245" s="5" t="n">
        <v>111988.16</v>
      </c>
      <c r="E245" s="2" t="inlineStr">
        <is>
          <t>Andalucía</t>
        </is>
      </c>
      <c r="F245" s="2" t="inlineStr">
        <is>
          <t>Granada</t>
        </is>
      </c>
      <c r="G245" s="2" t="inlineStr">
        <is>
          <t>Alhendín</t>
        </is>
      </c>
      <c r="H245" s="2" t="inlineStr">
        <is>
          <t>Junta de Gobierno Local del Ayuntamiento de Alhendín</t>
        </is>
      </c>
      <c r="I245" s="2" t="inlineStr">
        <is>
          <t>Ejecucion de las obras de cubierta de pista polideportiva del Polideportivo Municipal de Alhendin</t>
        </is>
      </c>
      <c r="J245" s="2" t="inlineStr">
        <is>
          <t>5134/2026</t>
        </is>
      </c>
      <c r="K245" s="2" t="inlineStr">
        <is>
          <t>Abierto simplificado</t>
        </is>
      </c>
      <c r="L245" s="6" t="n">
        <v>7</v>
      </c>
      <c r="M245" s="2" t="inlineStr">
        <is>
          <t>C4-3</t>
        </is>
      </c>
      <c r="N245" s="7" t="n">
        <v>0.25</v>
      </c>
      <c r="O245" s="4" t="n"/>
      <c r="P245" s="2" t="inlineStr">
        <is>
          <t>45261000; 45212200; 45223100</t>
        </is>
      </c>
      <c r="Q245" s="8" t="inlineStr">
        <is>
          <t>Ver</t>
        </is>
      </c>
      <c r="R245" s="8" t="inlineStr">
        <is>
          <t>PCAP</t>
        </is>
      </c>
      <c r="S245" s="9" t="n">
        <v>46323</v>
      </c>
      <c r="T245" s="3" t="n">
        <v>46322.53763888889</v>
      </c>
      <c r="U245" s="2" t="n"/>
    </row>
    <row r="246">
      <c r="A246" s="2" t="inlineStr">
        <is>
          <t>Resuelta</t>
        </is>
      </c>
      <c r="B246" s="3" t="n">
        <v>46321.99930555555</v>
      </c>
      <c r="C246" s="5" t="n">
        <v>143373.8</v>
      </c>
      <c r="D246" s="5" t="n">
        <v>143373.8</v>
      </c>
      <c r="E246" s="2" t="inlineStr">
        <is>
          <t>Andalucía</t>
        </is>
      </c>
      <c r="F246" s="2" t="inlineStr">
        <is>
          <t>Huelva</t>
        </is>
      </c>
      <c r="G246" s="2" t="inlineStr">
        <is>
          <t>El Campillo</t>
        </is>
      </c>
      <c r="H246" s="2" t="inlineStr">
        <is>
          <t>Alcaldía del Ayuntamiento de El Campillo</t>
        </is>
      </c>
      <c r="I246" s="2" t="inlineStr">
        <is>
          <t>Repavimentación con una capa de alquitrán de 10 cm de espesor y las dos cunetas perimetrales, hormigonándolas adecuadamente con una solera de 10 cm de espesor y delimitar correctamente el cajeado del camino con un encintado con bordillo. Los pasos de agua hacia los barrancos también se adecuarán.</t>
        </is>
      </c>
      <c r="J246" s="2" t="inlineStr">
        <is>
          <t>1281/2026</t>
        </is>
      </c>
      <c r="K246" s="2" t="inlineStr">
        <is>
          <t>Abierto</t>
        </is>
      </c>
      <c r="L246" s="6" t="n">
        <v>6</v>
      </c>
      <c r="M246" s="2" t="n"/>
      <c r="N246" s="7" t="n">
        <v>0</v>
      </c>
      <c r="O246" s="4" t="n"/>
      <c r="P246" s="2" t="inlineStr">
        <is>
          <t>45233142</t>
        </is>
      </c>
      <c r="Q246" s="8" t="inlineStr">
        <is>
          <t>Ver</t>
        </is>
      </c>
      <c r="R246" s="8" t="inlineStr">
        <is>
          <t>PCAP</t>
        </is>
      </c>
      <c r="S246" s="9" t="n">
        <v>46323</v>
      </c>
      <c r="T246" s="3" t="n">
        <v>46322.53306712963</v>
      </c>
      <c r="U246" s="2" t="n"/>
    </row>
    <row r="247">
      <c r="A247" s="2" t="inlineStr">
        <is>
          <t>Resuelta</t>
        </is>
      </c>
      <c r="B247" s="3" t="n">
        <v>46089.45833333334</v>
      </c>
      <c r="C247" s="5" t="n">
        <v>7761302.05</v>
      </c>
      <c r="D247" s="5" t="n">
        <v>7761302.05</v>
      </c>
      <c r="E247" s="2" t="inlineStr">
        <is>
          <t>Andalucía</t>
        </is>
      </c>
      <c r="F247" s="2" t="inlineStr">
        <is>
          <t>Sevilla</t>
        </is>
      </c>
      <c r="G247" s="2" t="n"/>
      <c r="H247" s="2" t="inlineStr">
        <is>
          <t>Secretaría de Estado de Planificación e Infraestructuras - Demarcación de Carreteras del Estado en Andalucía Occidental</t>
        </is>
      </c>
      <c r="I247" s="2" t="inlineStr">
        <is>
          <t>Obras de emergencia para reparar deterioros en los firmes de la Red de Carreteras del Estado en la provincia de Córdoba, subsanando una situación de grave peligro. Carreteras N-432, A-45, A-4 y N-4</t>
        </is>
      </c>
      <c r="J247" s="2" t="inlineStr">
        <is>
          <t>EM72CO260002-C4126CO14001</t>
        </is>
      </c>
      <c r="K247" s="2" t="inlineStr">
        <is>
          <t>Negociado sin publicidad</t>
        </is>
      </c>
      <c r="L247" s="6" t="n">
        <v>3</v>
      </c>
      <c r="M247" s="2" t="n"/>
      <c r="N247" s="7" t="n"/>
      <c r="O247" s="4" t="n">
        <v>3</v>
      </c>
      <c r="P247" s="2" t="inlineStr">
        <is>
          <t>45233142</t>
        </is>
      </c>
      <c r="Q247" s="8" t="inlineStr">
        <is>
          <t>Ver</t>
        </is>
      </c>
      <c r="R247" s="2" t="n"/>
      <c r="S247" s="9" t="n">
        <v>46321</v>
      </c>
      <c r="T247" s="3" t="n">
        <v>46322.53202546296</v>
      </c>
      <c r="U247" s="2" t="inlineStr">
        <is>
          <t>2026-10-28: estado ADJ → RES</t>
        </is>
      </c>
    </row>
    <row r="248">
      <c r="A248" s="2" t="inlineStr">
        <is>
          <t>Resuelta</t>
        </is>
      </c>
      <c r="B248" s="3" t="n"/>
      <c r="C248" s="5" t="n">
        <v>11660549.04</v>
      </c>
      <c r="D248" s="5" t="n">
        <v>11660549.04</v>
      </c>
      <c r="E248" s="2" t="inlineStr">
        <is>
          <t>Andalucía</t>
        </is>
      </c>
      <c r="F248" s="2" t="inlineStr">
        <is>
          <t>Sevilla</t>
        </is>
      </c>
      <c r="G248" s="2" t="n"/>
      <c r="H248" s="2" t="inlineStr">
        <is>
          <t>Secretaría de Estado de Planificación e Infraestructuras - Demarcación de Carreteras del Estado en Andalucía Occidental</t>
        </is>
      </c>
      <c r="I248" s="2" t="inlineStr">
        <is>
          <t>Reparación de daños provocados por lluvias (alerta roja y naranja por las borrascas Kristin y Leonardo) consistente en la rehabilitación del firme en diversos puntos de la red de carreteras del estado, provincia de Cádiz, subsanando la situación de grave peligro existente. provincia de Cádiz</t>
        </is>
      </c>
      <c r="J248" s="2" t="inlineStr">
        <is>
          <t>EM72CA260001-C4126CA11001</t>
        </is>
      </c>
      <c r="K248" s="2" t="inlineStr">
        <is>
          <t>Negociado sin publicidad</t>
        </is>
      </c>
      <c r="L248" s="6" t="n">
        <v>4</v>
      </c>
      <c r="M248" s="2" t="n"/>
      <c r="N248" s="7" t="n"/>
      <c r="O248" s="4" t="n">
        <v>8</v>
      </c>
      <c r="P248" s="2" t="inlineStr">
        <is>
          <t>45233142</t>
        </is>
      </c>
      <c r="Q248" s="8" t="inlineStr">
        <is>
          <t>Ver</t>
        </is>
      </c>
      <c r="R248" s="2" t="n"/>
      <c r="S248" s="9" t="n">
        <v>46323</v>
      </c>
      <c r="T248" s="3" t="n">
        <v>46322.52825231481</v>
      </c>
      <c r="U248" s="2" t="n"/>
    </row>
    <row r="249">
      <c r="A249" s="2" t="inlineStr">
        <is>
          <t>Pendiente de adjudicación</t>
        </is>
      </c>
      <c r="B249" s="3" t="n">
        <v>46150.99930555555</v>
      </c>
      <c r="C249" s="5" t="n">
        <v>589051.77</v>
      </c>
      <c r="D249" s="5" t="n">
        <v>589051.77</v>
      </c>
      <c r="E249" s="2" t="inlineStr">
        <is>
          <t>Andalucía</t>
        </is>
      </c>
      <c r="F249" s="2" t="inlineStr">
        <is>
          <t>Sevilla</t>
        </is>
      </c>
      <c r="G249" s="2" t="n"/>
      <c r="H249" s="2" t="inlineStr">
        <is>
          <t>Alcaldia del Ayuntamiento de La Luisiana</t>
        </is>
      </c>
      <c r="I249" s="2" t="inlineStr">
        <is>
          <t>Contrato de ejecución del proyecto para la rehabilitación de edificio Casa de Postas. La Luisiana (Sevilla)</t>
        </is>
      </c>
      <c r="J249" s="2" t="inlineStr">
        <is>
          <t>003.2026</t>
        </is>
      </c>
      <c r="K249" s="2" t="inlineStr">
        <is>
          <t>Abierto</t>
        </is>
      </c>
      <c r="L249" s="6" t="n">
        <v>9</v>
      </c>
      <c r="M249" s="2" t="inlineStr">
        <is>
          <t>C*-3</t>
        </is>
      </c>
      <c r="N249" s="7" t="n">
        <v>0.45</v>
      </c>
      <c r="O249" s="4" t="n"/>
      <c r="P249" s="2" t="inlineStr">
        <is>
          <t>45454000; 45453100</t>
        </is>
      </c>
      <c r="Q249" s="8" t="inlineStr">
        <is>
          <t>Ver</t>
        </is>
      </c>
      <c r="R249" s="8" t="inlineStr">
        <is>
          <t>PCAP</t>
        </is>
      </c>
      <c r="S249" s="9" t="n">
        <v>46323</v>
      </c>
      <c r="T249" s="3" t="n">
        <v>46322.52822916667</v>
      </c>
      <c r="U249" s="2" t="n"/>
    </row>
    <row r="250">
      <c r="A250" s="2" t="inlineStr">
        <is>
          <t>En plazo</t>
        </is>
      </c>
      <c r="B250" s="3" t="n">
        <v>46342.99930555555</v>
      </c>
      <c r="C250" s="5" t="n">
        <v>247933.89</v>
      </c>
      <c r="D250" s="5" t="n">
        <v>247933.89</v>
      </c>
      <c r="E250" s="2" t="inlineStr">
        <is>
          <t>Andalucía</t>
        </is>
      </c>
      <c r="F250" s="2" t="inlineStr">
        <is>
          <t>Almería</t>
        </is>
      </c>
      <c r="G250" s="2" t="n"/>
      <c r="H250" s="2" t="inlineStr">
        <is>
          <t>Junta de Gobierno del Ayuntamiento de Almería</t>
        </is>
      </c>
      <c r="I250" s="2" t="inlineStr">
        <is>
          <t>Obras de Huerto Urbano, sito en las inmediaciones de la Calle Hoyo de las Tres Marías, de la Ciudad de Almería</t>
        </is>
      </c>
      <c r="J250" s="2" t="inlineStr">
        <is>
          <t>AYAL-2026000160</t>
        </is>
      </c>
      <c r="K250" s="2" t="inlineStr">
        <is>
          <t>Abierto simplificado</t>
        </is>
      </c>
      <c r="L250" s="6" t="n">
        <v>3</v>
      </c>
      <c r="M250" s="2" t="n"/>
      <c r="N250" s="7" t="n">
        <v>0.25</v>
      </c>
      <c r="O250" s="4" t="n"/>
      <c r="P250" s="2" t="inlineStr">
        <is>
          <t>45112000; 45232121; 45213240</t>
        </is>
      </c>
      <c r="Q250" s="8" t="inlineStr">
        <is>
          <t>Ver</t>
        </is>
      </c>
      <c r="R250" s="8" t="inlineStr">
        <is>
          <t>PCAP</t>
        </is>
      </c>
      <c r="S250" s="9" t="n">
        <v>46323</v>
      </c>
      <c r="T250" s="3" t="n">
        <v>46322.5275</v>
      </c>
      <c r="U250" s="2" t="n"/>
    </row>
    <row r="251">
      <c r="A251" s="2" t="inlineStr">
        <is>
          <t>Pendiente de adjudicación</t>
        </is>
      </c>
      <c r="B251" s="3" t="n">
        <v>46295.99930555555</v>
      </c>
      <c r="C251" s="5" t="n">
        <v>356695.33</v>
      </c>
      <c r="D251" s="5" t="n">
        <v>356695.33</v>
      </c>
      <c r="E251" s="2" t="inlineStr">
        <is>
          <t>Comunitat Valenciana</t>
        </is>
      </c>
      <c r="F251" s="2" t="inlineStr">
        <is>
          <t>Castellón</t>
        </is>
      </c>
      <c r="G251" s="2" t="inlineStr">
        <is>
          <t>Caudiel</t>
        </is>
      </c>
      <c r="H251" s="2" t="inlineStr">
        <is>
          <t>Pleno del Ayuntamiento de Caudiel</t>
        </is>
      </c>
      <c r="I251" s="2" t="inlineStr">
        <is>
          <t>Obras de instalación de césped artificial y sistema de riego en el campo de fútbol "el Olivar" de Caudiel</t>
        </is>
      </c>
      <c r="J251" s="2" t="inlineStr">
        <is>
          <t>344/2026</t>
        </is>
      </c>
      <c r="K251" s="2" t="inlineStr">
        <is>
          <t>Abierto simplificado</t>
        </is>
      </c>
      <c r="L251" s="6" t="n">
        <v>3</v>
      </c>
      <c r="M251" s="2" t="n"/>
      <c r="N251" s="7" t="n">
        <v>0.25</v>
      </c>
      <c r="O251" s="4" t="n"/>
      <c r="P251" s="2" t="inlineStr">
        <is>
          <t>45212221; 45236119; 39293400</t>
        </is>
      </c>
      <c r="Q251" s="8" t="inlineStr">
        <is>
          <t>Ver</t>
        </is>
      </c>
      <c r="R251" s="8" t="inlineStr">
        <is>
          <t>PCAP</t>
        </is>
      </c>
      <c r="S251" s="9" t="n">
        <v>46310</v>
      </c>
      <c r="T251" s="3" t="n">
        <v>46322.52729166667</v>
      </c>
      <c r="U251" s="2" t="n"/>
    </row>
    <row r="252">
      <c r="A252" s="2" t="inlineStr">
        <is>
          <t>En plazo</t>
        </is>
      </c>
      <c r="B252" s="3" t="n">
        <v>46328.99930555555</v>
      </c>
      <c r="C252" s="5" t="n">
        <v>187884.23</v>
      </c>
      <c r="D252" s="5" t="n">
        <v>187884.23</v>
      </c>
      <c r="E252" s="2" t="inlineStr">
        <is>
          <t>Comunitat Valenciana</t>
        </is>
      </c>
      <c r="F252" s="2" t="inlineStr">
        <is>
          <t>Valencia</t>
        </is>
      </c>
      <c r="G252" s="2" t="inlineStr">
        <is>
          <t>Benifaió (Valencia)</t>
        </is>
      </c>
      <c r="H252" s="2" t="inlineStr">
        <is>
          <t>Alcaldía del ayuntamiento de Benifaió</t>
        </is>
      </c>
      <c r="I252" s="2" t="inlineStr">
        <is>
          <t>Derribo de edificaciones existentes en el municipio. El objeto del contrato se divide en los siguientes lotes: Lote 1: Obras de derribo del edificio sito en calle Valencia, 40 Lote 2: Obras de derribo del edificio sito en calle Llavador, 4</t>
        </is>
      </c>
      <c r="J252" s="2" t="inlineStr">
        <is>
          <t>4757/2026</t>
        </is>
      </c>
      <c r="K252" s="2" t="inlineStr">
        <is>
          <t>Abierto simplificado</t>
        </is>
      </c>
      <c r="L252" s="6" t="n">
        <v>2</v>
      </c>
      <c r="M252" s="2" t="n"/>
      <c r="N252" s="7" t="n">
        <v>0.2</v>
      </c>
      <c r="O252" s="4" t="n">
        <v>2</v>
      </c>
      <c r="P252" s="2" t="inlineStr">
        <is>
          <t>45110000; 45111100; 45111000</t>
        </is>
      </c>
      <c r="Q252" s="8" t="inlineStr">
        <is>
          <t>Ver</t>
        </is>
      </c>
      <c r="R252" s="8" t="inlineStr">
        <is>
          <t>PCAP</t>
        </is>
      </c>
      <c r="S252" s="9" t="n">
        <v>46310</v>
      </c>
      <c r="T252" s="3" t="n">
        <v>46322.52715277778</v>
      </c>
      <c r="U252" s="2" t="n"/>
    </row>
    <row r="253">
      <c r="A253" s="2" t="inlineStr">
        <is>
          <t>Resuelta</t>
        </is>
      </c>
      <c r="B253" s="3" t="n"/>
      <c r="C253" s="5" t="n">
        <v>8649623.119999999</v>
      </c>
      <c r="D253" s="5" t="n">
        <v>8649623.119999999</v>
      </c>
      <c r="E253" s="2" t="inlineStr">
        <is>
          <t>Andalucía</t>
        </is>
      </c>
      <c r="F253" s="2" t="inlineStr">
        <is>
          <t>Sevilla</t>
        </is>
      </c>
      <c r="G253" s="2" t="n"/>
      <c r="H253" s="2" t="inlineStr">
        <is>
          <t>Secretaría de Estado de Planificación e Infraestructuras - Demarcación de Carreteras del Estado en Andalucía Occidental</t>
        </is>
      </c>
      <c r="I253" s="2" t="inlineStr">
        <is>
          <t>Obra de emergencia. Reparación del firme de la autovía del V Centenario A-49 P. K. 31+550 - 132+860, H-30, del P.K. 8+490 - 19+100, H-31 P.K. 77+830 -84+664, H-30, del P.K. 0+000 - 8+490, N-431 P.K. 79+525 -134+100, N-433 P.K. 61+310 -155+300, N-435 y N-435 A P.K. 104+282 - 222+100, N-442 P.K. 4+780 - 17+870, N-444 P.K. 0+000 - 3+400, N-445 P.K. 0+000 2+900. Provincia de Huelva.</t>
        </is>
      </c>
      <c r="J253" s="2" t="inlineStr">
        <is>
          <t>EM72H26003-C4126H21001</t>
        </is>
      </c>
      <c r="K253" s="2" t="inlineStr">
        <is>
          <t>Negociado sin publicidad</t>
        </is>
      </c>
      <c r="L253" s="6" t="n">
        <v>4</v>
      </c>
      <c r="M253" s="2" t="n"/>
      <c r="N253" s="7" t="n"/>
      <c r="O253" s="4" t="n">
        <v>4</v>
      </c>
      <c r="P253" s="2" t="inlineStr">
        <is>
          <t>45233142; 45233000; 45233100; 45233140; 45200000; 45230000</t>
        </is>
      </c>
      <c r="Q253" s="8" t="inlineStr">
        <is>
          <t>Ver</t>
        </is>
      </c>
      <c r="R253" s="2" t="n"/>
      <c r="S253" s="9" t="n">
        <v>46318</v>
      </c>
      <c r="T253" s="3" t="n">
        <v>46322.52699074074</v>
      </c>
      <c r="U253" s="2" t="inlineStr">
        <is>
          <t>2026-10-28: estado ADJ → RES</t>
        </is>
      </c>
    </row>
    <row r="254">
      <c r="A254" s="2" t="inlineStr">
        <is>
          <t>Resuelta</t>
        </is>
      </c>
      <c r="B254" s="3" t="n">
        <v>46272.58333333334</v>
      </c>
      <c r="C254" s="5" t="n">
        <v>45409.09</v>
      </c>
      <c r="D254" s="5" t="n">
        <v>45409.09</v>
      </c>
      <c r="E254" s="2" t="inlineStr">
        <is>
          <t>Andalucía</t>
        </is>
      </c>
      <c r="F254" s="2" t="inlineStr">
        <is>
          <t>Sevilla</t>
        </is>
      </c>
      <c r="G254" s="2" t="n"/>
      <c r="H254" s="2" t="inlineStr">
        <is>
          <t>Alcaldía del Ayuntamiento de Pedrera</t>
        </is>
      </c>
      <c r="I254" s="2" t="inlineStr">
        <is>
          <t>Reparación De Badenes En Los Caminos De Galeón Y Carnerero En Su Intersección Con El Arroyo Carnerero Pedrera (Sevilla) Línea De Subvenciones Para Financiar Actuaciones Para La Reparación, Rehabilitación Y Conservación De Las Infraestructuras De Los Caminos Rurales, Área De Servicios Públicos Supram</t>
        </is>
      </c>
      <c r="J254" s="2" t="inlineStr">
        <is>
          <t>P4107200J-2026/000066-PAAS</t>
        </is>
      </c>
      <c r="K254" s="2" t="inlineStr">
        <is>
          <t>Abierto simplificado</t>
        </is>
      </c>
      <c r="L254" s="6" t="n">
        <v>3</v>
      </c>
      <c r="M254" s="2" t="n"/>
      <c r="N254" s="7" t="n">
        <v>0</v>
      </c>
      <c r="O254" s="4" t="n"/>
      <c r="P254" s="2" t="inlineStr">
        <is>
          <t>45233160</t>
        </is>
      </c>
      <c r="Q254" s="8" t="inlineStr">
        <is>
          <t>Ver</t>
        </is>
      </c>
      <c r="R254" s="8" t="inlineStr">
        <is>
          <t>PCAP</t>
        </is>
      </c>
      <c r="S254" s="9" t="n">
        <v>46323</v>
      </c>
      <c r="T254" s="3" t="n">
        <v>46322.52649305556</v>
      </c>
      <c r="U254" s="2" t="n"/>
    </row>
    <row r="255">
      <c r="A255" s="2" t="inlineStr">
        <is>
          <t>Adjudicada</t>
        </is>
      </c>
      <c r="B255" s="3" t="n">
        <v>46279.99930555555</v>
      </c>
      <c r="C255" s="5" t="n">
        <v>39777.07</v>
      </c>
      <c r="D255" s="5" t="n">
        <v>39777.07</v>
      </c>
      <c r="E255" s="2" t="inlineStr">
        <is>
          <t>Comunitat Valenciana</t>
        </is>
      </c>
      <c r="F255" s="2" t="inlineStr">
        <is>
          <t>Alicante</t>
        </is>
      </c>
      <c r="G255" s="2" t="n"/>
      <c r="H255" s="2" t="inlineStr">
        <is>
          <t>Presidencia de la Diputación Provincial de Alicante</t>
        </is>
      </c>
      <c r="I255" s="2" t="inlineStr">
        <is>
          <t>Obras de restauración y adecuación de la zona afectada por vertidos incontrolados al pie de la Penya del Cullerot, TM de Castell de Guadalest (Alicante)</t>
        </is>
      </c>
      <c r="J255" s="2" t="inlineStr">
        <is>
          <t>O4SS-139/2026</t>
        </is>
      </c>
      <c r="K255" s="2" t="inlineStr">
        <is>
          <t>Abierto simplificado</t>
        </is>
      </c>
      <c r="L255" s="6" t="n">
        <v>1</v>
      </c>
      <c r="M255" s="2" t="n"/>
      <c r="N255" s="7" t="n">
        <v>0</v>
      </c>
      <c r="O255" s="4" t="n"/>
      <c r="P255" s="2" t="inlineStr">
        <is>
          <t>45000000; 45111213</t>
        </is>
      </c>
      <c r="Q255" s="8" t="inlineStr">
        <is>
          <t>Ver</t>
        </is>
      </c>
      <c r="R255" s="8" t="inlineStr">
        <is>
          <t>PCAP</t>
        </is>
      </c>
      <c r="S255" s="9" t="n">
        <v>46323</v>
      </c>
      <c r="T255" s="3" t="n">
        <v>46322.52607638889</v>
      </c>
      <c r="U255" s="2" t="n"/>
    </row>
    <row r="256">
      <c r="A256" s="2" t="inlineStr">
        <is>
          <t>Adjudicada</t>
        </is>
      </c>
      <c r="B256" s="3" t="n">
        <v>46285.99930555555</v>
      </c>
      <c r="C256" s="5" t="n">
        <v>122072.3</v>
      </c>
      <c r="D256" s="5" t="n">
        <v>122072.3</v>
      </c>
      <c r="E256" s="2" t="inlineStr">
        <is>
          <t>Andalucía</t>
        </is>
      </c>
      <c r="F256" s="2" t="inlineStr">
        <is>
          <t>Sevilla</t>
        </is>
      </c>
      <c r="G256" s="2" t="n"/>
      <c r="H256" s="2" t="inlineStr">
        <is>
          <t>Alcaldia del Ayuntamiento de Arahal</t>
        </is>
      </c>
      <c r="I256" s="2" t="inlineStr">
        <is>
          <t>Ejecución de obras de Reformado conservación, reparación y refuerzo de estructura de madera de cubierta sobre aulas 4A, 4B y 4C en CEIP San Roque de Arahal. Este proyecto está financiado por la Administración General del Estado, a través del Ministerio de Política Territorial y Memoria Democrática, con una aportación de 147.707,48 €.</t>
        </is>
      </c>
      <c r="J256" s="2" t="inlineStr">
        <is>
          <t>6283/2026</t>
        </is>
      </c>
      <c r="K256" s="2" t="inlineStr">
        <is>
          <t>Negociado sin publicidad</t>
        </is>
      </c>
      <c r="L256" s="6" t="n">
        <v>2</v>
      </c>
      <c r="M256" s="2" t="n"/>
      <c r="N256" s="7" t="n">
        <v>0</v>
      </c>
      <c r="O256" s="4" t="n"/>
      <c r="P256" s="2" t="inlineStr">
        <is>
          <t>45261000</t>
        </is>
      </c>
      <c r="Q256" s="8" t="inlineStr">
        <is>
          <t>Ver</t>
        </is>
      </c>
      <c r="R256" s="8" t="inlineStr">
        <is>
          <t>PCAP</t>
        </is>
      </c>
      <c r="S256" s="9" t="n">
        <v>46323</v>
      </c>
      <c r="T256" s="3" t="n">
        <v>46322.52568287037</v>
      </c>
      <c r="U256" s="2" t="n"/>
    </row>
    <row r="257">
      <c r="A257" s="2" t="inlineStr">
        <is>
          <t>Resuelta</t>
        </is>
      </c>
      <c r="B257" s="3" t="n">
        <v>46317.99930555555</v>
      </c>
      <c r="C257" s="5" t="n">
        <v>76887.91</v>
      </c>
      <c r="D257" s="5" t="n">
        <v>76887.91</v>
      </c>
      <c r="E257" s="2" t="inlineStr">
        <is>
          <t>Andalucía</t>
        </is>
      </c>
      <c r="F257" s="2" t="inlineStr">
        <is>
          <t>Córdoba</t>
        </is>
      </c>
      <c r="G257" s="2" t="inlineStr">
        <is>
          <t>El Carpio (Córdoba)</t>
        </is>
      </c>
      <c r="H257" s="2" t="inlineStr">
        <is>
          <t>Alcaldía del Ayuntamiento de El Carpio</t>
        </is>
      </c>
      <c r="I257" s="2" t="inlineStr">
        <is>
          <t>Actuación en sistema local de equipamiento para explanación de terrenos para estacionamiento de vehículos en Calle Sevilla de El Carpio (Córdoba)</t>
        </is>
      </c>
      <c r="J257" s="2" t="inlineStr">
        <is>
          <t>3477/2026</t>
        </is>
      </c>
      <c r="K257" s="2" t="inlineStr">
        <is>
          <t>Abierto simplificado</t>
        </is>
      </c>
      <c r="L257" s="6" t="n">
        <v>2</v>
      </c>
      <c r="M257" s="2" t="n"/>
      <c r="N257" s="7" t="n">
        <v>0</v>
      </c>
      <c r="O257" s="4" t="n"/>
      <c r="P257" s="2" t="inlineStr">
        <is>
          <t>45000000</t>
        </is>
      </c>
      <c r="Q257" s="8" t="inlineStr">
        <is>
          <t>Ver</t>
        </is>
      </c>
      <c r="R257" s="8" t="inlineStr">
        <is>
          <t>PCAP</t>
        </is>
      </c>
      <c r="S257" s="9" t="n">
        <v>46310</v>
      </c>
      <c r="T257" s="3" t="n">
        <v>46322.52511574074</v>
      </c>
      <c r="U257" s="2" t="inlineStr">
        <is>
          <t>2026-10-28: estado PUB → RES</t>
        </is>
      </c>
    </row>
    <row r="258">
      <c r="A258" s="2" t="inlineStr">
        <is>
          <t>En plazo</t>
        </is>
      </c>
      <c r="B258" s="3" t="n">
        <v>46342.99930555555</v>
      </c>
      <c r="C258" s="5" t="n">
        <v>170507.4</v>
      </c>
      <c r="D258" s="5" t="n">
        <v>170507.4</v>
      </c>
      <c r="E258" s="2" t="inlineStr">
        <is>
          <t>Andalucía</t>
        </is>
      </c>
      <c r="F258" s="2" t="inlineStr">
        <is>
          <t>Sevilla</t>
        </is>
      </c>
      <c r="G258" s="2" t="n"/>
      <c r="H258" s="2" t="inlineStr">
        <is>
          <t>Alcaldía del Ayuntamiento de Castilleja de la Cuesta</t>
        </is>
      </c>
      <c r="I258" s="2" t="inlineStr">
        <is>
          <t>Obras de Reasfaltado y Señalizacion Horizontal</t>
        </is>
      </c>
      <c r="J258" s="2" t="inlineStr">
        <is>
          <t>P4102900J-2026/000107-PAAS</t>
        </is>
      </c>
      <c r="K258" s="2" t="inlineStr">
        <is>
          <t>Abierto simplificado</t>
        </is>
      </c>
      <c r="L258" s="6" t="n">
        <v>2</v>
      </c>
      <c r="M258" s="2" t="n"/>
      <c r="N258" s="7" t="n">
        <v>0.25</v>
      </c>
      <c r="O258" s="4" t="n"/>
      <c r="P258" s="2" t="inlineStr">
        <is>
          <t>45233140</t>
        </is>
      </c>
      <c r="Q258" s="8" t="inlineStr">
        <is>
          <t>Ver</t>
        </is>
      </c>
      <c r="R258" s="8" t="inlineStr">
        <is>
          <t>PCAP</t>
        </is>
      </c>
      <c r="S258" s="9" t="n">
        <v>46323</v>
      </c>
      <c r="T258" s="3" t="n">
        <v>46322.52284722222</v>
      </c>
      <c r="U258" s="2" t="n"/>
    </row>
    <row r="259">
      <c r="A259" s="2" t="inlineStr">
        <is>
          <t>Pendiente de adjudicación</t>
        </is>
      </c>
      <c r="B259" s="3" t="n">
        <v>46316.99930555555</v>
      </c>
      <c r="C259" s="5" t="n">
        <v>226047.87</v>
      </c>
      <c r="D259" s="5" t="n">
        <v>226047.87</v>
      </c>
      <c r="E259" s="2" t="inlineStr">
        <is>
          <t>Comunitat Valenciana</t>
        </is>
      </c>
      <c r="F259" s="2" t="inlineStr">
        <is>
          <t>Valencia</t>
        </is>
      </c>
      <c r="G259" s="2" t="inlineStr">
        <is>
          <t>Benifaió</t>
        </is>
      </c>
      <c r="H259" s="2" t="inlineStr">
        <is>
          <t>Alcaldía del ayuntamiento de Benifaió</t>
        </is>
      </c>
      <c r="I259" s="2" t="inlineStr">
        <is>
          <t>Obras de reasfaltados varios en la población de Benifaió.</t>
        </is>
      </c>
      <c r="J259" s="2" t="inlineStr">
        <is>
          <t>3706/2026</t>
        </is>
      </c>
      <c r="K259" s="2" t="inlineStr">
        <is>
          <t>Abierto simplificado</t>
        </is>
      </c>
      <c r="L259" s="6" t="n">
        <v>1</v>
      </c>
      <c r="M259" s="2" t="n"/>
      <c r="N259" s="7" t="n">
        <v>0</v>
      </c>
      <c r="O259" s="4" t="n"/>
      <c r="P259" s="2" t="inlineStr">
        <is>
          <t>45233200; 45233222; 45233221; 45233223</t>
        </is>
      </c>
      <c r="Q259" s="8" t="inlineStr">
        <is>
          <t>Ver</t>
        </is>
      </c>
      <c r="R259" s="8" t="inlineStr">
        <is>
          <t>PCAP</t>
        </is>
      </c>
      <c r="S259" s="9" t="n">
        <v>46323</v>
      </c>
      <c r="T259" s="3" t="n">
        <v>46322.5222337963</v>
      </c>
      <c r="U259" s="2" t="n"/>
    </row>
    <row r="260">
      <c r="A260" s="2" t="inlineStr">
        <is>
          <t>Pendiente de adjudicación</t>
        </is>
      </c>
      <c r="B260" s="3" t="n">
        <v>46286.54166666666</v>
      </c>
      <c r="C260" s="5" t="n">
        <v>677038.98</v>
      </c>
      <c r="D260" s="5" t="n">
        <v>744742.88</v>
      </c>
      <c r="E260" s="2" t="inlineStr">
        <is>
          <t>Comunitat Valenciana</t>
        </is>
      </c>
      <c r="F260" s="2" t="inlineStr">
        <is>
          <t>Valencia</t>
        </is>
      </c>
      <c r="G260" s="2" t="n"/>
      <c r="H260" s="2" t="inlineStr">
        <is>
          <t>Presidencia de la Diputación Provincial de Valencia</t>
        </is>
      </c>
      <c r="I260" s="2" t="inlineStr">
        <is>
          <t>S-510CIT/O. Acondicionamiento y mejora del Camí Vell de Terol</t>
        </is>
      </c>
      <c r="J260" s="2" t="inlineStr">
        <is>
          <t>3666/25/CAR</t>
        </is>
      </c>
      <c r="K260" s="2" t="inlineStr">
        <is>
          <t>Abierto</t>
        </is>
      </c>
      <c r="L260" s="6" t="n">
        <v>5</v>
      </c>
      <c r="M260" s="2" t="inlineStr">
        <is>
          <t>G4-3</t>
        </is>
      </c>
      <c r="N260" s="7" t="n">
        <v>0.35</v>
      </c>
      <c r="O260" s="4" t="n"/>
      <c r="P260" s="2" t="inlineStr">
        <is>
          <t>45233120</t>
        </is>
      </c>
      <c r="Q260" s="8" t="inlineStr">
        <is>
          <t>Ver</t>
        </is>
      </c>
      <c r="R260" s="8" t="inlineStr">
        <is>
          <t>PCAP</t>
        </is>
      </c>
      <c r="S260" s="9" t="n">
        <v>46314</v>
      </c>
      <c r="T260" s="3" t="n">
        <v>46322.52071759259</v>
      </c>
      <c r="U260" s="2" t="n"/>
    </row>
    <row r="261">
      <c r="A261" s="2" t="inlineStr">
        <is>
          <t>En plazo</t>
        </is>
      </c>
      <c r="B261" s="3" t="n">
        <v>46331.99930555555</v>
      </c>
      <c r="C261" s="5" t="n">
        <v>75415.06</v>
      </c>
      <c r="D261" s="5" t="n">
        <v>75415.06</v>
      </c>
      <c r="E261" s="2" t="inlineStr">
        <is>
          <t>Andalucía</t>
        </is>
      </c>
      <c r="F261" s="2" t="inlineStr">
        <is>
          <t>Córdoba</t>
        </is>
      </c>
      <c r="G261" s="2" t="inlineStr">
        <is>
          <t>CÓRDOBA</t>
        </is>
      </c>
      <c r="H261" s="2" t="inlineStr">
        <is>
          <t>Presidencia del Consejo Rector de la Gerencia Municipal de Urbanismo del Ayuntamiento de Córdoba</t>
        </is>
      </c>
      <c r="I261" s="2" t="inlineStr">
        <is>
          <t>Constituye el objeto del contrato la ejecución de la obras contenidas en el Proyecto de actividad arqueológica preventiva excavación arqueológica y análisis de estructuras emergentes en calle Amador de los Ríos s/n (Jardín del Obispo), Córdoba.</t>
        </is>
      </c>
      <c r="J261" s="2" t="inlineStr">
        <is>
          <t>33/2026</t>
        </is>
      </c>
      <c r="K261" s="2" t="inlineStr">
        <is>
          <t>Abierto simplificado</t>
        </is>
      </c>
      <c r="L261" s="6" t="n">
        <v>3</v>
      </c>
      <c r="M261" s="2" t="n"/>
      <c r="N261" s="7" t="n">
        <v>0</v>
      </c>
      <c r="O261" s="4" t="n"/>
      <c r="P261" s="2" t="inlineStr">
        <is>
          <t>45112200</t>
        </is>
      </c>
      <c r="Q261" s="8" t="inlineStr">
        <is>
          <t>Ver</t>
        </is>
      </c>
      <c r="R261" s="8" t="inlineStr">
        <is>
          <t>PCAP</t>
        </is>
      </c>
      <c r="S261" s="9" t="n">
        <v>46317</v>
      </c>
      <c r="T261" s="3" t="n">
        <v>46322.51981481481</v>
      </c>
      <c r="U261" s="2" t="n"/>
    </row>
    <row r="262">
      <c r="A262" s="2" t="inlineStr">
        <is>
          <t>En plazo</t>
        </is>
      </c>
      <c r="B262" s="3" t="n">
        <v>46349.99930555555</v>
      </c>
      <c r="C262" s="5" t="n">
        <v>438484.83</v>
      </c>
      <c r="D262" s="5" t="n">
        <v>438484.83</v>
      </c>
      <c r="E262" s="2" t="inlineStr">
        <is>
          <t>Andalucía</t>
        </is>
      </c>
      <c r="F262" s="2" t="inlineStr">
        <is>
          <t>Córdoba</t>
        </is>
      </c>
      <c r="G262" s="2" t="n"/>
      <c r="H262" s="2" t="inlineStr">
        <is>
          <t>Junta de Gobierno del Ayuntamiento de Córdoba</t>
        </is>
      </c>
      <c r="I262" s="2" t="inlineStr">
        <is>
          <t>Obras para la creación de itinerarios accesibles en la avenida República Argentina, avenida del Aeropuerto y el Tablero.</t>
        </is>
      </c>
      <c r="J262" s="2" t="inlineStr">
        <is>
          <t>2026/108</t>
        </is>
      </c>
      <c r="K262" s="2" t="inlineStr">
        <is>
          <t>Abierto</t>
        </is>
      </c>
      <c r="L262" s="6" t="n">
        <v>4</v>
      </c>
      <c r="M262" s="2" t="n"/>
      <c r="N262" s="7" t="n">
        <v>0</v>
      </c>
      <c r="O262" s="4" t="n">
        <v>3</v>
      </c>
      <c r="P262" s="2" t="inlineStr">
        <is>
          <t>45100000; 45233251; 45233260; 45233270; 45233142; 45233290; 45111100; 45233330; 45233200; 45262520; 44811000; 45233280; 45233340</t>
        </is>
      </c>
      <c r="Q262" s="8" t="inlineStr">
        <is>
          <t>Ver</t>
        </is>
      </c>
      <c r="R262" s="8" t="inlineStr">
        <is>
          <t>PCAP</t>
        </is>
      </c>
      <c r="S262" s="9" t="n">
        <v>46322</v>
      </c>
      <c r="T262" s="3" t="n">
        <v>46322.51783564815</v>
      </c>
      <c r="U262" s="2" t="n"/>
    </row>
    <row r="263">
      <c r="A263" s="2" t="inlineStr">
        <is>
          <t>Resuelta</t>
        </is>
      </c>
      <c r="B263" s="3" t="n"/>
      <c r="C263" s="5" t="n">
        <v>5677554.64</v>
      </c>
      <c r="D263" s="5" t="n">
        <v>5677554.64</v>
      </c>
      <c r="E263" s="2" t="inlineStr">
        <is>
          <t>Andalucía</t>
        </is>
      </c>
      <c r="F263" s="2" t="inlineStr">
        <is>
          <t>Sevilla</t>
        </is>
      </c>
      <c r="G263" s="2" t="n"/>
      <c r="H263" s="2" t="inlineStr">
        <is>
          <t>Secretaría de Estado de Planificación e Infraestructuras - Demarcación de Carreteras del Estado en Andalucía Occidental</t>
        </is>
      </c>
      <c r="I263" s="2" t="inlineStr">
        <is>
          <t>Reparación de deterioros en el firme de la red de carreteras del estado en la provincia de Sevilla tras los intensos episodios de lluvias asociados a las borrascas de los meses de enero y febrero de 2026 subsanando la situación de grave peligro</t>
        </is>
      </c>
      <c r="J263" s="2" t="inlineStr">
        <is>
          <t>EM72SE260001-C4126SE41001</t>
        </is>
      </c>
      <c r="K263" s="2" t="inlineStr">
        <is>
          <t>Negociado sin publicidad</t>
        </is>
      </c>
      <c r="L263" s="6" t="n">
        <v>4</v>
      </c>
      <c r="M263" s="2" t="n"/>
      <c r="N263" s="7" t="n"/>
      <c r="O263" s="4" t="n">
        <v>3</v>
      </c>
      <c r="P263" s="2" t="inlineStr">
        <is>
          <t>45233142; 45233000; 45233140</t>
        </is>
      </c>
      <c r="Q263" s="8" t="inlineStr">
        <is>
          <t>Ver</t>
        </is>
      </c>
      <c r="R263" s="2" t="n"/>
      <c r="S263" s="9" t="n">
        <v>46323</v>
      </c>
      <c r="T263" s="3" t="n">
        <v>46322.51460648148</v>
      </c>
      <c r="U263" s="2" t="n"/>
    </row>
    <row r="264">
      <c r="A264" s="2" t="inlineStr">
        <is>
          <t>Pendiente de adjudicación</t>
        </is>
      </c>
      <c r="B264" s="3" t="n">
        <v>46315.54166666666</v>
      </c>
      <c r="C264" s="5" t="n">
        <v>2932498.2</v>
      </c>
      <c r="D264" s="5" t="n">
        <v>3225748.02</v>
      </c>
      <c r="E264" s="2" t="inlineStr">
        <is>
          <t>Comunitat Valenciana</t>
        </is>
      </c>
      <c r="F264" s="2" t="inlineStr">
        <is>
          <t>Valencia</t>
        </is>
      </c>
      <c r="G264" s="2" t="n"/>
      <c r="H264" s="2" t="inlineStr">
        <is>
          <t>Presidencia de la Diputación Provincial de Valencia</t>
        </is>
      </c>
      <c r="I264" s="2" t="inlineStr">
        <is>
          <t>R-155CIT/O. Obras para la recuperación de la carretera histórica del Puerto de Contreras.</t>
        </is>
      </c>
      <c r="J264" s="2" t="inlineStr">
        <is>
          <t>1212/26/CAR</t>
        </is>
      </c>
      <c r="K264" s="2" t="inlineStr">
        <is>
          <t>Abierto</t>
        </is>
      </c>
      <c r="L264" s="6" t="n">
        <v>18</v>
      </c>
      <c r="M264" s="2" t="inlineStr">
        <is>
          <t>G4-4; C2-2</t>
        </is>
      </c>
      <c r="N264" s="7" t="n">
        <v>0.47</v>
      </c>
      <c r="O264" s="4" t="n"/>
      <c r="P264" s="2" t="inlineStr">
        <is>
          <t>45233140; 45221119; 45454100</t>
        </is>
      </c>
      <c r="Q264" s="8" t="inlineStr">
        <is>
          <t>Ver</t>
        </is>
      </c>
      <c r="R264" s="8" t="inlineStr">
        <is>
          <t>PCAP</t>
        </is>
      </c>
      <c r="S264" s="9" t="n">
        <v>46323</v>
      </c>
      <c r="T264" s="3" t="n">
        <v>46322.51047453703</v>
      </c>
      <c r="U264" s="2" t="n"/>
    </row>
    <row r="265">
      <c r="A265" s="2" t="inlineStr">
        <is>
          <t>Pendiente de adjudicación</t>
        </is>
      </c>
      <c r="B265" s="3" t="n">
        <v>46224.99930555555</v>
      </c>
      <c r="C265" s="5" t="n">
        <v>134581.21</v>
      </c>
      <c r="D265" s="5" t="n">
        <v>134581.21</v>
      </c>
      <c r="E265" s="2" t="inlineStr">
        <is>
          <t>Andalucía</t>
        </is>
      </c>
      <c r="F265" s="2" t="inlineStr">
        <is>
          <t>Huelva</t>
        </is>
      </c>
      <c r="G265" s="2" t="n"/>
      <c r="H265" s="2" t="inlineStr">
        <is>
          <t>Rectorado de la Universidad de Huelva</t>
        </is>
      </c>
      <c r="I265" s="2" t="inlineStr">
        <is>
          <t>Obras de impermeabilización de la cubierta del Pabellón Príncipe de Asturias de la Universidad de Huelva.</t>
        </is>
      </c>
      <c r="J265" s="2" t="inlineStr">
        <is>
          <t>O-10-26</t>
        </is>
      </c>
      <c r="K265" s="2" t="inlineStr">
        <is>
          <t>Abierto simplificado</t>
        </is>
      </c>
      <c r="L265" s="6" t="n">
        <v>2</v>
      </c>
      <c r="M265" s="2" t="n"/>
      <c r="N265" s="7" t="n">
        <v>0.25</v>
      </c>
      <c r="O265" s="4" t="n"/>
      <c r="P265" s="2" t="inlineStr">
        <is>
          <t>45261220</t>
        </is>
      </c>
      <c r="Q265" s="8" t="inlineStr">
        <is>
          <t>Ver</t>
        </is>
      </c>
      <c r="R265" s="8" t="inlineStr">
        <is>
          <t>PCAP</t>
        </is>
      </c>
      <c r="S265" s="9" t="n">
        <v>46310</v>
      </c>
      <c r="T265" s="3" t="n">
        <v>46322.51023148148</v>
      </c>
      <c r="U265" s="2" t="n"/>
    </row>
    <row r="266">
      <c r="A266" s="2" t="inlineStr">
        <is>
          <t>Adjudicada</t>
        </is>
      </c>
      <c r="B266" s="3" t="n">
        <v>46237.99930555555</v>
      </c>
      <c r="C266" s="5" t="n">
        <v>429043.12</v>
      </c>
      <c r="D266" s="5" t="n">
        <v>429043.12</v>
      </c>
      <c r="E266" s="2" t="inlineStr">
        <is>
          <t>Andalucía</t>
        </is>
      </c>
      <c r="F266" s="2" t="inlineStr">
        <is>
          <t>Granada</t>
        </is>
      </c>
      <c r="G266" s="2" t="n"/>
      <c r="H266" s="2" t="inlineStr">
        <is>
          <t>Alcaldía del Ayuntamiento de Las Gabias</t>
        </is>
      </c>
      <c r="I266" s="2" t="inlineStr">
        <is>
          <t>Obras de mejora de espacios verdes Fase II. Parque del Sotillo.</t>
        </is>
      </c>
      <c r="J266" s="2" t="inlineStr">
        <is>
          <t>112/2026</t>
        </is>
      </c>
      <c r="K266" s="2" t="inlineStr">
        <is>
          <t>Abierto simplificado</t>
        </is>
      </c>
      <c r="L266" s="6" t="n">
        <v>6</v>
      </c>
      <c r="M266" s="2" t="n"/>
      <c r="N266" s="7" t="n">
        <v>0</v>
      </c>
      <c r="O266" s="4" t="n"/>
      <c r="P266" s="2" t="inlineStr">
        <is>
          <t>45233200; 37535210; 77311000; 77310000; 45316100</t>
        </is>
      </c>
      <c r="Q266" s="8" t="inlineStr">
        <is>
          <t>Ver</t>
        </is>
      </c>
      <c r="R266" s="8" t="inlineStr">
        <is>
          <t>PCAP</t>
        </is>
      </c>
      <c r="S266" s="9" t="n">
        <v>46323</v>
      </c>
      <c r="T266" s="3" t="n">
        <v>46322.50577546296</v>
      </c>
      <c r="U266" s="2" t="n"/>
    </row>
    <row r="267">
      <c r="A267" s="2" t="inlineStr">
        <is>
          <t>Resuelta</t>
        </is>
      </c>
      <c r="B267" s="3" t="n">
        <v>46195.95833333334</v>
      </c>
      <c r="C267" s="5" t="n">
        <v>7795.32</v>
      </c>
      <c r="D267" s="5" t="n">
        <v>7795.32</v>
      </c>
      <c r="E267" s="2" t="inlineStr">
        <is>
          <t>Comunitat Valenciana</t>
        </is>
      </c>
      <c r="F267" s="2" t="inlineStr">
        <is>
          <t>Valencia</t>
        </is>
      </c>
      <c r="G267" s="2" t="n"/>
      <c r="H267" s="2" t="inlineStr">
        <is>
          <t>Dirección General de la Societat Valenciana FIRA València S.A.</t>
        </is>
      </c>
      <c r="I267" s="2" t="inlineStr">
        <is>
          <t>El suministro, montaje, mantenimiento durante el certamen y desmontaje de stands modulares de carpintería correspondientes al tipo 9CA, para el certamen "Energy Global Expo &amp; Congress 2026</t>
        </is>
      </c>
      <c r="J267" s="2" t="inlineStr">
        <is>
          <t>AMARCO/2026/FIRAV/0023/L02/0013</t>
        </is>
      </c>
      <c r="K267" s="2" t="inlineStr">
        <is>
          <t>Abierto</t>
        </is>
      </c>
      <c r="L267" s="6" t="n"/>
      <c r="M267" s="2" t="n"/>
      <c r="N267" s="7" t="n">
        <v>0</v>
      </c>
      <c r="O267" s="4" t="n"/>
      <c r="P267" s="2" t="inlineStr">
        <is>
          <t>45223800; 39154100</t>
        </is>
      </c>
      <c r="Q267" s="8" t="inlineStr">
        <is>
          <t>Ver</t>
        </is>
      </c>
      <c r="R267" s="2" t="n"/>
      <c r="S267" s="9" t="n">
        <v>46323</v>
      </c>
      <c r="T267" s="3" t="n">
        <v>46322.50510416667</v>
      </c>
      <c r="U267" s="2" t="n"/>
    </row>
    <row r="268">
      <c r="A268" s="2" t="inlineStr">
        <is>
          <t>Adjudicada</t>
        </is>
      </c>
      <c r="B268" s="3" t="n">
        <v>46190.58333333334</v>
      </c>
      <c r="C268" s="5" t="n">
        <v>1322002.59</v>
      </c>
      <c r="D268" s="5" t="n">
        <v>1322002.59</v>
      </c>
      <c r="E268" s="2" t="inlineStr">
        <is>
          <t>Andalucía</t>
        </is>
      </c>
      <c r="F268" s="2" t="inlineStr">
        <is>
          <t>Cádiz</t>
        </is>
      </c>
      <c r="G268" s="2" t="n"/>
      <c r="H268" s="2" t="inlineStr">
        <is>
          <t>Alcaldía del Ayuntamiento de la Línea de la Concepción</t>
        </is>
      </c>
      <c r="I268" s="2" t="inlineStr">
        <is>
          <t>Obra de mejora de infraestructuras eléctricas en instalaciones de alumbrado público en La Línea de la Concepción</t>
        </is>
      </c>
      <c r="J268" s="2" t="inlineStr">
        <is>
          <t>41/26</t>
        </is>
      </c>
      <c r="K268" s="2" t="inlineStr">
        <is>
          <t>Abierto simplificado</t>
        </is>
      </c>
      <c r="L268" s="6" t="n">
        <v>9.800000000000001</v>
      </c>
      <c r="M268" s="2" t="inlineStr">
        <is>
          <t>I*-4</t>
        </is>
      </c>
      <c r="N268" s="7" t="n">
        <v>0.25</v>
      </c>
      <c r="O268" s="4" t="n"/>
      <c r="P268" s="2" t="inlineStr">
        <is>
          <t>45316000; 45310000; 45316100; 45316200; 45300000; 45000000</t>
        </is>
      </c>
      <c r="Q268" s="8" t="inlineStr">
        <is>
          <t>Ver</t>
        </is>
      </c>
      <c r="R268" s="8" t="inlineStr">
        <is>
          <t>PCAP</t>
        </is>
      </c>
      <c r="S268" s="9" t="n">
        <v>46323</v>
      </c>
      <c r="T268" s="3" t="n">
        <v>46322.50399305556</v>
      </c>
      <c r="U268" s="2" t="n"/>
    </row>
    <row r="269">
      <c r="A269" s="2" t="inlineStr">
        <is>
          <t>Resuelta</t>
        </is>
      </c>
      <c r="B269" s="3" t="n">
        <v>46209.99930555555</v>
      </c>
      <c r="C269" s="5" t="n">
        <v>160170.87</v>
      </c>
      <c r="D269" s="5" t="n">
        <v>160170.87</v>
      </c>
      <c r="E269" s="2" t="inlineStr">
        <is>
          <t>Comunitat Valenciana</t>
        </is>
      </c>
      <c r="F269" s="2" t="inlineStr">
        <is>
          <t>Valencia</t>
        </is>
      </c>
      <c r="G269" s="2" t="inlineStr">
        <is>
          <t>Utiel</t>
        </is>
      </c>
      <c r="H269" s="2" t="inlineStr">
        <is>
          <t>Alcaldía del Ayuntamiento de Utiel</t>
        </is>
      </c>
      <c r="I269" s="2" t="inlineStr">
        <is>
          <t>Reforma de las bodegas subterráneas ubicadas en Plaza de la Puerta del Sol de Utiel, financiada por la Administración General del Estado, a través del Ministerio de Política Territorial y Memoria Democrática.</t>
        </is>
      </c>
      <c r="J269" s="2" t="inlineStr">
        <is>
          <t>1627/2026</t>
        </is>
      </c>
      <c r="K269" s="2" t="inlineStr">
        <is>
          <t>Abierto simplificado</t>
        </is>
      </c>
      <c r="L269" s="6" t="n">
        <v>4</v>
      </c>
      <c r="M269" s="2" t="n"/>
      <c r="N269" s="7" t="n">
        <v>0</v>
      </c>
      <c r="O269" s="4" t="n"/>
      <c r="P269" s="2" t="inlineStr">
        <is>
          <t>45454100</t>
        </is>
      </c>
      <c r="Q269" s="8" t="inlineStr">
        <is>
          <t>Ver</t>
        </is>
      </c>
      <c r="R269" s="8" t="inlineStr">
        <is>
          <t>PCAP</t>
        </is>
      </c>
      <c r="S269" s="9" t="n">
        <v>46323</v>
      </c>
      <c r="T269" s="3" t="n">
        <v>46322.5027662037</v>
      </c>
      <c r="U269" s="2" t="n"/>
    </row>
    <row r="270">
      <c r="A270" s="2" t="inlineStr">
        <is>
          <t>En plazo</t>
        </is>
      </c>
      <c r="B270" s="3" t="n">
        <v>46349.72916666666</v>
      </c>
      <c r="C270" s="5" t="n">
        <v>1430056.88</v>
      </c>
      <c r="D270" s="5" t="n">
        <v>4290170.64</v>
      </c>
      <c r="E270" s="2" t="inlineStr">
        <is>
          <t>Andalucía</t>
        </is>
      </c>
      <c r="F270" s="2" t="inlineStr">
        <is>
          <t>Granada</t>
        </is>
      </c>
      <c r="G270" s="2" t="n"/>
      <c r="H270" s="2" t="inlineStr">
        <is>
          <t>Junta de Gobierno del Ayuntamiento de Granada</t>
        </is>
      </c>
      <c r="I270" s="2" t="inlineStr">
        <is>
          <t>Contrato de obras para la ejecución material de aquellas actuaciones que deban ser realizadas en régimen de ejecución subsidiaria o actuación urgente por el Ayuntamiento de Granada</t>
        </is>
      </c>
      <c r="J270" s="2" t="inlineStr">
        <is>
          <t>OBR-2026000117</t>
        </is>
      </c>
      <c r="K270" s="2" t="inlineStr">
        <is>
          <t>Abierto</t>
        </is>
      </c>
      <c r="L270" s="6" t="n">
        <v>60</v>
      </c>
      <c r="M270" s="2" t="n"/>
      <c r="N270" s="7" t="n">
        <v>0.4</v>
      </c>
      <c r="O270" s="4" t="n"/>
      <c r="P270" s="2" t="inlineStr">
        <is>
          <t>45000000; 45111100; 45262100</t>
        </is>
      </c>
      <c r="Q270" s="8" t="inlineStr">
        <is>
          <t>Ver</t>
        </is>
      </c>
      <c r="R270" s="8" t="inlineStr">
        <is>
          <t>PCAP</t>
        </is>
      </c>
      <c r="S270" s="9" t="n">
        <v>46323</v>
      </c>
      <c r="T270" s="3" t="n">
        <v>46322.500625</v>
      </c>
      <c r="U270" s="2" t="n"/>
    </row>
    <row r="271">
      <c r="A271" s="2" t="inlineStr">
        <is>
          <t>Adjudicada</t>
        </is>
      </c>
      <c r="B271" s="3" t="n">
        <v>46286.99930555555</v>
      </c>
      <c r="C271" s="5" t="n">
        <v>66115.7</v>
      </c>
      <c r="D271" s="5" t="n">
        <v>66115.7</v>
      </c>
      <c r="E271" s="2" t="inlineStr">
        <is>
          <t>Andalucía</t>
        </is>
      </c>
      <c r="F271" s="2" t="inlineStr">
        <is>
          <t>Almería</t>
        </is>
      </c>
      <c r="G271" s="2" t="n"/>
      <c r="H271" s="2" t="inlineStr">
        <is>
          <t>Junta de Gobierno de la Diputación Provincial de Almería</t>
        </is>
      </c>
      <c r="I271" s="2" t="inlineStr">
        <is>
          <t>Caminos Municipales, Entidad Local Autónoma De Fuente Victoria 33PCAM24-27BII</t>
        </is>
      </c>
      <c r="J271" s="2" t="inlineStr">
        <is>
          <t>2025/D31000/006-013/00155</t>
        </is>
      </c>
      <c r="K271" s="2" t="inlineStr">
        <is>
          <t>Abierto simplificado</t>
        </is>
      </c>
      <c r="L271" s="6" t="n">
        <v>2</v>
      </c>
      <c r="M271" s="2" t="n"/>
      <c r="N271" s="7" t="n">
        <v>0.25</v>
      </c>
      <c r="O271" s="4" t="n"/>
      <c r="P271" s="2" t="inlineStr">
        <is>
          <t>45233222</t>
        </is>
      </c>
      <c r="Q271" s="8" t="inlineStr">
        <is>
          <t>Ver</t>
        </is>
      </c>
      <c r="R271" s="8" t="inlineStr">
        <is>
          <t>PCAP</t>
        </is>
      </c>
      <c r="S271" s="9" t="n">
        <v>46323</v>
      </c>
      <c r="T271" s="3" t="n">
        <v>46322.49799768518</v>
      </c>
      <c r="U271" s="2" t="n"/>
    </row>
    <row r="272">
      <c r="A272" s="2" t="inlineStr">
        <is>
          <t>Resuelta</t>
        </is>
      </c>
      <c r="B272" s="3" t="n">
        <v>46294.45833333334</v>
      </c>
      <c r="C272" s="5" t="n">
        <v>239173.67</v>
      </c>
      <c r="D272" s="5" t="n">
        <v>239173.67</v>
      </c>
      <c r="E272" s="2" t="inlineStr">
        <is>
          <t>Comunitat Valenciana</t>
        </is>
      </c>
      <c r="F272" s="2" t="inlineStr">
        <is>
          <t>Valencia</t>
        </is>
      </c>
      <c r="G272" s="2" t="inlineStr">
        <is>
          <t>Marines</t>
        </is>
      </c>
      <c r="H272" s="2" t="inlineStr">
        <is>
          <t>Jefatura de Intendencia de Asuntos Económicos Este</t>
        </is>
      </c>
      <c r="I272" s="2" t="inlineStr">
        <is>
          <t>Reasfaltado zona de comedor y calles anexas. USAC General Almirante. Marines. Valencia. (TC 314-24/25)</t>
        </is>
      </c>
      <c r="J272" s="2" t="inlineStr">
        <is>
          <t>2026/ETSAE0327/00006362E</t>
        </is>
      </c>
      <c r="K272" s="2" t="inlineStr">
        <is>
          <t>Abierto</t>
        </is>
      </c>
      <c r="L272" s="6" t="n">
        <v>2</v>
      </c>
      <c r="M272" s="2" t="n"/>
      <c r="N272" s="7" t="n">
        <v>0</v>
      </c>
      <c r="O272" s="4" t="n"/>
      <c r="P272" s="2" t="inlineStr">
        <is>
          <t>45233141</t>
        </is>
      </c>
      <c r="Q272" s="8" t="inlineStr">
        <is>
          <t>Ver</t>
        </is>
      </c>
      <c r="R272" s="8" t="inlineStr">
        <is>
          <t>PCAP</t>
        </is>
      </c>
      <c r="S272" s="9" t="n">
        <v>46323</v>
      </c>
      <c r="T272" s="3" t="n">
        <v>46322.4965625</v>
      </c>
      <c r="U272" s="2" t="n"/>
    </row>
    <row r="273">
      <c r="A273" s="2" t="inlineStr">
        <is>
          <t>Resuelta</t>
        </is>
      </c>
      <c r="B273" s="3" t="n">
        <v>46259.53472222222</v>
      </c>
      <c r="C273" s="5" t="n">
        <v>66229.19</v>
      </c>
      <c r="D273" s="5" t="n">
        <v>79475.03</v>
      </c>
      <c r="E273" s="2" t="inlineStr">
        <is>
          <t>Andalucía</t>
        </is>
      </c>
      <c r="F273" s="2" t="inlineStr">
        <is>
          <t>Cádiz</t>
        </is>
      </c>
      <c r="G273" s="2" t="inlineStr">
        <is>
          <t>Jerez de la Frontera</t>
        </is>
      </c>
      <c r="H273" s="2" t="inlineStr">
        <is>
          <t>Dirección Gerencia de la Mutua de Andalucía y Ceuta</t>
        </is>
      </c>
      <c r="I273" s="2" t="inlineStr">
        <is>
          <t>Obra ampliación del centro de Jerez de Mutua CESMA.</t>
        </is>
      </c>
      <c r="J273" s="2" t="inlineStr">
        <is>
          <t>CG-2026/5101/0138</t>
        </is>
      </c>
      <c r="K273" s="2" t="inlineStr">
        <is>
          <t>Abierto</t>
        </is>
      </c>
      <c r="L273" s="6" t="n">
        <v>4</v>
      </c>
      <c r="M273" s="2" t="n"/>
      <c r="N273" s="7" t="n">
        <v>0.5</v>
      </c>
      <c r="O273" s="4" t="n"/>
      <c r="P273" s="2" t="inlineStr">
        <is>
          <t>45453100</t>
        </is>
      </c>
      <c r="Q273" s="8" t="inlineStr">
        <is>
          <t>Ver</t>
        </is>
      </c>
      <c r="R273" s="8" t="inlineStr">
        <is>
          <t>PCAP</t>
        </is>
      </c>
      <c r="S273" s="9" t="n">
        <v>46323</v>
      </c>
      <c r="T273" s="3" t="n">
        <v>46322.49575231481</v>
      </c>
      <c r="U273" s="2" t="n"/>
    </row>
    <row r="274">
      <c r="A274" s="2" t="inlineStr">
        <is>
          <t>Adjudicada</t>
        </is>
      </c>
      <c r="B274" s="3" t="n">
        <v>46188.79166666666</v>
      </c>
      <c r="C274" s="5" t="n">
        <v>1391941.43</v>
      </c>
      <c r="D274" s="5" t="n">
        <v>1391941.43</v>
      </c>
      <c r="E274" s="2" t="inlineStr">
        <is>
          <t>Andalucía</t>
        </is>
      </c>
      <c r="F274" s="2" t="inlineStr">
        <is>
          <t>Málaga</t>
        </is>
      </c>
      <c r="G274" s="2" t="n"/>
      <c r="H274" s="2" t="inlineStr">
        <is>
          <t>Concejalía Delegada de Contratación del Ayuntamiento de Mijas</t>
        </is>
      </c>
      <c r="I274" s="2" t="inlineStr">
        <is>
          <t>Obras del "Proyecto de adaptación a normativa de proyecto de ejecución de glorieta en la barridas de Osunillas"</t>
        </is>
      </c>
      <c r="J274" s="2" t="inlineStr">
        <is>
          <t>24709/2026</t>
        </is>
      </c>
      <c r="K274" s="2" t="inlineStr">
        <is>
          <t>Abierto simplificado</t>
        </is>
      </c>
      <c r="L274" s="6" t="n">
        <v>6</v>
      </c>
      <c r="M274" s="2" t="n"/>
      <c r="N274" s="7" t="n">
        <v>0.3</v>
      </c>
      <c r="O274" s="4" t="n"/>
      <c r="P274" s="2" t="inlineStr">
        <is>
          <t>45233140</t>
        </is>
      </c>
      <c r="Q274" s="8" t="inlineStr">
        <is>
          <t>Ver</t>
        </is>
      </c>
      <c r="R274" s="8" t="inlineStr">
        <is>
          <t>PCAP</t>
        </is>
      </c>
      <c r="S274" s="9" t="n">
        <v>46323</v>
      </c>
      <c r="T274" s="3" t="n">
        <v>46322.49396990741</v>
      </c>
      <c r="U274" s="2" t="n"/>
    </row>
    <row r="275">
      <c r="A275" s="2" t="inlineStr">
        <is>
          <t>Adjudicada</t>
        </is>
      </c>
      <c r="B275" s="3" t="n">
        <v>46286.58333333334</v>
      </c>
      <c r="C275" s="5" t="n">
        <v>6063226.06</v>
      </c>
      <c r="D275" s="5" t="n">
        <v>6063226.06</v>
      </c>
      <c r="E275" s="2" t="inlineStr">
        <is>
          <t>Andalucía</t>
        </is>
      </c>
      <c r="F275" s="2" t="inlineStr">
        <is>
          <t>Cádiz</t>
        </is>
      </c>
      <c r="G275" s="2" t="inlineStr">
        <is>
          <t>La Línea de La Concepción</t>
        </is>
      </c>
      <c r="H275" s="2" t="inlineStr">
        <is>
          <t>Alcaldía del Ayuntamiento de la Línea de la Concepción</t>
        </is>
      </c>
      <c r="I275" s="2" t="inlineStr">
        <is>
          <t>contrato de obra de rehabilitación del Complejo Educativo Ballesteros en La Línea (Cádiz) financiación europea PAI</t>
        </is>
      </c>
      <c r="J275" s="2" t="inlineStr">
        <is>
          <t>80/26</t>
        </is>
      </c>
      <c r="K275" s="2" t="inlineStr">
        <is>
          <t>Abierto</t>
        </is>
      </c>
      <c r="L275" s="6" t="n">
        <v>18</v>
      </c>
      <c r="M275" s="2" t="inlineStr">
        <is>
          <t>C*-4</t>
        </is>
      </c>
      <c r="N275" s="7" t="n">
        <v>0.25</v>
      </c>
      <c r="O275" s="4" t="n"/>
      <c r="P275" s="2" t="inlineStr">
        <is>
          <t>45400000; 45000000; 45100000</t>
        </is>
      </c>
      <c r="Q275" s="8" t="inlineStr">
        <is>
          <t>Ver</t>
        </is>
      </c>
      <c r="R275" s="8" t="inlineStr">
        <is>
          <t>PCAP</t>
        </is>
      </c>
      <c r="S275" s="9" t="n">
        <v>46323</v>
      </c>
      <c r="T275" s="3" t="n">
        <v>46322.49313657408</v>
      </c>
      <c r="U275" s="2" t="n"/>
    </row>
    <row r="276">
      <c r="A276" s="2" t="inlineStr">
        <is>
          <t>Resuelta</t>
        </is>
      </c>
      <c r="B276" s="3" t="n">
        <v>45978.91666666666</v>
      </c>
      <c r="C276" s="5" t="n">
        <v>413064.57</v>
      </c>
      <c r="D276" s="5" t="n">
        <v>413064.57</v>
      </c>
      <c r="E276" s="2" t="inlineStr">
        <is>
          <t>Andalucía</t>
        </is>
      </c>
      <c r="F276" s="2" t="inlineStr">
        <is>
          <t>Málaga</t>
        </is>
      </c>
      <c r="G276" s="2" t="inlineStr">
        <is>
          <t>Benahavis</t>
        </is>
      </c>
      <c r="H276" s="2" t="inlineStr">
        <is>
          <t>Junta de Gobierno Local del Ayuntamiento de Benahavís</t>
        </is>
      </c>
      <c r="I276" s="2" t="inlineStr">
        <is>
          <t>Construcción Parque Periurbano Los Aguilares</t>
        </is>
      </c>
      <c r="J276" s="2" t="inlineStr">
        <is>
          <t>3000/2025</t>
        </is>
      </c>
      <c r="K276" s="2" t="inlineStr">
        <is>
          <t>Abierto simplificado</t>
        </is>
      </c>
      <c r="L276" s="6" t="n">
        <v>6</v>
      </c>
      <c r="M276" s="2" t="n"/>
      <c r="N276" s="7" t="n">
        <v>0.25</v>
      </c>
      <c r="O276" s="4" t="n"/>
      <c r="P276" s="2" t="inlineStr">
        <is>
          <t>45112700; 45223300; 45240000; 45200000; 45223800; 45100000</t>
        </is>
      </c>
      <c r="Q276" s="8" t="inlineStr">
        <is>
          <t>Ver</t>
        </is>
      </c>
      <c r="R276" s="8" t="inlineStr">
        <is>
          <t>PCAP</t>
        </is>
      </c>
      <c r="S276" s="9" t="n">
        <v>46323</v>
      </c>
      <c r="T276" s="3" t="n">
        <v>46322.4924537037</v>
      </c>
      <c r="U276" s="2" t="n"/>
    </row>
    <row r="277">
      <c r="A277" s="2" t="inlineStr">
        <is>
          <t>Resuelta</t>
        </is>
      </c>
      <c r="B277" s="3" t="n">
        <v>46164.99930555555</v>
      </c>
      <c r="C277" s="5" t="n">
        <v>72103.23</v>
      </c>
      <c r="D277" s="5" t="n">
        <v>72103.23</v>
      </c>
      <c r="E277" s="2" t="inlineStr">
        <is>
          <t>Comunitat Valenciana</t>
        </is>
      </c>
      <c r="F277" s="2" t="inlineStr">
        <is>
          <t>Alicante</t>
        </is>
      </c>
      <c r="G277" s="2" t="n"/>
      <c r="H277" s="2" t="inlineStr">
        <is>
          <t>Presidencia de la Diputación Provincial de Alicante</t>
        </is>
      </c>
      <c r="I277" s="2" t="inlineStr">
        <is>
          <t>Obras de almacén municipal, en el municipio de Quatretondeta (2024.PLA.218).</t>
        </is>
      </c>
      <c r="J277" s="2" t="inlineStr">
        <is>
          <t>O6SS-055/2026</t>
        </is>
      </c>
      <c r="K277" s="2" t="inlineStr">
        <is>
          <t>Abierto simplificado</t>
        </is>
      </c>
      <c r="L277" s="6" t="n">
        <v>7</v>
      </c>
      <c r="M277" s="2" t="n"/>
      <c r="N277" s="7" t="n">
        <v>0</v>
      </c>
      <c r="O277" s="4" t="n"/>
      <c r="P277" s="2" t="inlineStr">
        <is>
          <t>45200000</t>
        </is>
      </c>
      <c r="Q277" s="8" t="inlineStr">
        <is>
          <t>Ver</t>
        </is>
      </c>
      <c r="R277" s="8" t="inlineStr">
        <is>
          <t>PCAP</t>
        </is>
      </c>
      <c r="S277" s="9" t="n">
        <v>46317</v>
      </c>
      <c r="T277" s="3" t="n">
        <v>46322.49216435185</v>
      </c>
      <c r="U277" s="2" t="inlineStr">
        <is>
          <t>2026-10-28: estado ADJ → RES</t>
        </is>
      </c>
    </row>
    <row r="278">
      <c r="A278" s="2" t="inlineStr">
        <is>
          <t>Resuelta</t>
        </is>
      </c>
      <c r="B278" s="3" t="n">
        <v>45986.41666666666</v>
      </c>
      <c r="C278" s="5" t="n">
        <v>110000</v>
      </c>
      <c r="D278" s="5" t="n">
        <v>110000</v>
      </c>
      <c r="E278" s="2" t="inlineStr">
        <is>
          <t>Andalucía</t>
        </is>
      </c>
      <c r="F278" s="2" t="inlineStr">
        <is>
          <t>Córdoba</t>
        </is>
      </c>
      <c r="G278" s="2" t="n"/>
      <c r="H278" s="2" t="inlineStr">
        <is>
          <t>Empresa de Transformación Agraria S.A.,S.M.E., M.P., (TRAGSA)</t>
        </is>
      </c>
      <c r="I278"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278" s="2" t="inlineStr">
        <is>
          <t>TSA0076623-181</t>
        </is>
      </c>
      <c r="K278" s="2" t="inlineStr">
        <is>
          <t>Abierto</t>
        </is>
      </c>
      <c r="L278" s="6" t="n"/>
      <c r="M278" s="2" t="n"/>
      <c r="N278" s="7" t="n">
        <v>0</v>
      </c>
      <c r="O278" s="4" t="n"/>
      <c r="P278" s="2" t="inlineStr">
        <is>
          <t>45500000</t>
        </is>
      </c>
      <c r="Q278" s="8" t="inlineStr">
        <is>
          <t>Ver</t>
        </is>
      </c>
      <c r="R278" s="8" t="inlineStr">
        <is>
          <t>PCAP</t>
        </is>
      </c>
      <c r="S278" s="9" t="n">
        <v>46323</v>
      </c>
      <c r="T278" s="3" t="n">
        <v>46322.48988425926</v>
      </c>
      <c r="U278" s="2" t="n"/>
    </row>
    <row r="279">
      <c r="A279" s="2" t="inlineStr">
        <is>
          <t>Adjudicada</t>
        </is>
      </c>
      <c r="B279" s="3" t="n">
        <v>46119.58333333334</v>
      </c>
      <c r="C279" s="5" t="n">
        <v>2988400</v>
      </c>
      <c r="D279" s="5" t="n">
        <v>2988400</v>
      </c>
      <c r="E279" s="2" t="inlineStr">
        <is>
          <t>Comunitat Valenciana</t>
        </is>
      </c>
      <c r="F279" s="2" t="inlineStr">
        <is>
          <t>Valencia</t>
        </is>
      </c>
      <c r="G279" s="2" t="n"/>
      <c r="H279" s="2" t="inlineStr">
        <is>
          <t>Empresa de Transformación Agraria S.A.,S.M.E., M.P., (TRAGSA)</t>
        </is>
      </c>
      <c r="I279" s="2" t="inlineStr">
        <is>
          <t>Alquiler de maquinaria con conductor en los municipios de Utiel y Requena, para el proyecto "DANA 24 - emergencia DANA 2024: actuaciones en parcelas".</t>
        </is>
      </c>
      <c r="J279" s="2" t="inlineStr">
        <is>
          <t>TSA0083005</t>
        </is>
      </c>
      <c r="K279" s="2" t="inlineStr">
        <is>
          <t>Abierto simplificado</t>
        </is>
      </c>
      <c r="L279" s="6" t="n">
        <v>5</v>
      </c>
      <c r="M279" s="2" t="n"/>
      <c r="N279" s="7" t="n">
        <v>0</v>
      </c>
      <c r="O279" s="4" t="n"/>
      <c r="P279" s="2" t="inlineStr">
        <is>
          <t>45520000</t>
        </is>
      </c>
      <c r="Q279" s="8" t="inlineStr">
        <is>
          <t>Ver</t>
        </is>
      </c>
      <c r="R279" s="8" t="inlineStr">
        <is>
          <t>PCAP</t>
        </is>
      </c>
      <c r="S279" s="9" t="n">
        <v>46314</v>
      </c>
      <c r="T279" s="3" t="n">
        <v>46322.48719907407</v>
      </c>
      <c r="U279" s="2" t="n"/>
    </row>
    <row r="280">
      <c r="A280" s="2" t="inlineStr">
        <is>
          <t>Pendiente de adjudicación</t>
        </is>
      </c>
      <c r="B280" s="3" t="n">
        <v>46318.99930555555</v>
      </c>
      <c r="C280" s="5" t="n">
        <v>954206.4300000001</v>
      </c>
      <c r="D280" s="5" t="n">
        <v>1049627.07</v>
      </c>
      <c r="E280" s="2" t="inlineStr">
        <is>
          <t>Comunitat Valenciana</t>
        </is>
      </c>
      <c r="F280" s="2" t="inlineStr">
        <is>
          <t>Alicante</t>
        </is>
      </c>
      <c r="G280" s="2" t="inlineStr">
        <is>
          <t>San Vicente del Raspeig (Alicante)</t>
        </is>
      </c>
      <c r="H280" s="2" t="inlineStr">
        <is>
          <t>Rectorado de la Universidad de Alicante</t>
        </is>
      </c>
      <c r="I280" s="2" t="inlineStr">
        <is>
          <t>Cuatro (4) obras de reformas de edificios y de instalaciones de la Universidad de Alicante.</t>
        </is>
      </c>
      <c r="J280" s="2" t="inlineStr">
        <is>
          <t>OB0022026</t>
        </is>
      </c>
      <c r="K280" s="2" t="inlineStr">
        <is>
          <t>Abierto</t>
        </is>
      </c>
      <c r="L280" s="6" t="n">
        <v>3</v>
      </c>
      <c r="M280" s="2" t="n"/>
      <c r="N280" s="7" t="n">
        <v>0.35</v>
      </c>
      <c r="O280" s="4" t="n">
        <v>4</v>
      </c>
      <c r="P280" s="2" t="inlineStr">
        <is>
          <t>45214400</t>
        </is>
      </c>
      <c r="Q280" s="8" t="inlineStr">
        <is>
          <t>Ver</t>
        </is>
      </c>
      <c r="R280" s="8" t="inlineStr">
        <is>
          <t>PCAP</t>
        </is>
      </c>
      <c r="S280" s="9" t="n">
        <v>46323</v>
      </c>
      <c r="T280" s="3" t="n">
        <v>46322.48409722222</v>
      </c>
      <c r="U280" s="2" t="n"/>
    </row>
    <row r="281">
      <c r="A281" s="2" t="inlineStr">
        <is>
          <t>Pendiente de adjudicación</t>
        </is>
      </c>
      <c r="B281" s="3" t="n">
        <v>46286.99930555555</v>
      </c>
      <c r="C281" s="5" t="n">
        <v>1593399.75</v>
      </c>
      <c r="D281" s="5" t="n">
        <v>1752739.73</v>
      </c>
      <c r="E281" s="2" t="inlineStr">
        <is>
          <t>Comunitat Valenciana</t>
        </is>
      </c>
      <c r="F281" s="2" t="inlineStr">
        <is>
          <t>Alicante</t>
        </is>
      </c>
      <c r="G281" s="2" t="inlineStr">
        <is>
          <t>San Vicente del Raspeig (Alicante)</t>
        </is>
      </c>
      <c r="H281" s="2" t="inlineStr">
        <is>
          <t>Rectorado de la Universidad de Alicante</t>
        </is>
      </c>
      <c r="I281" s="2" t="inlineStr">
        <is>
          <t>Cinco obras de instalaciones y reformas de edificios de la Universidad de Alicante (5 Lotes).</t>
        </is>
      </c>
      <c r="J281" s="2" t="inlineStr">
        <is>
          <t>OB0012026</t>
        </is>
      </c>
      <c r="K281" s="2" t="inlineStr">
        <is>
          <t>Abierto</t>
        </is>
      </c>
      <c r="L281" s="6" t="n">
        <v>7</v>
      </c>
      <c r="M281" s="2" t="n"/>
      <c r="N281" s="7" t="n">
        <v>0.35</v>
      </c>
      <c r="O281" s="4" t="n">
        <v>5</v>
      </c>
      <c r="P281" s="2" t="inlineStr">
        <is>
          <t>45214400</t>
        </is>
      </c>
      <c r="Q281" s="8" t="inlineStr">
        <is>
          <t>Ver</t>
        </is>
      </c>
      <c r="R281" s="8" t="inlineStr">
        <is>
          <t>PCAP</t>
        </is>
      </c>
      <c r="S281" s="9" t="n">
        <v>46323</v>
      </c>
      <c r="T281" s="3" t="n">
        <v>46322.48236111111</v>
      </c>
      <c r="U281" s="2" t="n"/>
    </row>
    <row r="282">
      <c r="A282" s="2" t="inlineStr">
        <is>
          <t>Resuelta</t>
        </is>
      </c>
      <c r="B282" s="3" t="n">
        <v>45876.99930555555</v>
      </c>
      <c r="C282" s="5" t="n">
        <v>792343.35</v>
      </c>
      <c r="D282" s="5" t="n">
        <v>792343.35</v>
      </c>
      <c r="E282" s="2" t="inlineStr">
        <is>
          <t>Comunitat Valenciana</t>
        </is>
      </c>
      <c r="F282" s="2" t="inlineStr">
        <is>
          <t>Alicante</t>
        </is>
      </c>
      <c r="G282" s="2" t="inlineStr">
        <is>
          <t>Alicante / Alacant</t>
        </is>
      </c>
      <c r="H282" s="2" t="inlineStr">
        <is>
          <t>Aena. Dirección del Aeropuerto de Alicante-Elche</t>
        </is>
      </c>
      <c r="I282" s="2" t="inlineStr">
        <is>
          <t>Cambio De Scada Pci.</t>
        </is>
      </c>
      <c r="J282" s="2" t="inlineStr">
        <is>
          <t>ALC-40/2025</t>
        </is>
      </c>
      <c r="K282" s="2" t="inlineStr">
        <is>
          <t>Normas internas</t>
        </is>
      </c>
      <c r="L282" s="6" t="n"/>
      <c r="M282" s="2" t="n"/>
      <c r="N282" s="7" t="n">
        <v>0</v>
      </c>
      <c r="O282" s="4" t="n"/>
      <c r="P282" s="2" t="inlineStr">
        <is>
          <t>45300000</t>
        </is>
      </c>
      <c r="Q282" s="8" t="inlineStr">
        <is>
          <t>Ver</t>
        </is>
      </c>
      <c r="R282" s="8" t="inlineStr">
        <is>
          <t>PCAP</t>
        </is>
      </c>
      <c r="S282" s="9" t="n">
        <v>46323</v>
      </c>
      <c r="T282" s="3" t="n">
        <v>46322.47658564815</v>
      </c>
      <c r="U282" s="2" t="n"/>
    </row>
    <row r="283">
      <c r="A283" s="2" t="inlineStr">
        <is>
          <t>Pendiente de adjudicación</t>
        </is>
      </c>
      <c r="B283" s="3" t="n">
        <v>46294.99930555555</v>
      </c>
      <c r="C283" s="5" t="n">
        <v>40662.08</v>
      </c>
      <c r="D283" s="5" t="n">
        <v>40662.08</v>
      </c>
      <c r="E283" s="2" t="inlineStr">
        <is>
          <t>Comunitat Valenciana</t>
        </is>
      </c>
      <c r="F283" s="2" t="inlineStr">
        <is>
          <t>Alicante</t>
        </is>
      </c>
      <c r="G283" s="2" t="n"/>
      <c r="H283" s="2" t="inlineStr">
        <is>
          <t>Teniente de Alcalde de Contratación Pública del Ayuntamiento de Elche</t>
        </is>
      </c>
      <c r="I283" s="2" t="inlineStr">
        <is>
          <t>Obras de vallado en el perímetro del edificio municipal sede del Centro de Desarrollo Empresarial, Escuela Municipal de Hostelería y de la Policía Autonómica.</t>
        </is>
      </c>
      <c r="J283" s="2" t="inlineStr">
        <is>
          <t>OBR/ABR_SP_SMPL/2026000137</t>
        </is>
      </c>
      <c r="K283" s="2" t="inlineStr">
        <is>
          <t>Abierto simplificado</t>
        </is>
      </c>
      <c r="L283" s="6" t="n">
        <v>1.5</v>
      </c>
      <c r="M283" s="2" t="n"/>
      <c r="N283" s="7" t="n">
        <v>0</v>
      </c>
      <c r="O283" s="4" t="n"/>
      <c r="P283" s="2" t="inlineStr">
        <is>
          <t>45261000; 45421160; 34928200; 45262311</t>
        </is>
      </c>
      <c r="Q283" s="8" t="inlineStr">
        <is>
          <t>Ver</t>
        </is>
      </c>
      <c r="R283" s="8" t="inlineStr">
        <is>
          <t>PCAP</t>
        </is>
      </c>
      <c r="S283" s="9" t="n">
        <v>46310</v>
      </c>
      <c r="T283" s="3" t="n">
        <v>46322.47557870371</v>
      </c>
      <c r="U283" s="2" t="n"/>
    </row>
    <row r="284">
      <c r="A284" s="2" t="inlineStr">
        <is>
          <t>Pendiente de adjudicación</t>
        </is>
      </c>
      <c r="B284" s="3" t="n">
        <v>46310.99930555555</v>
      </c>
      <c r="C284" s="5" t="n">
        <v>265919.01</v>
      </c>
      <c r="D284" s="5" t="n">
        <v>265919.01</v>
      </c>
      <c r="E284" s="2" t="inlineStr">
        <is>
          <t>Andalucía</t>
        </is>
      </c>
      <c r="F284" s="2" t="inlineStr">
        <is>
          <t>Almería</t>
        </is>
      </c>
      <c r="G284" s="2" t="n"/>
      <c r="H284" s="2" t="inlineStr">
        <is>
          <t>Alcaldía del Ayuntamiento de Tabernas</t>
        </is>
      </c>
      <c r="I284" s="2" t="inlineStr">
        <is>
          <t>Ejecución del proyecto de obra Pavimentación de calles en Tabernas, Almería.</t>
        </is>
      </c>
      <c r="J284" s="2" t="inlineStr">
        <is>
          <t>960/2026</t>
        </is>
      </c>
      <c r="K284" s="2" t="inlineStr">
        <is>
          <t>Abierto simplificado</t>
        </is>
      </c>
      <c r="L284" s="6" t="n">
        <v>4</v>
      </c>
      <c r="M284" s="2" t="n"/>
      <c r="N284" s="7" t="n">
        <v>0</v>
      </c>
      <c r="O284" s="4" t="n"/>
      <c r="P284" s="2" t="inlineStr">
        <is>
          <t>45233200</t>
        </is>
      </c>
      <c r="Q284" s="8" t="inlineStr">
        <is>
          <t>Ver</t>
        </is>
      </c>
      <c r="R284" s="8" t="inlineStr">
        <is>
          <t>PCAP</t>
        </is>
      </c>
      <c r="S284" s="9" t="n">
        <v>46323</v>
      </c>
      <c r="T284" s="3" t="n">
        <v>46322.47180555556</v>
      </c>
      <c r="U284" s="2" t="n"/>
    </row>
    <row r="285">
      <c r="A285" s="2" t="inlineStr">
        <is>
          <t>Resuelta</t>
        </is>
      </c>
      <c r="B285" s="3" t="n">
        <v>46281.99930555555</v>
      </c>
      <c r="C285" s="5" t="n">
        <v>41065.31</v>
      </c>
      <c r="D285" s="5" t="n">
        <v>41065.31</v>
      </c>
      <c r="E285" s="2" t="inlineStr">
        <is>
          <t>Andalucía</t>
        </is>
      </c>
      <c r="F285" s="2" t="inlineStr">
        <is>
          <t>Málaga</t>
        </is>
      </c>
      <c r="G285" s="2" t="n"/>
      <c r="H285" s="2" t="inlineStr">
        <is>
          <t>Concejalía Delegada de la Presidencia de la Junta Municipal del Distrito nº 7, Carretera de Cádiz del Ayuntamiento de Málaga</t>
        </is>
      </c>
      <c r="I285" s="2" t="inlineStr">
        <is>
          <t>Contrato de obra relativo a Proyecto de acondicionamiento de jardín en Calle Jalón en el Distrito 7 Carretera de Cádiz</t>
        </is>
      </c>
      <c r="J285" s="2" t="inlineStr">
        <is>
          <t>PASA 26/09/000</t>
        </is>
      </c>
      <c r="K285" s="2" t="inlineStr">
        <is>
          <t>Abierto simplificado</t>
        </is>
      </c>
      <c r="L285" s="6" t="n">
        <v>3</v>
      </c>
      <c r="M285" s="2" t="n"/>
      <c r="N285" s="7" t="n">
        <v>0</v>
      </c>
      <c r="O285" s="4" t="n"/>
      <c r="P285" s="2" t="inlineStr">
        <is>
          <t>45233200; 45112360</t>
        </is>
      </c>
      <c r="Q285" s="8" t="inlineStr">
        <is>
          <t>Ver</t>
        </is>
      </c>
      <c r="R285" s="8" t="inlineStr">
        <is>
          <t>PCAP</t>
        </is>
      </c>
      <c r="S285" s="9" t="n">
        <v>46318</v>
      </c>
      <c r="T285" s="3" t="n">
        <v>46322.4715625</v>
      </c>
      <c r="U285" s="2" t="inlineStr">
        <is>
          <t>2026-10-28: estado ADJ → RES</t>
        </is>
      </c>
    </row>
    <row r="286">
      <c r="A286" s="2" t="inlineStr">
        <is>
          <t>Resuelta</t>
        </is>
      </c>
      <c r="B286" s="3" t="n">
        <v>45797.99930555555</v>
      </c>
      <c r="C286" s="5" t="n">
        <v>789931</v>
      </c>
      <c r="D286" s="5" t="n">
        <v>789931</v>
      </c>
      <c r="E286" s="2" t="inlineStr">
        <is>
          <t>Comunitat Valenciana</t>
        </is>
      </c>
      <c r="F286" s="2" t="inlineStr">
        <is>
          <t>Alicante</t>
        </is>
      </c>
      <c r="G286" s="2" t="inlineStr">
        <is>
          <t>Alicante / Alacant</t>
        </is>
      </c>
      <c r="H286" s="2" t="inlineStr">
        <is>
          <t>Aena. Dirección del Aeropuerto de Alicante-Elche</t>
        </is>
      </c>
      <c r="I286" s="2" t="inlineStr">
        <is>
          <t>Refuerzo Iluminación En Coronas</t>
        </is>
      </c>
      <c r="J286" s="2" t="inlineStr">
        <is>
          <t>ALC-18/2025</t>
        </is>
      </c>
      <c r="K286" s="2" t="inlineStr">
        <is>
          <t>Abierto simplificado</t>
        </is>
      </c>
      <c r="L286" s="6" t="n"/>
      <c r="M286" s="2" t="n"/>
      <c r="N286" s="7" t="n">
        <v>0</v>
      </c>
      <c r="O286" s="4" t="n"/>
      <c r="P286" s="2" t="inlineStr">
        <is>
          <t>45310000</t>
        </is>
      </c>
      <c r="Q286" s="8" t="inlineStr">
        <is>
          <t>Ver</t>
        </is>
      </c>
      <c r="R286" s="8" t="inlineStr">
        <is>
          <t>PCAP</t>
        </is>
      </c>
      <c r="S286" s="9" t="n">
        <v>46323</v>
      </c>
      <c r="T286" s="3" t="n">
        <v>46322.47086805556</v>
      </c>
      <c r="U286" s="2" t="n"/>
    </row>
    <row r="287">
      <c r="A287" s="2" t="inlineStr">
        <is>
          <t>Resuelta</t>
        </is>
      </c>
      <c r="B287" s="3" t="n">
        <v>46232.99930555555</v>
      </c>
      <c r="C287" s="5" t="n">
        <v>1068114.41</v>
      </c>
      <c r="D287" s="5" t="n">
        <v>1068114.41</v>
      </c>
      <c r="E287" s="2" t="inlineStr">
        <is>
          <t>Comunitat Valenciana</t>
        </is>
      </c>
      <c r="F287" s="2" t="inlineStr">
        <is>
          <t>Valencia</t>
        </is>
      </c>
      <c r="G287" s="2" t="n"/>
      <c r="H287" s="2" t="inlineStr">
        <is>
          <t>Junta de Gobierno del Ayuntamiento de Alzira</t>
        </is>
      </c>
      <c r="I287" s="2" t="inlineStr">
        <is>
          <t>Construcción de dos pistas semicubiertas en Tulell</t>
        </is>
      </c>
      <c r="J287" s="2" t="inlineStr">
        <is>
          <t>OC-3886/26</t>
        </is>
      </c>
      <c r="K287" s="2" t="inlineStr">
        <is>
          <t>Abierto simplificado</t>
        </is>
      </c>
      <c r="L287" s="6" t="n">
        <v>6</v>
      </c>
      <c r="M287" s="2" t="n"/>
      <c r="N287" s="7" t="n">
        <v>0</v>
      </c>
      <c r="O287" s="4" t="n"/>
      <c r="P287" s="2" t="inlineStr">
        <is>
          <t>45212220; 45223100</t>
        </is>
      </c>
      <c r="Q287" s="8" t="inlineStr">
        <is>
          <t>Ver</t>
        </is>
      </c>
      <c r="R287" s="8" t="inlineStr">
        <is>
          <t>PCAP</t>
        </is>
      </c>
      <c r="S287" s="9" t="n">
        <v>46310</v>
      </c>
      <c r="T287" s="3" t="n">
        <v>46322.47075231482</v>
      </c>
      <c r="U287" s="2" t="inlineStr">
        <is>
          <t>2026-10-28: estado ADJ → RES</t>
        </is>
      </c>
    </row>
    <row r="288">
      <c r="A288" s="2" t="inlineStr">
        <is>
          <t>En plazo</t>
        </is>
      </c>
      <c r="B288" s="3" t="n">
        <v>46329.99930555555</v>
      </c>
      <c r="C288" s="5" t="n">
        <v>326532.3</v>
      </c>
      <c r="D288" s="5" t="n">
        <v>326532.3</v>
      </c>
      <c r="E288" s="2" t="inlineStr">
        <is>
          <t>Comunitat Valenciana</t>
        </is>
      </c>
      <c r="F288" s="2" t="inlineStr">
        <is>
          <t>Valencia</t>
        </is>
      </c>
      <c r="G288" s="2" t="inlineStr">
        <is>
          <t>Utiel</t>
        </is>
      </c>
      <c r="H288" s="2" t="inlineStr">
        <is>
          <t>Alcaldía del Ayuntamiento de Utiel</t>
        </is>
      </c>
      <c r="I288" s="2" t="inlineStr">
        <is>
          <t>Sede de banda de música de la Aldea de Las Cuevas de Utiel,</t>
        </is>
      </c>
      <c r="J288" s="2" t="inlineStr">
        <is>
          <t>894/2026</t>
        </is>
      </c>
      <c r="K288" s="2" t="inlineStr">
        <is>
          <t>Abierto simplificado</t>
        </is>
      </c>
      <c r="L288" s="6" t="n">
        <v>12</v>
      </c>
      <c r="M288" s="2" t="n"/>
      <c r="N288" s="7" t="n">
        <v>0</v>
      </c>
      <c r="O288" s="4" t="n"/>
      <c r="P288" s="2" t="inlineStr">
        <is>
          <t>45210000</t>
        </is>
      </c>
      <c r="Q288" s="8" t="inlineStr">
        <is>
          <t>Ver</t>
        </is>
      </c>
      <c r="R288" s="8" t="inlineStr">
        <is>
          <t>PCAP</t>
        </is>
      </c>
      <c r="S288" s="9" t="n">
        <v>46310</v>
      </c>
      <c r="T288" s="3" t="n">
        <v>46322.46973379629</v>
      </c>
      <c r="U288" s="2" t="n"/>
    </row>
    <row r="289">
      <c r="A289" s="2" t="inlineStr">
        <is>
          <t>Pendiente de adjudicación</t>
        </is>
      </c>
      <c r="B289" s="3" t="n">
        <v>46276.54166666666</v>
      </c>
      <c r="C289" s="5" t="n">
        <v>17892605.41</v>
      </c>
      <c r="D289" s="5" t="n">
        <v>17892605.41</v>
      </c>
      <c r="E289" s="2" t="inlineStr">
        <is>
          <t>Comunitat Valenciana</t>
        </is>
      </c>
      <c r="F289" s="2" t="n"/>
      <c r="G289" s="2" t="n"/>
      <c r="H289" s="2" t="inlineStr">
        <is>
          <t>ADIF -Consejo de Administración</t>
        </is>
      </c>
      <c r="I289" s="2" t="inlineStr">
        <is>
          <t>Ejecución de las obras del proyecto de construcción de afecciones a instalaciones de seguridad por duplicación de vía entre La Encina y L'Alcúdia de Crespins, y ampliación de la playa de vías de la estación de L'Alcúdia de Crespins.</t>
        </is>
      </c>
      <c r="J289" s="2" t="inlineStr">
        <is>
          <t>3.26/27507.0088</t>
        </is>
      </c>
      <c r="K289" s="2" t="inlineStr">
        <is>
          <t>Abierto</t>
        </is>
      </c>
      <c r="L289" s="6" t="n">
        <v>50</v>
      </c>
      <c r="M289" s="2" t="inlineStr">
        <is>
          <t>D3-5</t>
        </is>
      </c>
      <c r="N289" s="7" t="n">
        <v>0.49</v>
      </c>
      <c r="O289" s="4" t="n"/>
      <c r="P289" s="2" t="inlineStr">
        <is>
          <t>45234115</t>
        </is>
      </c>
      <c r="Q289" s="8" t="inlineStr">
        <is>
          <t>Ver</t>
        </is>
      </c>
      <c r="R289" s="8" t="inlineStr">
        <is>
          <t>PCAP</t>
        </is>
      </c>
      <c r="S289" s="9" t="n">
        <v>46311</v>
      </c>
      <c r="T289" s="3" t="n">
        <v>46322.4638425926</v>
      </c>
      <c r="U289" s="2" t="n"/>
    </row>
    <row r="290">
      <c r="A290" s="2" t="inlineStr">
        <is>
          <t>Resuelta</t>
        </is>
      </c>
      <c r="B290" s="3" t="n">
        <v>44825.99930555555</v>
      </c>
      <c r="C290" s="5" t="n">
        <v>82930.71000000001</v>
      </c>
      <c r="D290" s="5" t="n">
        <v>82930.71000000001</v>
      </c>
      <c r="E290" s="2" t="inlineStr">
        <is>
          <t>Andalucía</t>
        </is>
      </c>
      <c r="F290" s="2" t="inlineStr">
        <is>
          <t>Granada</t>
        </is>
      </c>
      <c r="G290" s="2" t="n"/>
      <c r="H290" s="2" t="inlineStr">
        <is>
          <t>Alcaldía del Ayuntamiento de Atarfe</t>
        </is>
      </c>
      <c r="I290" s="2" t="inlineStr">
        <is>
          <t>Obra y suministro para la reforma del Parque Ferial de Atarfe.</t>
        </is>
      </c>
      <c r="J290" s="2" t="inlineStr">
        <is>
          <t>3545/2022</t>
        </is>
      </c>
      <c r="K290" s="2" t="inlineStr">
        <is>
          <t>Abierto simplificado</t>
        </is>
      </c>
      <c r="L290" s="6" t="n">
        <v>3</v>
      </c>
      <c r="M290" s="2" t="n"/>
      <c r="N290" s="7" t="n">
        <v>0.3</v>
      </c>
      <c r="O290" s="4" t="n"/>
      <c r="P290" s="2" t="inlineStr">
        <is>
          <t>45000000; 37535100; 37480000; 37535200; 37535210; 37416000</t>
        </is>
      </c>
      <c r="Q290" s="8" t="inlineStr">
        <is>
          <t>Ver</t>
        </is>
      </c>
      <c r="R290" s="8" t="inlineStr">
        <is>
          <t>PCAP</t>
        </is>
      </c>
      <c r="S290" s="9" t="n">
        <v>46323</v>
      </c>
      <c r="T290" s="3" t="n">
        <v>46322.46157407408</v>
      </c>
      <c r="U290" s="2" t="n"/>
    </row>
    <row r="291">
      <c r="A291" s="2" t="inlineStr">
        <is>
          <t>Pendiente de adjudicación</t>
        </is>
      </c>
      <c r="B291" s="3" t="n">
        <v>46309.99930555555</v>
      </c>
      <c r="C291" s="5" t="n">
        <v>249476.1</v>
      </c>
      <c r="D291" s="5" t="n">
        <v>249476.1</v>
      </c>
      <c r="E291" s="2" t="inlineStr">
        <is>
          <t>Comunitat Valenciana</t>
        </is>
      </c>
      <c r="F291" s="2" t="inlineStr">
        <is>
          <t>Valencia</t>
        </is>
      </c>
      <c r="G291" s="2" t="n"/>
      <c r="H291" s="2" t="inlineStr">
        <is>
          <t>Junta de Gobierno del Ayuntamiento de Alzira</t>
        </is>
      </c>
      <c r="I291" s="2" t="inlineStr">
        <is>
          <t>Mejoras en polígono industrial el Pla: infraestructura inteligente y sostenible</t>
        </is>
      </c>
      <c r="J291" s="2" t="inlineStr">
        <is>
          <t>OC-6993/26</t>
        </is>
      </c>
      <c r="K291" s="2" t="inlineStr">
        <is>
          <t>Abierto simplificado</t>
        </is>
      </c>
      <c r="L291" s="6" t="n">
        <v>1</v>
      </c>
      <c r="M291" s="2" t="n"/>
      <c r="N291" s="7" t="n">
        <v>0</v>
      </c>
      <c r="O291" s="4" t="n"/>
      <c r="P291" s="2" t="inlineStr">
        <is>
          <t>45316110; 45310000; 32323500</t>
        </is>
      </c>
      <c r="Q291" s="8" t="inlineStr">
        <is>
          <t>Ver</t>
        </is>
      </c>
      <c r="R291" s="8" t="inlineStr">
        <is>
          <t>PCAP</t>
        </is>
      </c>
      <c r="S291" s="9" t="n">
        <v>46322</v>
      </c>
      <c r="T291" s="3" t="n">
        <v>46322.45902777778</v>
      </c>
      <c r="U291" s="2" t="n"/>
    </row>
    <row r="292">
      <c r="A292" s="2" t="inlineStr">
        <is>
          <t>En plazo</t>
        </is>
      </c>
      <c r="B292" s="3" t="n">
        <v>46337.58333333334</v>
      </c>
      <c r="C292" s="5" t="n">
        <v>87446.25999999999</v>
      </c>
      <c r="D292" s="5" t="n">
        <v>87446.25999999999</v>
      </c>
      <c r="E292" s="2" t="inlineStr">
        <is>
          <t>Comunitat Valenciana</t>
        </is>
      </c>
      <c r="F292" s="2" t="inlineStr">
        <is>
          <t>Valencia</t>
        </is>
      </c>
      <c r="G292" s="2" t="n"/>
      <c r="H292" s="2" t="inlineStr">
        <is>
          <t>Gerencia de Plan Cabanyal-Canyamelar, S.A.</t>
        </is>
      </c>
      <c r="I292" s="2" t="inlineStr">
        <is>
          <t>Obras de adecuación y reforma de tres viviendas de propiedad de PCCSA</t>
        </is>
      </c>
      <c r="J292" s="2" t="inlineStr">
        <is>
          <t>CMAYOR/2026/CABAN/0035</t>
        </is>
      </c>
      <c r="K292" s="2" t="inlineStr">
        <is>
          <t>Abierto simplificado</t>
        </is>
      </c>
      <c r="L292" s="6" t="n">
        <v>6</v>
      </c>
      <c r="M292" s="2" t="inlineStr">
        <is>
          <t>C*-1</t>
        </is>
      </c>
      <c r="N292" s="7" t="n">
        <v>0</v>
      </c>
      <c r="O292" s="4" t="n"/>
      <c r="P292" s="2" t="inlineStr">
        <is>
          <t>45200000</t>
        </is>
      </c>
      <c r="Q292" s="8" t="inlineStr">
        <is>
          <t>Ver</t>
        </is>
      </c>
      <c r="R292" s="8" t="inlineStr">
        <is>
          <t>PCAP</t>
        </is>
      </c>
      <c r="S292" s="9" t="n">
        <v>46323</v>
      </c>
      <c r="T292" s="3" t="n">
        <v>46322.4577199074</v>
      </c>
      <c r="U292" s="2" t="n"/>
    </row>
    <row r="293">
      <c r="A293" s="2" t="inlineStr">
        <is>
          <t>Pendiente de adjudicación</t>
        </is>
      </c>
      <c r="B293" s="3" t="n">
        <v>46321.99930555555</v>
      </c>
      <c r="C293" s="5" t="n">
        <v>68644.88</v>
      </c>
      <c r="D293" s="5" t="n">
        <v>68644.88</v>
      </c>
      <c r="E293" s="2" t="inlineStr">
        <is>
          <t>Comunitat Valenciana</t>
        </is>
      </c>
      <c r="F293" s="2" t="inlineStr">
        <is>
          <t>Valencia</t>
        </is>
      </c>
      <c r="G293" s="2" t="n"/>
      <c r="H293" s="2" t="inlineStr">
        <is>
          <t>Concejalía Delegada de Hacienda del Ayuntamiento de la Pobla de Vallbona</t>
        </is>
      </c>
      <c r="I293" s="2" t="inlineStr">
        <is>
          <t>Contratación de las obras consistentes en el derribo de los frontones de la Ciudad Deportiva de La Pobla de Vallbona.</t>
        </is>
      </c>
      <c r="J293" s="2" t="inlineStr">
        <is>
          <t>2026000025</t>
        </is>
      </c>
      <c r="K293" s="2" t="inlineStr">
        <is>
          <t>Abierto simplificado</t>
        </is>
      </c>
      <c r="L293" s="6" t="n">
        <v>1</v>
      </c>
      <c r="M293" s="2" t="n"/>
      <c r="N293" s="7" t="n">
        <v>0</v>
      </c>
      <c r="O293" s="4" t="n"/>
      <c r="P293" s="2" t="inlineStr">
        <is>
          <t>45111000</t>
        </is>
      </c>
      <c r="Q293" s="8" t="inlineStr">
        <is>
          <t>Ver</t>
        </is>
      </c>
      <c r="R293" s="8" t="inlineStr">
        <is>
          <t>PCAP</t>
        </is>
      </c>
      <c r="S293" s="9" t="n">
        <v>46310</v>
      </c>
      <c r="T293" s="3" t="n">
        <v>46322.45711805556</v>
      </c>
      <c r="U293" s="2" t="inlineStr">
        <is>
          <t>2026-10-28: estado PUB → EV</t>
        </is>
      </c>
    </row>
    <row r="294">
      <c r="A294" s="2" t="inlineStr">
        <is>
          <t>Resuelta</t>
        </is>
      </c>
      <c r="B294" s="3" t="n">
        <v>45985.99930555555</v>
      </c>
      <c r="C294" s="5" t="n">
        <v>317053.99</v>
      </c>
      <c r="D294" s="5" t="n">
        <v>317053.99</v>
      </c>
      <c r="E294" s="2" t="inlineStr">
        <is>
          <t>Andalucía</t>
        </is>
      </c>
      <c r="F294" s="2" t="inlineStr">
        <is>
          <t>Granada</t>
        </is>
      </c>
      <c r="G294" s="2" t="inlineStr">
        <is>
          <t>JEREZ DEL MARQUESADO</t>
        </is>
      </c>
      <c r="H294" s="2" t="inlineStr">
        <is>
          <t>Presidencia de la Diputación Provincial de Granada</t>
        </is>
      </c>
      <c r="I294" s="2" t="inlineStr">
        <is>
          <t>2020/2/PPOYS-97, 2022/2/PPOYS-97 "Jérez del Marquesado, reforma del edificio del ayuntamiento 1ª y 2ª fase"</t>
        </is>
      </c>
      <c r="J294" s="2" t="inlineStr">
        <is>
          <t>OB-038/25</t>
        </is>
      </c>
      <c r="K294" s="2" t="inlineStr">
        <is>
          <t>Abierto simplificado</t>
        </is>
      </c>
      <c r="L294" s="6" t="n">
        <v>10</v>
      </c>
      <c r="M294" s="2" t="inlineStr">
        <is>
          <t>C*-2</t>
        </is>
      </c>
      <c r="N294" s="7" t="n">
        <v>0</v>
      </c>
      <c r="O294" s="4" t="n"/>
      <c r="P294" s="2" t="inlineStr">
        <is>
          <t>45262700; 45300000; 45210000; 45453100</t>
        </is>
      </c>
      <c r="Q294" s="8" t="inlineStr">
        <is>
          <t>Ver</t>
        </is>
      </c>
      <c r="R294" s="8" t="inlineStr">
        <is>
          <t>PCAP</t>
        </is>
      </c>
      <c r="S294" s="9" t="n">
        <v>46323</v>
      </c>
      <c r="T294" s="3" t="n">
        <v>46322.45579861111</v>
      </c>
      <c r="U294" s="2" t="n"/>
    </row>
    <row r="295">
      <c r="A295" s="2" t="inlineStr">
        <is>
          <t>Adjudicada</t>
        </is>
      </c>
      <c r="B295" s="3" t="n">
        <v>45996.99930555555</v>
      </c>
      <c r="C295" s="5" t="n">
        <v>57851.24</v>
      </c>
      <c r="D295" s="5" t="n">
        <v>57851.24</v>
      </c>
      <c r="E295" s="2" t="inlineStr">
        <is>
          <t>Comunitat Valenciana</t>
        </is>
      </c>
      <c r="F295" s="2" t="inlineStr">
        <is>
          <t>Alicante</t>
        </is>
      </c>
      <c r="G295" s="2" t="n"/>
      <c r="H295" s="2" t="inlineStr">
        <is>
          <t>Presidencia de la Diputación Provincial de Alicante</t>
        </is>
      </c>
      <c r="I295" s="2" t="inlineStr">
        <is>
          <t>Obra Cuarto Plan Anual del Plan Especial de Ordenación del monte el Plano, TM de Sax (Alicante).</t>
        </is>
      </c>
      <c r="J295" s="2" t="inlineStr">
        <is>
          <t>O4S-222/2025</t>
        </is>
      </c>
      <c r="K295" s="2" t="inlineStr">
        <is>
          <t>Abierto simplificado</t>
        </is>
      </c>
      <c r="L295" s="6" t="n">
        <v>3</v>
      </c>
      <c r="M295" s="2" t="n"/>
      <c r="N295" s="7" t="n">
        <v>0.25</v>
      </c>
      <c r="O295" s="4" t="n"/>
      <c r="P295" s="2" t="inlineStr">
        <is>
          <t>45112700; 45262640</t>
        </is>
      </c>
      <c r="Q295" s="8" t="inlineStr">
        <is>
          <t>Ver</t>
        </is>
      </c>
      <c r="R295" s="8" t="inlineStr">
        <is>
          <t>PCAP</t>
        </is>
      </c>
      <c r="S295" s="9" t="n">
        <v>46323</v>
      </c>
      <c r="T295" s="3" t="n">
        <v>46322.45206018518</v>
      </c>
      <c r="U295" s="2" t="n"/>
    </row>
    <row r="296">
      <c r="A296" s="2" t="inlineStr">
        <is>
          <t>Pendiente de adjudicación</t>
        </is>
      </c>
      <c r="B296" s="3" t="n">
        <v>46314.79166666666</v>
      </c>
      <c r="C296" s="5" t="n">
        <v>620255.6800000001</v>
      </c>
      <c r="D296" s="5" t="n">
        <v>744306.8199999999</v>
      </c>
      <c r="E296" s="2" t="inlineStr">
        <is>
          <t>Andalucía</t>
        </is>
      </c>
      <c r="F296" s="2" t="inlineStr">
        <is>
          <t>Sevilla</t>
        </is>
      </c>
      <c r="G296" s="2" t="inlineStr">
        <is>
          <t>Tomares</t>
        </is>
      </c>
      <c r="H296" s="2" t="inlineStr">
        <is>
          <t>Gerencia de la Empresa Mancomunada del Aljarafe, S.A. (ALJARAFESA)</t>
        </is>
      </c>
      <c r="I296" s="2" t="inlineStr">
        <is>
          <t>Actuaciones para la Mejora de la Explotación del Tanque de Tormentas de Tomares (Sevilla)</t>
        </is>
      </c>
      <c r="J296" s="2" t="inlineStr">
        <is>
          <t>PAA/182/2026</t>
        </is>
      </c>
      <c r="K296" s="2" t="inlineStr">
        <is>
          <t>Abierto</t>
        </is>
      </c>
      <c r="L296" s="6" t="n">
        <v>6</v>
      </c>
      <c r="M296" s="2" t="inlineStr">
        <is>
          <t>C7-3</t>
        </is>
      </c>
      <c r="N296" s="7" t="n">
        <v>0</v>
      </c>
      <c r="O296" s="4" t="n"/>
      <c r="P296" s="2" t="inlineStr">
        <is>
          <t>45232454</t>
        </is>
      </c>
      <c r="Q296" s="8" t="inlineStr">
        <is>
          <t>Ver</t>
        </is>
      </c>
      <c r="R296" s="8" t="inlineStr">
        <is>
          <t>PCAP</t>
        </is>
      </c>
      <c r="S296" s="9" t="n">
        <v>46323</v>
      </c>
      <c r="T296" s="3" t="n">
        <v>46322.4503587963</v>
      </c>
      <c r="U296" s="2" t="n"/>
    </row>
    <row r="297">
      <c r="A297" s="2" t="inlineStr">
        <is>
          <t>Resuelta</t>
        </is>
      </c>
      <c r="B297" s="3" t="n">
        <v>46294.41666666666</v>
      </c>
      <c r="C297" s="5" t="n">
        <v>76859.5</v>
      </c>
      <c r="D297" s="5" t="n">
        <v>76859.5</v>
      </c>
      <c r="E297" s="2" t="inlineStr">
        <is>
          <t>Andalucía</t>
        </is>
      </c>
      <c r="F297" s="2" t="inlineStr">
        <is>
          <t>Sevilla</t>
        </is>
      </c>
      <c r="G297" s="2" t="n"/>
      <c r="H297" s="2" t="inlineStr">
        <is>
          <t>Jefatura de la Sección Económico Administrativa 24 de la Base Aérea de Morón</t>
        </is>
      </c>
      <c r="I297" s="2" t="inlineStr">
        <is>
          <t>SEVILLA/MORÓN DE LA FRONTERA/Reparación de cubierta pabellón de oficiales y pabellón de suboficiales de la Base Aérea de Morón y Ala 11.</t>
        </is>
      </c>
      <c r="J297" s="2" t="inlineStr">
        <is>
          <t>2026/EA24/00002122E</t>
        </is>
      </c>
      <c r="K297" s="2" t="inlineStr">
        <is>
          <t>Abierto simplificado</t>
        </is>
      </c>
      <c r="L297" s="6" t="n">
        <v>2.3</v>
      </c>
      <c r="M297" s="2" t="n"/>
      <c r="N297" s="7" t="n">
        <v>0</v>
      </c>
      <c r="O297" s="4" t="n"/>
      <c r="P297" s="2" t="inlineStr">
        <is>
          <t>45261910</t>
        </is>
      </c>
      <c r="Q297" s="8" t="inlineStr">
        <is>
          <t>Ver</t>
        </is>
      </c>
      <c r="R297" s="8" t="inlineStr">
        <is>
          <t>PCAP</t>
        </is>
      </c>
      <c r="S297" s="9" t="n">
        <v>46318</v>
      </c>
      <c r="T297" s="3" t="n">
        <v>46322.45017361111</v>
      </c>
      <c r="U297" s="2" t="inlineStr">
        <is>
          <t>2026-10-28: estado ADJ → RES</t>
        </is>
      </c>
    </row>
    <row r="298">
      <c r="A298" s="2" t="inlineStr">
        <is>
          <t>Resuelta</t>
        </is>
      </c>
      <c r="B298" s="3" t="n"/>
      <c r="C298" s="5" t="n">
        <v>35000</v>
      </c>
      <c r="D298" s="5" t="n">
        <v>35000</v>
      </c>
      <c r="E298" s="2" t="inlineStr">
        <is>
          <t>Comunitat Valenciana</t>
        </is>
      </c>
      <c r="F298" s="2" t="inlineStr">
        <is>
          <t>Alicante</t>
        </is>
      </c>
      <c r="G298" s="2" t="inlineStr">
        <is>
          <t>Alicante / Alacant</t>
        </is>
      </c>
      <c r="H298" s="2" t="inlineStr">
        <is>
          <t>Aena. Dirección del Aeropuerto de Alicante-Elche</t>
        </is>
      </c>
      <c r="I298" s="2" t="inlineStr">
        <is>
          <t>Reparación Urgente Del Pavimento En La Calle De Salida Rápida C4</t>
        </is>
      </c>
      <c r="J298" s="2" t="inlineStr">
        <is>
          <t>ALC-109/2026</t>
        </is>
      </c>
      <c r="K298" s="2" t="inlineStr">
        <is>
          <t>Normas internas</t>
        </is>
      </c>
      <c r="L298" s="6" t="n">
        <v>0.2</v>
      </c>
      <c r="M298" s="2" t="n"/>
      <c r="N298" s="7" t="n"/>
      <c r="O298" s="4" t="n"/>
      <c r="P298" s="2" t="inlineStr">
        <is>
          <t>45000000</t>
        </is>
      </c>
      <c r="Q298" s="8" t="inlineStr">
        <is>
          <t>Ver</t>
        </is>
      </c>
      <c r="R298" s="2" t="n"/>
      <c r="S298" s="9" t="n">
        <v>46323</v>
      </c>
      <c r="T298" s="3" t="n">
        <v>46322.45015046297</v>
      </c>
      <c r="U298" s="2" t="n"/>
    </row>
    <row r="299">
      <c r="A299" s="2" t="inlineStr">
        <is>
          <t>Pendiente de adjudicación</t>
        </is>
      </c>
      <c r="B299" s="3" t="n">
        <v>46258.99930555555</v>
      </c>
      <c r="C299" s="5" t="n">
        <v>52775.28</v>
      </c>
      <c r="D299" s="5" t="n">
        <v>52775.28</v>
      </c>
      <c r="E299" s="2" t="inlineStr">
        <is>
          <t>Comunitat Valenciana</t>
        </is>
      </c>
      <c r="F299" s="2" t="inlineStr">
        <is>
          <t>Valencia</t>
        </is>
      </c>
      <c r="G299" s="2" t="n"/>
      <c r="H299" s="2" t="inlineStr">
        <is>
          <t>Alcaldía del ayuntamiento de Benifaió</t>
        </is>
      </c>
      <c r="I299" s="2" t="inlineStr">
        <is>
          <t>Obras de ejecución de los "Vados peatonales en el cruce de la calle Juan Ramón Jiménez con Matías García"</t>
        </is>
      </c>
      <c r="J299" s="2" t="inlineStr">
        <is>
          <t>453/2025</t>
        </is>
      </c>
      <c r="K299" s="2" t="inlineStr">
        <is>
          <t>Abierto simplificado</t>
        </is>
      </c>
      <c r="L299" s="6" t="n">
        <v>2</v>
      </c>
      <c r="M299" s="2" t="n"/>
      <c r="N299" s="7" t="n">
        <v>0</v>
      </c>
      <c r="O299" s="4" t="n"/>
      <c r="P299" s="2" t="inlineStr">
        <is>
          <t>45233200; 45233222; 45233251; 45233221</t>
        </is>
      </c>
      <c r="Q299" s="8" t="inlineStr">
        <is>
          <t>Ver</t>
        </is>
      </c>
      <c r="R299" s="8" t="inlineStr">
        <is>
          <t>PCAP</t>
        </is>
      </c>
      <c r="S299" s="9" t="n">
        <v>46323</v>
      </c>
      <c r="T299" s="3" t="n">
        <v>46322.4490625</v>
      </c>
      <c r="U299" s="2" t="n"/>
    </row>
    <row r="300">
      <c r="A300" s="2" t="inlineStr">
        <is>
          <t>En plazo</t>
        </is>
      </c>
      <c r="B300" s="3" t="n">
        <v>46337.34375</v>
      </c>
      <c r="C300" s="5" t="n">
        <v>68595.03999999999</v>
      </c>
      <c r="D300" s="5" t="n">
        <v>68595.03999999999</v>
      </c>
      <c r="E300" s="2" t="inlineStr">
        <is>
          <t>Andalucía</t>
        </is>
      </c>
      <c r="F300" s="2" t="inlineStr">
        <is>
          <t>Cádiz</t>
        </is>
      </c>
      <c r="G300" s="2" t="n"/>
      <c r="H300" s="2" t="inlineStr">
        <is>
          <t>Delegación Municipal de Hacienda</t>
        </is>
      </c>
      <c r="I300" s="2" t="inlineStr">
        <is>
          <t>Obra de modernización y nuevo equipamiento en Centro San Miguel</t>
        </is>
      </c>
      <c r="J300" s="2" t="inlineStr">
        <is>
          <t>72/2026</t>
        </is>
      </c>
      <c r="K300" s="2" t="inlineStr">
        <is>
          <t>Abierto simplificado</t>
        </is>
      </c>
      <c r="L300" s="6" t="n">
        <v>3</v>
      </c>
      <c r="M300" s="2" t="n"/>
      <c r="N300" s="7" t="n">
        <v>0</v>
      </c>
      <c r="O300" s="4" t="n"/>
      <c r="P300" s="2" t="inlineStr">
        <is>
          <t>45000000; 45200000</t>
        </is>
      </c>
      <c r="Q300" s="8" t="inlineStr">
        <is>
          <t>Ver</t>
        </is>
      </c>
      <c r="R300" s="8" t="inlineStr">
        <is>
          <t>PCAP</t>
        </is>
      </c>
      <c r="S300" s="9" t="n">
        <v>46323</v>
      </c>
      <c r="T300" s="3" t="n">
        <v>46322.44829861111</v>
      </c>
      <c r="U300" s="2" t="n"/>
    </row>
    <row r="301">
      <c r="A301" s="2" t="inlineStr">
        <is>
          <t>Resuelta</t>
        </is>
      </c>
      <c r="B301" s="3" t="n">
        <v>46013.99930555555</v>
      </c>
      <c r="C301" s="5" t="n">
        <v>808795.64</v>
      </c>
      <c r="D301" s="5" t="n">
        <v>808795.64</v>
      </c>
      <c r="E301" s="2" t="inlineStr">
        <is>
          <t>Andalucía</t>
        </is>
      </c>
      <c r="F301" s="2" t="inlineStr">
        <is>
          <t>Málaga</t>
        </is>
      </c>
      <c r="G301" s="2" t="n"/>
      <c r="H301" s="2" t="inlineStr">
        <is>
          <t>Junta de Gobierno del Ayuntamiento de Fuengirola</t>
        </is>
      </c>
      <c r="I301" s="2" t="inlineStr">
        <is>
          <t>Obras de reforma del Parque de Bomberos</t>
        </is>
      </c>
      <c r="J301" s="2" t="inlineStr">
        <is>
          <t>CONTR-2025000100</t>
        </is>
      </c>
      <c r="K301" s="2" t="inlineStr">
        <is>
          <t>Abierto simplificado</t>
        </is>
      </c>
      <c r="L301" s="6" t="n">
        <v>8</v>
      </c>
      <c r="M301" s="2" t="n"/>
      <c r="N301" s="7" t="n">
        <v>0.25</v>
      </c>
      <c r="O301" s="4" t="n"/>
      <c r="P301" s="2" t="inlineStr">
        <is>
          <t>45000000; 45216121</t>
        </is>
      </c>
      <c r="Q301" s="8" t="inlineStr">
        <is>
          <t>Ver</t>
        </is>
      </c>
      <c r="R301" s="8" t="inlineStr">
        <is>
          <t>PCAP</t>
        </is>
      </c>
      <c r="S301" s="9" t="n">
        <v>46323</v>
      </c>
      <c r="T301" s="3" t="n">
        <v>46322.44775462963</v>
      </c>
      <c r="U301" s="2" t="n"/>
    </row>
    <row r="302">
      <c r="A302" s="2" t="inlineStr">
        <is>
          <t>Resuelta</t>
        </is>
      </c>
      <c r="B302" s="3" t="n">
        <v>46318.99930555555</v>
      </c>
      <c r="C302" s="5" t="n">
        <v>145700.7</v>
      </c>
      <c r="D302" s="5" t="n">
        <v>174840.84</v>
      </c>
      <c r="E302" s="2" t="inlineStr">
        <is>
          <t>Comunitat Valenciana</t>
        </is>
      </c>
      <c r="F302" s="2" t="inlineStr">
        <is>
          <t>Valencia</t>
        </is>
      </c>
      <c r="G302" s="2" t="n"/>
      <c r="H302" s="2" t="inlineStr">
        <is>
          <t>Dirección General Societat Anonima de Gestió Sagunt Mitja Propi Municipal S.A.</t>
        </is>
      </c>
      <c r="I302" s="2" t="inlineStr">
        <is>
          <t>El presente contrato basado tiene por objeto ejecutar las obras de reparación del pavimento de la Planta de Transferencia de Sagunto</t>
        </is>
      </c>
      <c r="J302" s="2" t="inlineStr">
        <is>
          <t>BASADO04 AMSAG2025-09</t>
        </is>
      </c>
      <c r="K302" s="2" t="inlineStr">
        <is>
          <t>Abierto</t>
        </is>
      </c>
      <c r="L302" s="6" t="n">
        <v>1</v>
      </c>
      <c r="M302" s="2" t="n"/>
      <c r="N302" s="7" t="n">
        <v>0</v>
      </c>
      <c r="O302" s="4" t="n"/>
      <c r="P302" s="2" t="inlineStr">
        <is>
          <t>45000000</t>
        </is>
      </c>
      <c r="Q302" s="8" t="inlineStr">
        <is>
          <t>Ver</t>
        </is>
      </c>
      <c r="R302" s="2" t="n"/>
      <c r="S302" s="9" t="n">
        <v>46323</v>
      </c>
      <c r="T302" s="3" t="n">
        <v>46322.44711805556</v>
      </c>
      <c r="U302" s="2" t="n"/>
    </row>
    <row r="303">
      <c r="A303" s="2" t="inlineStr">
        <is>
          <t>Resuelta</t>
        </is>
      </c>
      <c r="B303" s="3" t="n">
        <v>45481.99930555555</v>
      </c>
      <c r="C303" s="5" t="n">
        <v>176143.47</v>
      </c>
      <c r="D303" s="5" t="n">
        <v>176143.47</v>
      </c>
      <c r="E303" s="2" t="inlineStr">
        <is>
          <t>Andalucía</t>
        </is>
      </c>
      <c r="F303" s="2" t="inlineStr">
        <is>
          <t>Granada</t>
        </is>
      </c>
      <c r="G303" s="2" t="n"/>
      <c r="H303" s="2" t="inlineStr">
        <is>
          <t>Alcaldía del Ayuntamiento de Atarfe</t>
        </is>
      </c>
      <c r="I303" s="2" t="inlineStr">
        <is>
          <t>Contrato de obras adecuación y rehabilitación zonas de agua en Parque de la Higueruela y en Parque del Ferial</t>
        </is>
      </c>
      <c r="J303" s="2" t="inlineStr">
        <is>
          <t>2789/2024</t>
        </is>
      </c>
      <c r="K303" s="2" t="inlineStr">
        <is>
          <t>Abierto</t>
        </is>
      </c>
      <c r="L303" s="6" t="n">
        <v>2</v>
      </c>
      <c r="M303" s="2" t="n"/>
      <c r="N303" s="7" t="n">
        <v>0</v>
      </c>
      <c r="O303" s="4" t="n">
        <v>2</v>
      </c>
      <c r="P303" s="2" t="inlineStr">
        <is>
          <t>45000000; 45232400; 45233262; 45310000; 45233252; 43328000; 45232410; 45232150</t>
        </is>
      </c>
      <c r="Q303" s="8" t="inlineStr">
        <is>
          <t>Ver</t>
        </is>
      </c>
      <c r="R303" s="8" t="inlineStr">
        <is>
          <t>PCAP</t>
        </is>
      </c>
      <c r="S303" s="9" t="n">
        <v>46323</v>
      </c>
      <c r="T303" s="3" t="n">
        <v>46322.44542824074</v>
      </c>
      <c r="U303" s="2" t="n"/>
    </row>
    <row r="304">
      <c r="A304" s="2" t="inlineStr">
        <is>
          <t>En plazo</t>
        </is>
      </c>
      <c r="B304" s="3" t="n">
        <v>46337.99930555555</v>
      </c>
      <c r="C304" s="5" t="n">
        <v>54715.45</v>
      </c>
      <c r="D304" s="5" t="n">
        <v>54715.45</v>
      </c>
      <c r="E304" s="2" t="inlineStr">
        <is>
          <t>Andalucía</t>
        </is>
      </c>
      <c r="F304" s="2" t="inlineStr">
        <is>
          <t>Sevilla</t>
        </is>
      </c>
      <c r="G304" s="2" t="inlineStr">
        <is>
          <t>Mairena del Aljarafe</t>
        </is>
      </c>
      <c r="H304" s="2" t="inlineStr">
        <is>
          <t>Alcaldía del Ayuntamiento de Mairena del Aljarafe</t>
        </is>
      </c>
      <c r="I304" s="2" t="inlineStr">
        <is>
          <t>Obra de adecuación de instalación de cabecera para riego del Parque Central.</t>
        </is>
      </c>
      <c r="J304" s="2" t="inlineStr">
        <is>
          <t>19080/2026</t>
        </is>
      </c>
      <c r="K304" s="2" t="inlineStr">
        <is>
          <t>Abierto simplificado</t>
        </is>
      </c>
      <c r="L304" s="6" t="n">
        <v>2</v>
      </c>
      <c r="M304" s="2" t="n"/>
      <c r="N304" s="7" t="n">
        <v>0</v>
      </c>
      <c r="O304" s="4" t="n"/>
      <c r="P304" s="2" t="inlineStr">
        <is>
          <t>45000000; 45232121</t>
        </is>
      </c>
      <c r="Q304" s="8" t="inlineStr">
        <is>
          <t>Ver</t>
        </is>
      </c>
      <c r="R304" s="8" t="inlineStr">
        <is>
          <t>PCAP</t>
        </is>
      </c>
      <c r="S304" s="9" t="n">
        <v>46323</v>
      </c>
      <c r="T304" s="3" t="n">
        <v>46322.44185185185</v>
      </c>
      <c r="U304" s="2" t="n"/>
    </row>
    <row r="305">
      <c r="A305" s="2" t="inlineStr">
        <is>
          <t>Pendiente de adjudicación</t>
        </is>
      </c>
      <c r="B305" s="3" t="n">
        <v>46316.99930555555</v>
      </c>
      <c r="C305" s="5" t="n">
        <v>132283.97</v>
      </c>
      <c r="D305" s="5" t="n">
        <v>132283.97</v>
      </c>
      <c r="E305" s="2" t="inlineStr">
        <is>
          <t>Comunitat Valenciana</t>
        </is>
      </c>
      <c r="F305" s="2" t="inlineStr">
        <is>
          <t>Valencia</t>
        </is>
      </c>
      <c r="G305" s="2" t="inlineStr">
        <is>
          <t>Castelló de Rugat</t>
        </is>
      </c>
      <c r="H305" s="2" t="inlineStr">
        <is>
          <t>Junta de Gobierno Local del Ayuntamiento de Castelló de Rugat</t>
        </is>
      </c>
      <c r="I305" s="2" t="inlineStr">
        <is>
          <t>Mejora, modernización y dotación de infraestructuras en el Polígono Industrial Eixample El Molí de Castelló de Rugat</t>
        </is>
      </c>
      <c r="J305" s="2" t="inlineStr">
        <is>
          <t>874/2026</t>
        </is>
      </c>
      <c r="K305" s="2" t="inlineStr">
        <is>
          <t>Abierto simplificado</t>
        </is>
      </c>
      <c r="L305" s="6" t="n">
        <v>3</v>
      </c>
      <c r="M305" s="2" t="n"/>
      <c r="N305" s="7" t="n">
        <v>0</v>
      </c>
      <c r="O305" s="4" t="n"/>
      <c r="P305" s="2" t="inlineStr">
        <is>
          <t>45316100; 34928500; 32323500; 45316200; 45310000</t>
        </is>
      </c>
      <c r="Q305" s="8" t="inlineStr">
        <is>
          <t>Ver</t>
        </is>
      </c>
      <c r="R305" s="8" t="inlineStr">
        <is>
          <t>PCAP</t>
        </is>
      </c>
      <c r="S305" s="9" t="n">
        <v>46310</v>
      </c>
      <c r="T305" s="3" t="n">
        <v>46322.43936342592</v>
      </c>
      <c r="U305" s="2" t="inlineStr">
        <is>
          <t>2026-10-28: estado PUB → EV</t>
        </is>
      </c>
    </row>
    <row r="306">
      <c r="A306" s="2" t="inlineStr">
        <is>
          <t>En plazo</t>
        </is>
      </c>
      <c r="B306" s="3" t="n">
        <v>46336.99930555555</v>
      </c>
      <c r="C306" s="5" t="n">
        <v>147598.83</v>
      </c>
      <c r="D306" s="5" t="n">
        <v>147598.83</v>
      </c>
      <c r="E306" s="2" t="inlineStr">
        <is>
          <t>Comunitat Valenciana</t>
        </is>
      </c>
      <c r="F306" s="2" t="inlineStr">
        <is>
          <t>Valencia</t>
        </is>
      </c>
      <c r="G306" s="2" t="inlineStr">
        <is>
          <t>Náquera</t>
        </is>
      </c>
      <c r="H306" s="2" t="inlineStr">
        <is>
          <t>Alcaldía del Ayuntamiento de Náquera</t>
        </is>
      </c>
      <c r="I306" s="2" t="inlineStr">
        <is>
          <t>Contrato de obras de renovación de instalación de alumbrado público en el sector I y II La Loma de Náquera.</t>
        </is>
      </c>
      <c r="J306" s="2" t="inlineStr">
        <is>
          <t>4898/2026</t>
        </is>
      </c>
      <c r="K306" s="2" t="inlineStr">
        <is>
          <t>Abierto simplificado</t>
        </is>
      </c>
      <c r="L306" s="6" t="n">
        <v>4</v>
      </c>
      <c r="M306" s="2" t="n"/>
      <c r="N306" s="7" t="n">
        <v>0.15</v>
      </c>
      <c r="O306" s="4" t="n"/>
      <c r="P306" s="2" t="inlineStr">
        <is>
          <t>45220000; 45316000</t>
        </is>
      </c>
      <c r="Q306" s="8" t="inlineStr">
        <is>
          <t>Ver</t>
        </is>
      </c>
      <c r="R306" s="8" t="inlineStr">
        <is>
          <t>PCAP</t>
        </is>
      </c>
      <c r="S306" s="9" t="n">
        <v>46317</v>
      </c>
      <c r="T306" s="3" t="n">
        <v>46322.43175925926</v>
      </c>
      <c r="U306" s="2" t="n"/>
    </row>
    <row r="307">
      <c r="A307" s="2" t="inlineStr">
        <is>
          <t>Adjudicada</t>
        </is>
      </c>
      <c r="B307" s="3" t="n"/>
      <c r="C307" s="5" t="n">
        <v>7509136.33</v>
      </c>
      <c r="D307" s="5" t="n">
        <v>7509136.63</v>
      </c>
      <c r="E307" s="2" t="inlineStr">
        <is>
          <t>Andalucía</t>
        </is>
      </c>
      <c r="F307" s="2" t="inlineStr">
        <is>
          <t>Granada</t>
        </is>
      </c>
      <c r="G307" s="2" t="inlineStr">
        <is>
          <t>Provincia de Granada</t>
        </is>
      </c>
      <c r="H307" s="2" t="inlineStr">
        <is>
          <t>Presidencia de la Confederación Hidrográfica del Guadalquivir</t>
        </is>
      </c>
      <c r="I307" s="2" t="inlineStr">
        <is>
          <t>Obras de emergencia para la restitución del dominio público hidráulico tras los daños originados por el tren de borrascas del invierno de 2026 (20 de enero de 2026 al 15 de febrero de 2026), amparadas por el Real Decreto Ley 5/2026, de 17 de febrero. Fase II. Lote 2: zona de Granada.</t>
        </is>
      </c>
      <c r="J307" s="2" t="inlineStr">
        <is>
          <t>GR(CO)-7657</t>
        </is>
      </c>
      <c r="K307" s="2" t="inlineStr">
        <is>
          <t>Negociado sin publicidad</t>
        </is>
      </c>
      <c r="L307" s="6" t="n">
        <v>9</v>
      </c>
      <c r="M307" s="2" t="n"/>
      <c r="N307" s="7" t="n">
        <v>0</v>
      </c>
      <c r="O307" s="4" t="n"/>
      <c r="P307" s="2" t="inlineStr">
        <is>
          <t>45240000</t>
        </is>
      </c>
      <c r="Q307" s="8" t="inlineStr">
        <is>
          <t>Ver</t>
        </is>
      </c>
      <c r="R307" s="2" t="n"/>
      <c r="S307" s="9" t="n">
        <v>46323</v>
      </c>
      <c r="T307" s="3" t="n">
        <v>46322.42928240741</v>
      </c>
      <c r="U307" s="2" t="n"/>
    </row>
    <row r="308">
      <c r="A308" s="2" t="inlineStr">
        <is>
          <t>Adjudicada</t>
        </is>
      </c>
      <c r="B308" s="3" t="n"/>
      <c r="C308" s="5" t="n">
        <v>6416583.7</v>
      </c>
      <c r="D308" s="5" t="n">
        <v>6416583.7</v>
      </c>
      <c r="E308" s="2" t="inlineStr">
        <is>
          <t>Andalucía</t>
        </is>
      </c>
      <c r="F308" s="2" t="inlineStr">
        <is>
          <t>Sevilla</t>
        </is>
      </c>
      <c r="G308" s="2" t="inlineStr">
        <is>
          <t>Provincia de Sevilla</t>
        </is>
      </c>
      <c r="H308" s="2" t="inlineStr">
        <is>
          <t>Presidencia de la Confederación Hidrográfica del Guadalquivir</t>
        </is>
      </c>
      <c r="I308" s="2" t="inlineStr">
        <is>
          <t>Obras de emergencia para la restitución del dominio público hidráulico tras los daños originados por el tren de borrascas del invierno de 2026 (20 de enero de 2026 al 15 de febrero de 2026), amparadas por el Real Decreto Ley 5/2026, de 17 de febrero. Fase II. Lote 1: zona de Sevilla</t>
        </is>
      </c>
      <c r="J308" s="2" t="inlineStr">
        <is>
          <t>SE(CO)-7656</t>
        </is>
      </c>
      <c r="K308" s="2" t="inlineStr">
        <is>
          <t>Negociado sin publicidad</t>
        </is>
      </c>
      <c r="L308" s="6" t="n">
        <v>9</v>
      </c>
      <c r="M308" s="2" t="n"/>
      <c r="N308" s="7" t="n">
        <v>0</v>
      </c>
      <c r="O308" s="4" t="n"/>
      <c r="P308" s="2" t="inlineStr">
        <is>
          <t>45240000</t>
        </is>
      </c>
      <c r="Q308" s="8" t="inlineStr">
        <is>
          <t>Ver</t>
        </is>
      </c>
      <c r="R308" s="2" t="n"/>
      <c r="S308" s="9" t="n">
        <v>46323</v>
      </c>
      <c r="T308" s="3" t="n">
        <v>46322.42850694444</v>
      </c>
      <c r="U308" s="2" t="n"/>
    </row>
    <row r="309">
      <c r="A309" s="2" t="inlineStr">
        <is>
          <t>Pendiente de adjudicación</t>
        </is>
      </c>
      <c r="B309" s="3" t="n">
        <v>46153.99930555555</v>
      </c>
      <c r="C309" s="5" t="n">
        <v>1397032.49</v>
      </c>
      <c r="D309" s="5" t="n">
        <v>1397032.49</v>
      </c>
      <c r="E309" s="2" t="inlineStr">
        <is>
          <t>Andalucía</t>
        </is>
      </c>
      <c r="F309" s="2" t="inlineStr">
        <is>
          <t>Málaga</t>
        </is>
      </c>
      <c r="G309" s="2" t="inlineStr">
        <is>
          <t>Casarabonela (Málaga)</t>
        </is>
      </c>
      <c r="H309" s="2" t="inlineStr">
        <is>
          <t>Presidencia del Consorcio Provincial para la Gestión de los Residuos Sólidos Urbanos de Málaga</t>
        </is>
      </c>
      <c r="I309" s="2" t="inlineStr">
        <is>
          <t>Contrato de obra para acometer el proyecto de "Sellado del vaso número 3 en el vertedero de Casarabonela", titularidad del Consorcio Provincial de Residuos Sólidos Urbanos de Málaga.</t>
        </is>
      </c>
      <c r="J309" s="2" t="inlineStr">
        <is>
          <t>257/2025</t>
        </is>
      </c>
      <c r="K309" s="2" t="inlineStr">
        <is>
          <t>Abierto simplificado</t>
        </is>
      </c>
      <c r="L309" s="6" t="n">
        <v>6</v>
      </c>
      <c r="M309" s="2" t="n"/>
      <c r="N309" s="7" t="n">
        <v>0</v>
      </c>
      <c r="O309" s="4" t="n"/>
      <c r="P309" s="2" t="inlineStr">
        <is>
          <t>45220000; 45222110</t>
        </is>
      </c>
      <c r="Q309" s="8" t="inlineStr">
        <is>
          <t>Ver</t>
        </is>
      </c>
      <c r="R309" s="8" t="inlineStr">
        <is>
          <t>PCAP</t>
        </is>
      </c>
      <c r="S309" s="9" t="n">
        <v>46323</v>
      </c>
      <c r="T309" s="3" t="n">
        <v>46322.42846064815</v>
      </c>
      <c r="U309" s="2" t="n"/>
    </row>
    <row r="310">
      <c r="A310" s="2" t="inlineStr">
        <is>
          <t>Pendiente de adjudicación</t>
        </is>
      </c>
      <c r="B310" s="3" t="n">
        <v>46225.99930555555</v>
      </c>
      <c r="C310" s="5" t="n">
        <v>8980388.869999999</v>
      </c>
      <c r="D310" s="5" t="n">
        <v>10776466.64</v>
      </c>
      <c r="E310" s="2" t="inlineStr">
        <is>
          <t>Andalucía</t>
        </is>
      </c>
      <c r="F310" s="2" t="inlineStr">
        <is>
          <t>Cádiz</t>
        </is>
      </c>
      <c r="G310" s="2" t="n"/>
      <c r="H310" s="2" t="inlineStr">
        <is>
          <t>Presidencia del Consorcio de Aguas de la Zona Gaditana</t>
        </is>
      </c>
      <c r="I310" s="2" t="inlineStr">
        <is>
          <t>Obras del Proyecto del "Desvío de la Arteria II a salida de la ETAP Montañés, P.P.K.K. 0+000 al 3+500, T.M. Puerto Real"</t>
        </is>
      </c>
      <c r="J310" s="2" t="inlineStr">
        <is>
          <t>015-2025</t>
        </is>
      </c>
      <c r="K310" s="2" t="inlineStr">
        <is>
          <t>Abierto</t>
        </is>
      </c>
      <c r="L310" s="6" t="n">
        <v>24</v>
      </c>
      <c r="M310" s="2" t="inlineStr">
        <is>
          <t>E6-6</t>
        </is>
      </c>
      <c r="N310" s="7" t="n">
        <v>0.4</v>
      </c>
      <c r="O310" s="4" t="n"/>
      <c r="P310" s="2" t="inlineStr">
        <is>
          <t>45231100; 45232150</t>
        </is>
      </c>
      <c r="Q310" s="8" t="inlineStr">
        <is>
          <t>Ver</t>
        </is>
      </c>
      <c r="R310" s="8" t="inlineStr">
        <is>
          <t>PCAP</t>
        </is>
      </c>
      <c r="S310" s="9" t="n">
        <v>46314</v>
      </c>
      <c r="T310" s="3" t="n">
        <v>46322.4258912037</v>
      </c>
      <c r="U310" s="2" t="n"/>
    </row>
    <row r="311">
      <c r="A311" s="2" t="inlineStr">
        <is>
          <t>Pendiente de adjudicación</t>
        </is>
      </c>
      <c r="B311" s="3" t="n">
        <v>46321.99930555555</v>
      </c>
      <c r="C311" s="5" t="n">
        <v>65049.6</v>
      </c>
      <c r="D311" s="5" t="n">
        <v>65049.6</v>
      </c>
      <c r="E311" s="2" t="inlineStr">
        <is>
          <t>Andalucía</t>
        </is>
      </c>
      <c r="F311" s="2" t="inlineStr">
        <is>
          <t>Sevilla</t>
        </is>
      </c>
      <c r="G311" s="2" t="inlineStr">
        <is>
          <t>Mairena del Aljarafe</t>
        </is>
      </c>
      <c r="H311" s="2" t="inlineStr">
        <is>
          <t>Presidencia del Instituto Municipal de Dinamización Ciudadana del Ayuntamiento de Mairena del Aljarafe</t>
        </is>
      </c>
      <c r="I311" s="2" t="inlineStr">
        <is>
          <t>Obra para la ejecución del proyecto de reducción de ruidos en las instalaciones del conjunto polideportivo Cavaleri, Tramo 1.</t>
        </is>
      </c>
      <c r="J311" s="2" t="inlineStr">
        <is>
          <t>650/2026</t>
        </is>
      </c>
      <c r="K311" s="2" t="inlineStr">
        <is>
          <t>Abierto simplificado</t>
        </is>
      </c>
      <c r="L311" s="6" t="n">
        <v>1</v>
      </c>
      <c r="M311" s="2" t="n"/>
      <c r="N311" s="7" t="n">
        <v>0</v>
      </c>
      <c r="O311" s="4" t="n"/>
      <c r="P311" s="2" t="inlineStr">
        <is>
          <t>45323000; 45262400; 45000000</t>
        </is>
      </c>
      <c r="Q311" s="8" t="inlineStr">
        <is>
          <t>Ver</t>
        </is>
      </c>
      <c r="R311" s="8" t="inlineStr">
        <is>
          <t>PCAP</t>
        </is>
      </c>
      <c r="S311" s="9" t="n">
        <v>46310</v>
      </c>
      <c r="T311" s="3" t="n">
        <v>46322.42326388889</v>
      </c>
      <c r="U311" s="2" t="inlineStr">
        <is>
          <t>2026-10-28: estado PUB → EV</t>
        </is>
      </c>
    </row>
    <row r="312">
      <c r="A312" s="2" t="inlineStr">
        <is>
          <t>Pendiente de adjudicación</t>
        </is>
      </c>
      <c r="B312" s="3" t="n">
        <v>46308.79166666666</v>
      </c>
      <c r="C312" s="5" t="n">
        <v>344018.13</v>
      </c>
      <c r="D312" s="5" t="n">
        <v>412821.76</v>
      </c>
      <c r="E312" s="2" t="inlineStr">
        <is>
          <t>Andalucía</t>
        </is>
      </c>
      <c r="F312" s="2" t="inlineStr">
        <is>
          <t>Sevilla</t>
        </is>
      </c>
      <c r="G312" s="2" t="inlineStr">
        <is>
          <t>Guillena</t>
        </is>
      </c>
      <c r="H312" s="2" t="inlineStr">
        <is>
          <t>Gerencia de la Empresa Mancomunada del Aljarafe, S.A. (ALJARAFESA)</t>
        </is>
      </c>
      <c r="I312" s="2" t="inlineStr">
        <is>
          <t>Proyecto Constructivo: Sistema de Recloración del Agua de Abastecimiento al Polígono Industrial de El Esparragal, en el municipio de Guillena (Sevilla)</t>
        </is>
      </c>
      <c r="J312" s="2" t="inlineStr">
        <is>
          <t>PAA/175/2026</t>
        </is>
      </c>
      <c r="K312" s="2" t="inlineStr">
        <is>
          <t>Abierto</t>
        </is>
      </c>
      <c r="L312" s="6" t="n">
        <v>6</v>
      </c>
      <c r="M312" s="2" t="inlineStr">
        <is>
          <t>I5-3</t>
        </is>
      </c>
      <c r="N312" s="7" t="n">
        <v>0</v>
      </c>
      <c r="O312" s="4" t="n"/>
      <c r="P312" s="2" t="inlineStr">
        <is>
          <t>45231300; 51220000; 45232100; 45310000</t>
        </is>
      </c>
      <c r="Q312" s="8" t="inlineStr">
        <is>
          <t>Ver</t>
        </is>
      </c>
      <c r="R312" s="8" t="inlineStr">
        <is>
          <t>PCAP</t>
        </is>
      </c>
      <c r="S312" s="9" t="n">
        <v>46315</v>
      </c>
      <c r="T312" s="3" t="n">
        <v>46322.42196759259</v>
      </c>
      <c r="U312" s="2" t="n"/>
    </row>
    <row r="313">
      <c r="A313" s="2" t="inlineStr">
        <is>
          <t>Resuelta</t>
        </is>
      </c>
      <c r="B313" s="3" t="n">
        <v>46093.99930555555</v>
      </c>
      <c r="C313" s="5" t="n">
        <v>146606.76</v>
      </c>
      <c r="D313" s="5" t="n">
        <v>146606.76</v>
      </c>
      <c r="E313" s="2" t="inlineStr">
        <is>
          <t>Comunitat Valenciana</t>
        </is>
      </c>
      <c r="F313" s="2" t="inlineStr">
        <is>
          <t>Alicante</t>
        </is>
      </c>
      <c r="G313" s="2" t="n"/>
      <c r="H313" s="2" t="inlineStr">
        <is>
          <t>Junta de Gobierno del Ayuntamiento de Torrevieja</t>
        </is>
      </c>
      <c r="I313" s="2" t="inlineStr">
        <is>
          <t>Contratación de la ejecución de las obras de renovación del alumbrado público en Avda. Baleares y Adyacentes, tramitación anticipada del gasto, descrita en el proyecto incluido en el expediente 31993/2021</t>
        </is>
      </c>
      <c r="J313" s="2" t="inlineStr">
        <is>
          <t>71510/2023</t>
        </is>
      </c>
      <c r="K313" s="2" t="inlineStr">
        <is>
          <t>Abierto simplificado</t>
        </is>
      </c>
      <c r="L313" s="6" t="n">
        <v>4</v>
      </c>
      <c r="M313" s="2" t="n"/>
      <c r="N313" s="7" t="n">
        <v>0</v>
      </c>
      <c r="O313" s="4" t="n"/>
      <c r="P313" s="2" t="inlineStr">
        <is>
          <t>45316000; 45316100; 34928500</t>
        </is>
      </c>
      <c r="Q313" s="8" t="inlineStr">
        <is>
          <t>Ver</t>
        </is>
      </c>
      <c r="R313" s="8" t="inlineStr">
        <is>
          <t>PCAP</t>
        </is>
      </c>
      <c r="S313" s="9" t="n">
        <v>46323</v>
      </c>
      <c r="T313" s="3" t="n">
        <v>46322.42168981482</v>
      </c>
      <c r="U313" s="2" t="n"/>
    </row>
    <row r="314">
      <c r="A314" s="2" t="inlineStr">
        <is>
          <t>Pendiente de adjudicación</t>
        </is>
      </c>
      <c r="B314" s="3" t="n">
        <v>46251.99930555555</v>
      </c>
      <c r="C314" s="5" t="n">
        <v>300285.16</v>
      </c>
      <c r="D314" s="5" t="n">
        <v>300285.16</v>
      </c>
      <c r="E314" s="2" t="inlineStr">
        <is>
          <t>Andalucía</t>
        </is>
      </c>
      <c r="F314" s="2" t="inlineStr">
        <is>
          <t>Málaga</t>
        </is>
      </c>
      <c r="G314" s="2" t="n"/>
      <c r="H314" s="2" t="inlineStr">
        <is>
          <t>Junta de Gobierno del Ayuntamiento de Fuengirola</t>
        </is>
      </c>
      <c r="I314" s="2" t="inlineStr">
        <is>
          <t>Obras de remodelación de la plaza del Carmen, de Fuengirola.</t>
        </is>
      </c>
      <c r="J314" s="2" t="inlineStr">
        <is>
          <t>CONTR-2026000061</t>
        </is>
      </c>
      <c r="K314" s="2" t="inlineStr">
        <is>
          <t>Abierto</t>
        </is>
      </c>
      <c r="L314" s="6" t="n">
        <v>3.5</v>
      </c>
      <c r="M314" s="2" t="n"/>
      <c r="N314" s="7" t="n">
        <v>0.49</v>
      </c>
      <c r="O314" s="4" t="n"/>
      <c r="P314" s="2" t="inlineStr">
        <is>
          <t>45233140</t>
        </is>
      </c>
      <c r="Q314" s="8" t="inlineStr">
        <is>
          <t>Ver</t>
        </is>
      </c>
      <c r="R314" s="8" t="inlineStr">
        <is>
          <t>PCAP</t>
        </is>
      </c>
      <c r="S314" s="9" t="n">
        <v>46317</v>
      </c>
      <c r="T314" s="3" t="n">
        <v>46322.42127314815</v>
      </c>
      <c r="U314" s="2" t="n"/>
    </row>
    <row r="315">
      <c r="A315" s="2" t="inlineStr">
        <is>
          <t>Pendiente de adjudicación</t>
        </is>
      </c>
      <c r="B315" s="3" t="n">
        <v>46281.5625</v>
      </c>
      <c r="C315" s="5" t="n">
        <v>5301159.98</v>
      </c>
      <c r="D315" s="5" t="n">
        <v>5301159.98</v>
      </c>
      <c r="E315" s="2" t="inlineStr">
        <is>
          <t>Andalucía</t>
        </is>
      </c>
      <c r="F315" s="2" t="inlineStr">
        <is>
          <t>Cádiz</t>
        </is>
      </c>
      <c r="G315" s="2" t="inlineStr">
        <is>
          <t>Chiclana de la Frontera</t>
        </is>
      </c>
      <c r="H315" s="2" t="inlineStr">
        <is>
          <t>Junta de Gobierno del Ayuntamiento de Chiclana de la Frontera</t>
        </is>
      </c>
      <c r="I315" s="2" t="inlineStr">
        <is>
          <t>Obras de piscina cubierta municipal La Longuera, cofinanciada como parte del Plan de Actuación Integrado (PAI) de Chiclana de la Frontera (actuación 2.1 dentro del proyecto mejora de equipamientos para la cohesión social y la promoción económica) en el marco del Desarrollo Urbano Sostenible, con cargo al Fondo Europeo de Desarrollo Regional (FEDER) en el periodo de programación 2021-2027.</t>
        </is>
      </c>
      <c r="J315" s="2" t="inlineStr">
        <is>
          <t>54/2026</t>
        </is>
      </c>
      <c r="K315" s="2" t="inlineStr">
        <is>
          <t>Abierto</t>
        </is>
      </c>
      <c r="L315" s="6" t="n">
        <v>24</v>
      </c>
      <c r="M315" s="2" t="inlineStr">
        <is>
          <t>C2-5</t>
        </is>
      </c>
      <c r="N315" s="7" t="n">
        <v>0</v>
      </c>
      <c r="O315" s="4" t="n"/>
      <c r="P315" s="2" t="inlineStr">
        <is>
          <t>45212212; 45212200</t>
        </is>
      </c>
      <c r="Q315" s="8" t="inlineStr">
        <is>
          <t>Ver</t>
        </is>
      </c>
      <c r="R315" s="8" t="inlineStr">
        <is>
          <t>PCAP</t>
        </is>
      </c>
      <c r="S315" s="9" t="n">
        <v>46317</v>
      </c>
      <c r="T315" s="3" t="n">
        <v>46322.42012731481</v>
      </c>
      <c r="U315" s="2" t="n"/>
    </row>
    <row r="316">
      <c r="A316" s="2" t="inlineStr">
        <is>
          <t>Pendiente de adjudicación</t>
        </is>
      </c>
      <c r="B316" s="3" t="n">
        <v>46311.5625</v>
      </c>
      <c r="C316" s="5" t="n">
        <v>1197787.61</v>
      </c>
      <c r="D316" s="5" t="n">
        <v>1197787.61</v>
      </c>
      <c r="E316" s="2" t="inlineStr">
        <is>
          <t>Andalucía</t>
        </is>
      </c>
      <c r="F316" s="2" t="inlineStr">
        <is>
          <t>Cádiz</t>
        </is>
      </c>
      <c r="G316" s="2" t="n"/>
      <c r="H316" s="2" t="inlineStr">
        <is>
          <t>Junta de Gobierno del Ayuntamiento de Chiclana de la Frontera</t>
        </is>
      </c>
      <c r="I316" s="2" t="inlineStr">
        <is>
          <t>Obras de ejecución del Espacio Escénico Torre Cerro del Castillo, cofinanciadas como parte del Plan de Actuación Integrado (PAI) de Chiclana de la Frontera, en el marco del Desarrollo Urbano Sostenible, con cargo al Fondo Europeo de Desarrollo Regional en el periodo de programación 2021-2027.</t>
        </is>
      </c>
      <c r="J316" s="2" t="inlineStr">
        <is>
          <t>62/2026</t>
        </is>
      </c>
      <c r="K316" s="2" t="inlineStr">
        <is>
          <t>Abierto simplificado</t>
        </is>
      </c>
      <c r="L316" s="6" t="n">
        <v>15</v>
      </c>
      <c r="M316" s="2" t="inlineStr">
        <is>
          <t>G6-4</t>
        </is>
      </c>
      <c r="N316" s="7" t="n">
        <v>0</v>
      </c>
      <c r="O316" s="4" t="n"/>
      <c r="P316" s="2" t="inlineStr">
        <is>
          <t>45233140; 45233222; 45236200; 45233262</t>
        </is>
      </c>
      <c r="Q316" s="8" t="inlineStr">
        <is>
          <t>Ver</t>
        </is>
      </c>
      <c r="R316" s="8" t="inlineStr">
        <is>
          <t>PCAP</t>
        </is>
      </c>
      <c r="S316" s="9" t="n">
        <v>46317</v>
      </c>
      <c r="T316" s="3" t="n">
        <v>46322.41805555556</v>
      </c>
      <c r="U316" s="2" t="n"/>
    </row>
    <row r="317">
      <c r="A317" s="2" t="inlineStr">
        <is>
          <t>Pendiente de adjudicación</t>
        </is>
      </c>
      <c r="B317" s="3" t="n">
        <v>46311.5625</v>
      </c>
      <c r="C317" s="5" t="n">
        <v>481277.21</v>
      </c>
      <c r="D317" s="5" t="n">
        <v>481277.21</v>
      </c>
      <c r="E317" s="2" t="inlineStr">
        <is>
          <t>Andalucía</t>
        </is>
      </c>
      <c r="F317" s="2" t="inlineStr">
        <is>
          <t>Cádiz</t>
        </is>
      </c>
      <c r="G317" s="2" t="n"/>
      <c r="H317" s="2" t="inlineStr">
        <is>
          <t>Junta de Gobierno del Ayuntamiento de Chiclana de la Frontera</t>
        </is>
      </c>
      <c r="I317" s="2" t="inlineStr">
        <is>
          <t>Obras de reparación de daños en infraestructuras viarias municipales, subvencionadas por la Junta de Andalucía, Decreto 277/2023.</t>
        </is>
      </c>
      <c r="J317" s="2" t="inlineStr">
        <is>
          <t>58/2026</t>
        </is>
      </c>
      <c r="K317" s="2" t="inlineStr">
        <is>
          <t>Abierto simplificado</t>
        </is>
      </c>
      <c r="L317" s="6" t="n">
        <v>3</v>
      </c>
      <c r="M317" s="2" t="n"/>
      <c r="N317" s="7" t="n">
        <v>0.25</v>
      </c>
      <c r="O317" s="4" t="n"/>
      <c r="P317" s="2" t="inlineStr">
        <is>
          <t>45233140</t>
        </is>
      </c>
      <c r="Q317" s="8" t="inlineStr">
        <is>
          <t>Ver</t>
        </is>
      </c>
      <c r="R317" s="8" t="inlineStr">
        <is>
          <t>PCAP</t>
        </is>
      </c>
      <c r="S317" s="9" t="n">
        <v>46317</v>
      </c>
      <c r="T317" s="3" t="n">
        <v>46322.41716435185</v>
      </c>
      <c r="U317" s="2" t="n"/>
    </row>
    <row r="318">
      <c r="A318" s="2" t="inlineStr">
        <is>
          <t>Resuelta</t>
        </is>
      </c>
      <c r="B318" s="3" t="n">
        <v>46223.625</v>
      </c>
      <c r="C318" s="5" t="n">
        <v>271261.56</v>
      </c>
      <c r="D318" s="5" t="n">
        <v>271261.56</v>
      </c>
      <c r="E318" s="2" t="inlineStr">
        <is>
          <t>Comunitat Valenciana</t>
        </is>
      </c>
      <c r="F318" s="2" t="inlineStr">
        <is>
          <t>Castellón</t>
        </is>
      </c>
      <c r="G318" s="2" t="inlineStr">
        <is>
          <t>Vinaròs (Castelló)</t>
        </is>
      </c>
      <c r="H318" s="2" t="inlineStr">
        <is>
          <t>Dirección Territorial de Educación y Universidades de Castellón</t>
        </is>
      </c>
      <c r="I318" s="2" t="inlineStr">
        <is>
          <t>Pista deportiva en el IES Leopoldo Querol</t>
        </is>
      </c>
      <c r="J318" s="2" t="inlineStr">
        <is>
          <t>CMAYOR/2026/19Y14/0064</t>
        </is>
      </c>
      <c r="K318" s="2" t="inlineStr">
        <is>
          <t>Abierto simplificado</t>
        </is>
      </c>
      <c r="L318" s="6" t="n">
        <v>4</v>
      </c>
      <c r="M318" s="2" t="n"/>
      <c r="N318" s="7" t="n">
        <v>0</v>
      </c>
      <c r="O318" s="4" t="n"/>
      <c r="P318" s="2" t="inlineStr">
        <is>
          <t>45214220</t>
        </is>
      </c>
      <c r="Q318" s="8" t="inlineStr">
        <is>
          <t>Ver</t>
        </is>
      </c>
      <c r="R318" s="8" t="inlineStr">
        <is>
          <t>PCAP</t>
        </is>
      </c>
      <c r="S318" s="9" t="n">
        <v>46310</v>
      </c>
      <c r="T318" s="3" t="n">
        <v>46322.41574074074</v>
      </c>
      <c r="U318" s="2" t="inlineStr">
        <is>
          <t>2026-10-28: estado ADJ → RES</t>
        </is>
      </c>
    </row>
    <row r="319">
      <c r="A319" s="2" t="inlineStr">
        <is>
          <t>Resuelta</t>
        </is>
      </c>
      <c r="B319" s="3" t="n">
        <v>46267.99930555555</v>
      </c>
      <c r="C319" s="5" t="n">
        <v>495867.77</v>
      </c>
      <c r="D319" s="5" t="n">
        <v>495867.77</v>
      </c>
      <c r="E319" s="2" t="inlineStr">
        <is>
          <t>Andalucía</t>
        </is>
      </c>
      <c r="F319" s="2" t="inlineStr">
        <is>
          <t>Sevilla</t>
        </is>
      </c>
      <c r="G319" s="2" t="n"/>
      <c r="H319" s="2" t="inlineStr">
        <is>
          <t>Alcaldia del Ayuntamiento de Carmona</t>
        </is>
      </c>
      <c r="I319" s="2" t="inlineStr">
        <is>
          <t>Obra para repavimentación de varias calles del conjunto urbano del municipio de Carmona correspondiente al vi plan de asfaltado del Excmo. Ayuntamiento de Carmona integrado dentro del plan provincial de cooperación general de la diputación de Sevilla, Más Sevilla.</t>
        </is>
      </c>
      <c r="J319" s="2" t="inlineStr">
        <is>
          <t>EXP 26-173-05</t>
        </is>
      </c>
      <c r="K319" s="2" t="inlineStr">
        <is>
          <t>Abierto simplificado</t>
        </is>
      </c>
      <c r="L319" s="6" t="n">
        <v>3</v>
      </c>
      <c r="M319" s="2" t="n"/>
      <c r="N319" s="7" t="n">
        <v>0</v>
      </c>
      <c r="O319" s="4" t="n"/>
      <c r="P319" s="2" t="inlineStr">
        <is>
          <t>45233223; 45233222; 45233261; 45233252</t>
        </is>
      </c>
      <c r="Q319" s="8" t="inlineStr">
        <is>
          <t>Ver</t>
        </is>
      </c>
      <c r="R319" s="8" t="inlineStr">
        <is>
          <t>PCAP</t>
        </is>
      </c>
      <c r="S319" s="9" t="n">
        <v>46317</v>
      </c>
      <c r="T319" s="3" t="n">
        <v>46322.41516203704</v>
      </c>
      <c r="U319" s="2" t="inlineStr">
        <is>
          <t>2026-10-28: estado ADJ → RES</t>
        </is>
      </c>
    </row>
    <row r="320">
      <c r="A320" s="2" t="inlineStr">
        <is>
          <t>Pendiente de adjudicación</t>
        </is>
      </c>
      <c r="B320" s="3" t="n">
        <v>46245.5625</v>
      </c>
      <c r="C320" s="5" t="n">
        <v>661641.49</v>
      </c>
      <c r="D320" s="5" t="n">
        <v>661641.49</v>
      </c>
      <c r="E320" s="2" t="inlineStr">
        <is>
          <t>Andalucía</t>
        </is>
      </c>
      <c r="F320" s="2" t="inlineStr">
        <is>
          <t>Cádiz</t>
        </is>
      </c>
      <c r="G320" s="2" t="n"/>
      <c r="H320" s="2" t="inlineStr">
        <is>
          <t>Junta de Gobierno del Ayuntamiento de Chiclana de la Frontera</t>
        </is>
      </c>
      <c r="I320" s="2" t="inlineStr">
        <is>
          <t>Obras de Plan de Barriadas Fase I.</t>
        </is>
      </c>
      <c r="J320" s="2" t="inlineStr">
        <is>
          <t>42/2026</t>
        </is>
      </c>
      <c r="K320" s="2" t="inlineStr">
        <is>
          <t>Abierto simplificado</t>
        </is>
      </c>
      <c r="L320" s="6" t="n">
        <v>7</v>
      </c>
      <c r="M320" s="2" t="inlineStr">
        <is>
          <t>C4-3; C9-3</t>
        </is>
      </c>
      <c r="N320" s="7" t="n">
        <v>0.15</v>
      </c>
      <c r="O320" s="4" t="n">
        <v>2</v>
      </c>
      <c r="P320" s="2" t="inlineStr">
        <is>
          <t>45233140; 45236290</t>
        </is>
      </c>
      <c r="Q320" s="8" t="inlineStr">
        <is>
          <t>Ver</t>
        </is>
      </c>
      <c r="R320" s="8" t="inlineStr">
        <is>
          <t>PCAP</t>
        </is>
      </c>
      <c r="S320" s="9" t="n">
        <v>46310</v>
      </c>
      <c r="T320" s="3" t="n">
        <v>46322.41320601852</v>
      </c>
      <c r="U320" s="2" t="n"/>
    </row>
    <row r="321">
      <c r="A321" s="2" t="inlineStr">
        <is>
          <t>Pendiente de adjudicación</t>
        </is>
      </c>
      <c r="B321" s="3" t="n">
        <v>46259.99930555555</v>
      </c>
      <c r="C321" s="5" t="n">
        <v>256415.47</v>
      </c>
      <c r="D321" s="5" t="n">
        <v>256415.47</v>
      </c>
      <c r="E321" s="2" t="inlineStr">
        <is>
          <t>Andalucía</t>
        </is>
      </c>
      <c r="F321" s="2" t="inlineStr">
        <is>
          <t>Granada</t>
        </is>
      </c>
      <c r="G321" s="2" t="n"/>
      <c r="H321" s="2" t="inlineStr">
        <is>
          <t>Alcaldía del Ayuntamiento de Cenes de la Vega</t>
        </is>
      </c>
      <c r="I321" s="2" t="inlineStr">
        <is>
          <t>Ejecución de las obras descritas en el proyecto de REMODELACIÓN CALLE MARÍA PINET Y CALLE LA PAZ (TRAMO 1), suscrito por Juan Francisco Hernández Vico, Ingeniero Técnico de Obras Públicas.</t>
        </is>
      </c>
      <c r="J321" s="2" t="inlineStr">
        <is>
          <t>1581/2026</t>
        </is>
      </c>
      <c r="K321" s="2" t="inlineStr">
        <is>
          <t>Abierto simplificado</t>
        </is>
      </c>
      <c r="L321" s="6" t="n">
        <v>6</v>
      </c>
      <c r="M321" s="2" t="n"/>
      <c r="N321" s="7" t="n">
        <v>0</v>
      </c>
      <c r="O321" s="4" t="n"/>
      <c r="P321" s="2" t="inlineStr">
        <is>
          <t>45233252</t>
        </is>
      </c>
      <c r="Q321" s="8" t="inlineStr">
        <is>
          <t>Ver</t>
        </is>
      </c>
      <c r="R321" s="8" t="inlineStr">
        <is>
          <t>PCAP</t>
        </is>
      </c>
      <c r="S321" s="9" t="n">
        <v>46323</v>
      </c>
      <c r="T321" s="3" t="n">
        <v>46322.41255787037</v>
      </c>
      <c r="U321" s="2" t="n"/>
    </row>
    <row r="322">
      <c r="A322" s="2" t="inlineStr">
        <is>
          <t>En plazo</t>
        </is>
      </c>
      <c r="B322" s="3" t="n">
        <v>46329.99930555555</v>
      </c>
      <c r="C322" s="5" t="n">
        <v>310701.71</v>
      </c>
      <c r="D322" s="5" t="n">
        <v>310701.71</v>
      </c>
      <c r="E322" s="2" t="inlineStr">
        <is>
          <t>Comunitat Valenciana</t>
        </is>
      </c>
      <c r="F322" s="2" t="inlineStr">
        <is>
          <t>Valencia</t>
        </is>
      </c>
      <c r="G322" s="2" t="inlineStr">
        <is>
          <t>Utiel</t>
        </is>
      </c>
      <c r="H322" s="2" t="inlineStr">
        <is>
          <t>Alcaldía del Ayuntamiento de Utiel</t>
        </is>
      </c>
      <c r="I322" s="2" t="inlineStr">
        <is>
          <t>Reurbanización de la C/ Beato Galvez de Utiel</t>
        </is>
      </c>
      <c r="J322" s="2" t="inlineStr">
        <is>
          <t>431/2026</t>
        </is>
      </c>
      <c r="K322" s="2" t="inlineStr">
        <is>
          <t>Abierto simplificado</t>
        </is>
      </c>
      <c r="L322" s="6" t="n">
        <v>5</v>
      </c>
      <c r="M322" s="2" t="n"/>
      <c r="N322" s="7" t="n">
        <v>0</v>
      </c>
      <c r="O322" s="4" t="n"/>
      <c r="P322" s="2" t="inlineStr">
        <is>
          <t>45233252</t>
        </is>
      </c>
      <c r="Q322" s="8" t="inlineStr">
        <is>
          <t>Ver</t>
        </is>
      </c>
      <c r="R322" s="8" t="inlineStr">
        <is>
          <t>PCAP</t>
        </is>
      </c>
      <c r="S322" s="9" t="n">
        <v>46310</v>
      </c>
      <c r="T322" s="3" t="n">
        <v>46322.41024305556</v>
      </c>
      <c r="U322" s="2" t="n"/>
    </row>
    <row r="323">
      <c r="A323" s="2" t="inlineStr">
        <is>
          <t>Resuelta</t>
        </is>
      </c>
      <c r="B323" s="3" t="n">
        <v>46317.99930555555</v>
      </c>
      <c r="C323" s="5" t="n">
        <v>227271.52</v>
      </c>
      <c r="D323" s="5" t="n">
        <v>227271.52</v>
      </c>
      <c r="E323" s="2" t="inlineStr">
        <is>
          <t>Andalucía</t>
        </is>
      </c>
      <c r="F323" s="2" t="inlineStr">
        <is>
          <t>Málaga</t>
        </is>
      </c>
      <c r="G323" s="2" t="n"/>
      <c r="H323" s="2" t="inlineStr">
        <is>
          <t>Alcaldía del Ayuntamiento de Alhaurín de la Torre</t>
        </is>
      </c>
      <c r="I323" s="2" t="inlineStr">
        <is>
          <t>Plan de asfalto 2026: Varios viales en el casco urbano, urbanización Pinos de Alhaurín Y Ermita del Cerro</t>
        </is>
      </c>
      <c r="J323" s="2" t="inlineStr">
        <is>
          <t>2026 CONT-00035</t>
        </is>
      </c>
      <c r="K323" s="2" t="inlineStr">
        <is>
          <t>Abierto simplificado</t>
        </is>
      </c>
      <c r="L323" s="6" t="n">
        <v>2</v>
      </c>
      <c r="M323" s="2" t="n"/>
      <c r="N323" s="7" t="n">
        <v>0</v>
      </c>
      <c r="O323" s="4" t="n"/>
      <c r="P323" s="2" t="inlineStr">
        <is>
          <t>45233252</t>
        </is>
      </c>
      <c r="Q323" s="8" t="inlineStr">
        <is>
          <t>Ver</t>
        </is>
      </c>
      <c r="R323" s="8" t="inlineStr">
        <is>
          <t>PCAP</t>
        </is>
      </c>
      <c r="S323" s="9" t="n">
        <v>46323</v>
      </c>
      <c r="T323" s="3" t="n">
        <v>46322.40850694444</v>
      </c>
      <c r="U323" s="2" t="n"/>
    </row>
    <row r="324">
      <c r="A324" s="2" t="inlineStr">
        <is>
          <t>Resuelta</t>
        </is>
      </c>
      <c r="B324" s="3" t="n">
        <v>46087.625</v>
      </c>
      <c r="C324" s="5" t="n">
        <v>21590066.35</v>
      </c>
      <c r="D324" s="5" t="n">
        <v>21590066.35</v>
      </c>
      <c r="E324" s="2" t="inlineStr">
        <is>
          <t>Andalucía</t>
        </is>
      </c>
      <c r="F324" s="2" t="inlineStr">
        <is>
          <t>Cádiz</t>
        </is>
      </c>
      <c r="G324" s="2" t="n"/>
      <c r="H324" s="2" t="inlineStr">
        <is>
          <t>Dirección General de Carreteras</t>
        </is>
      </c>
      <c r="I324" s="2" t="inlineStr">
        <is>
          <t>32-CA-5200; 54.909/25 Rehabilitación superficial del firme en la autovía A-48 entre sus PP.KK. 3+000 al 36+700 y la carretera N-340 entre los PP.KK. 24+000 al 36+300. Provincia de Cádiz</t>
        </is>
      </c>
      <c r="J324" s="2" t="inlineStr">
        <is>
          <t>C54251152000</t>
        </is>
      </c>
      <c r="K324" s="2" t="inlineStr">
        <is>
          <t>Abierto</t>
        </is>
      </c>
      <c r="L324" s="6" t="n">
        <v>20</v>
      </c>
      <c r="M324" s="2" t="inlineStr">
        <is>
          <t>G4-6</t>
        </is>
      </c>
      <c r="N324" s="7" t="n">
        <v>0.4</v>
      </c>
      <c r="O324" s="4" t="n"/>
      <c r="P324" s="2" t="inlineStr">
        <is>
          <t>45233000</t>
        </is>
      </c>
      <c r="Q324" s="8" t="inlineStr">
        <is>
          <t>Ver</t>
        </is>
      </c>
      <c r="R324" s="8" t="inlineStr">
        <is>
          <t>PCAP</t>
        </is>
      </c>
      <c r="S324" s="9" t="n">
        <v>46323</v>
      </c>
      <c r="T324" s="3" t="n">
        <v>46322.4056712963</v>
      </c>
      <c r="U324" s="2" t="n"/>
    </row>
    <row r="325">
      <c r="A325" s="2" t="inlineStr">
        <is>
          <t>Pendiente de adjudicación</t>
        </is>
      </c>
      <c r="B325" s="3" t="n">
        <v>46286.45833333334</v>
      </c>
      <c r="C325" s="5" t="n">
        <v>3331612.22</v>
      </c>
      <c r="D325" s="5" t="n">
        <v>3331612.22</v>
      </c>
      <c r="E325" s="2" t="inlineStr">
        <is>
          <t>Andalucía</t>
        </is>
      </c>
      <c r="F325" s="2" t="inlineStr">
        <is>
          <t>Sevilla</t>
        </is>
      </c>
      <c r="G325" s="2" t="n"/>
      <c r="H325" s="2" t="inlineStr">
        <is>
          <t>Comisión Ejecutiva de la Gerencia de Urbanismo de Sevilla</t>
        </is>
      </c>
      <c r="I325" s="2" t="inlineStr">
        <is>
          <t>Obras Proyecto Básico y de Ejecución del Centro Cívico Tres Barrios-Amate.</t>
        </is>
      </c>
      <c r="J325" s="2" t="inlineStr">
        <is>
          <t>42/2026</t>
        </is>
      </c>
      <c r="K325" s="2" t="inlineStr">
        <is>
          <t>Abierto</t>
        </is>
      </c>
      <c r="L325" s="6" t="n">
        <v>16</v>
      </c>
      <c r="M325" s="2" t="inlineStr">
        <is>
          <t>C5-5; C2-5; C1-5; C4-5; C7-5; C9-5; C3-5; C8-5; C6-5</t>
        </is>
      </c>
      <c r="N325" s="7" t="n">
        <v>0.45</v>
      </c>
      <c r="O325" s="4" t="n"/>
      <c r="P325" s="2" t="inlineStr">
        <is>
          <t>45215222; 45212340; 45212310; 45212320</t>
        </is>
      </c>
      <c r="Q325" s="8" t="inlineStr">
        <is>
          <t>Ver</t>
        </is>
      </c>
      <c r="R325" s="8" t="inlineStr">
        <is>
          <t>PCAP</t>
        </is>
      </c>
      <c r="S325" s="9" t="n">
        <v>46323</v>
      </c>
      <c r="T325" s="3" t="n">
        <v>46322.4046875</v>
      </c>
      <c r="U325" s="2" t="n"/>
    </row>
    <row r="326">
      <c r="A326" s="2" t="inlineStr">
        <is>
          <t>Adjudicada</t>
        </is>
      </c>
      <c r="B326" s="3" t="n">
        <v>46071.79166666666</v>
      </c>
      <c r="C326" s="5" t="n">
        <v>5408921.9</v>
      </c>
      <c r="D326" s="5" t="n">
        <v>5408921.9</v>
      </c>
      <c r="E326" s="2" t="inlineStr">
        <is>
          <t>Comunitat Valenciana</t>
        </is>
      </c>
      <c r="F326" s="2" t="inlineStr">
        <is>
          <t>Valencia</t>
        </is>
      </c>
      <c r="G326" s="2" t="inlineStr">
        <is>
          <t>Orihuela (Alicante).</t>
        </is>
      </c>
      <c r="H326" s="2" t="inlineStr">
        <is>
          <t>Conselleria de Servicios Sociales, Familia e Infancia</t>
        </is>
      </c>
      <c r="I326" s="2" t="inlineStr">
        <is>
          <t>Ejecución de obras rehabilitación y adecuación en parte del antiguo asilo de Orihuela con destino a centro de personas con discapacidad</t>
        </is>
      </c>
      <c r="J326" s="2" t="inlineStr">
        <is>
          <t>CMAYOR/2025/30Y09/0077</t>
        </is>
      </c>
      <c r="K326" s="2" t="inlineStr">
        <is>
          <t>Abierto</t>
        </is>
      </c>
      <c r="L326" s="6" t="n">
        <v>14</v>
      </c>
      <c r="M326" s="2" t="inlineStr">
        <is>
          <t>C5-6</t>
        </is>
      </c>
      <c r="N326" s="7" t="n">
        <v>0.3</v>
      </c>
      <c r="O326" s="4" t="n"/>
      <c r="P326" s="2" t="inlineStr">
        <is>
          <t>45215200</t>
        </is>
      </c>
      <c r="Q326" s="8" t="inlineStr">
        <is>
          <t>Ver</t>
        </is>
      </c>
      <c r="R326" s="8" t="inlineStr">
        <is>
          <t>PCAP</t>
        </is>
      </c>
      <c r="S326" s="9" t="n">
        <v>46323</v>
      </c>
      <c r="T326" s="3" t="n">
        <v>46322.40420138889</v>
      </c>
      <c r="U326" s="2" t="n"/>
    </row>
    <row r="327">
      <c r="A327" s="2" t="inlineStr">
        <is>
          <t>En plazo</t>
        </is>
      </c>
      <c r="B327" s="3" t="n">
        <v>46338.99930555555</v>
      </c>
      <c r="C327" s="5" t="n">
        <v>223895.1</v>
      </c>
      <c r="D327" s="5" t="n">
        <v>223895.1</v>
      </c>
      <c r="E327" s="2" t="inlineStr">
        <is>
          <t>Andalucía</t>
        </is>
      </c>
      <c r="F327" s="2" t="inlineStr">
        <is>
          <t>Jaén</t>
        </is>
      </c>
      <c r="G327" s="2" t="inlineStr">
        <is>
          <t>JAEN</t>
        </is>
      </c>
      <c r="H327" s="2" t="inlineStr">
        <is>
          <t>Presidencia de la Diputación Provincial de Jaén</t>
        </is>
      </c>
      <c r="I327" s="2" t="inlineStr">
        <is>
          <t>Contrato de obras de renovación instalación eléctrica y obras en edificios del área de Recaudación de Jaén.</t>
        </is>
      </c>
      <c r="J327" s="2" t="inlineStr">
        <is>
          <t>CO-2026/001163</t>
        </is>
      </c>
      <c r="K327" s="2" t="inlineStr">
        <is>
          <t>Abierto simplificado</t>
        </is>
      </c>
      <c r="L327" s="6" t="n">
        <v>5</v>
      </c>
      <c r="M327" s="2" t="n"/>
      <c r="N327" s="7" t="n">
        <v>0.25</v>
      </c>
      <c r="O327" s="4" t="n"/>
      <c r="P327" s="2" t="inlineStr">
        <is>
          <t>45453100</t>
        </is>
      </c>
      <c r="Q327" s="8" t="inlineStr">
        <is>
          <t>Ver</t>
        </is>
      </c>
      <c r="R327" s="8" t="inlineStr">
        <is>
          <t>PCAP</t>
        </is>
      </c>
      <c r="S327" s="9" t="n">
        <v>46321</v>
      </c>
      <c r="T327" s="3" t="n">
        <v>46322.40033564815</v>
      </c>
      <c r="U327" s="2" t="n"/>
    </row>
    <row r="328">
      <c r="A328" s="2" t="inlineStr">
        <is>
          <t>Resuelta</t>
        </is>
      </c>
      <c r="B328" s="3" t="n">
        <v>45530.79166666666</v>
      </c>
      <c r="C328" s="5" t="n">
        <v>30212946</v>
      </c>
      <c r="D328" s="5" t="n">
        <v>30212946</v>
      </c>
      <c r="E328" s="2" t="inlineStr">
        <is>
          <t>Comunitat Valenciana</t>
        </is>
      </c>
      <c r="F328" s="2" t="inlineStr">
        <is>
          <t>Castellón</t>
        </is>
      </c>
      <c r="G328" s="2" t="n"/>
      <c r="H328" s="2" t="inlineStr">
        <is>
          <t>Presidencia de la Autoridad Portuaria de Castellón</t>
        </is>
      </c>
      <c r="I328" s="2" t="inlineStr">
        <is>
          <t>Proyecto de Construcción de la Estación Intermodal de Castellón. Fase I</t>
        </is>
      </c>
      <c r="J328" s="2" t="inlineStr">
        <is>
          <t>900</t>
        </is>
      </c>
      <c r="K328" s="2" t="inlineStr">
        <is>
          <t>Abierto</t>
        </is>
      </c>
      <c r="L328" s="6" t="n">
        <v>18</v>
      </c>
      <c r="M328" s="2" t="inlineStr">
        <is>
          <t>A2-6</t>
        </is>
      </c>
      <c r="N328" s="7" t="n">
        <v>0.5</v>
      </c>
      <c r="O328" s="4" t="n"/>
      <c r="P328" s="2" t="inlineStr">
        <is>
          <t>45234100</t>
        </is>
      </c>
      <c r="Q328" s="8" t="inlineStr">
        <is>
          <t>Ver</t>
        </is>
      </c>
      <c r="R328" s="8" t="inlineStr">
        <is>
          <t>PCAP</t>
        </is>
      </c>
      <c r="S328" s="9" t="n">
        <v>46323</v>
      </c>
      <c r="T328" s="3" t="n">
        <v>46322.39789351852</v>
      </c>
      <c r="U328" s="2" t="n"/>
    </row>
    <row r="329">
      <c r="A329" s="2" t="inlineStr">
        <is>
          <t>Resuelta</t>
        </is>
      </c>
      <c r="B329" s="3" t="n">
        <v>46308.58333333334</v>
      </c>
      <c r="C329" s="5" t="n">
        <v>45000</v>
      </c>
      <c r="D329" s="5" t="n">
        <v>54450</v>
      </c>
      <c r="E329" s="2" t="inlineStr">
        <is>
          <t>Andalucía</t>
        </is>
      </c>
      <c r="F329" s="2" t="inlineStr">
        <is>
          <t>Jaén</t>
        </is>
      </c>
      <c r="G329" s="2" t="n"/>
      <c r="H329" s="2" t="inlineStr">
        <is>
          <t>Alcaldia del Ayuntamiento de Carboneros</t>
        </is>
      </c>
      <c r="I329" s="2" t="inlineStr">
        <is>
          <t>Adecuación de Nave Municipal para espacio empresarial</t>
        </is>
      </c>
      <c r="J329" s="2" t="inlineStr">
        <is>
          <t>2026-14</t>
        </is>
      </c>
      <c r="K329" s="2" t="inlineStr">
        <is>
          <t>Abierto simplificado</t>
        </is>
      </c>
      <c r="L329" s="6" t="n">
        <v>3</v>
      </c>
      <c r="M329" s="2" t="n"/>
      <c r="N329" s="7" t="n">
        <v>0</v>
      </c>
      <c r="O329" s="4" t="n"/>
      <c r="P329" s="2" t="inlineStr">
        <is>
          <t>45261000; 45232410; 45261410; 45111000; 45442100; 45112100; 45261420</t>
        </is>
      </c>
      <c r="Q329" s="8" t="inlineStr">
        <is>
          <t>Ver</t>
        </is>
      </c>
      <c r="R329" s="8" t="inlineStr">
        <is>
          <t>PCAP</t>
        </is>
      </c>
      <c r="S329" s="9" t="n">
        <v>46323</v>
      </c>
      <c r="T329" s="3" t="n">
        <v>46322.39739583333</v>
      </c>
      <c r="U329" s="2" t="n"/>
    </row>
    <row r="330">
      <c r="A330" s="2" t="inlineStr">
        <is>
          <t>Resuelta</t>
        </is>
      </c>
      <c r="B330" s="3" t="n">
        <v>46276.41666666666</v>
      </c>
      <c r="C330" s="5" t="n">
        <v>66690.36</v>
      </c>
      <c r="D330" s="5" t="n">
        <v>66690.36</v>
      </c>
      <c r="E330" s="2" t="inlineStr">
        <is>
          <t>Andalucía</t>
        </is>
      </c>
      <c r="F330" s="2" t="inlineStr">
        <is>
          <t>Sevilla</t>
        </is>
      </c>
      <c r="G330" s="2" t="n"/>
      <c r="H330" s="2" t="inlineStr">
        <is>
          <t>Jefatura de la Sección Económico Administrativa 24 de la Base Aérea de Morón</t>
        </is>
      </c>
      <c r="I330" s="2" t="inlineStr">
        <is>
          <t>2204/GRUAPO/ESLLA.Infraestructura. Saneamiento estructural y renovación de la cubierta de vehículos pesados de la Base Aérea de Morón y Ala 11.</t>
        </is>
      </c>
      <c r="J330" s="2" t="inlineStr">
        <is>
          <t>2026/EA24/00001958E</t>
        </is>
      </c>
      <c r="K330" s="2" t="inlineStr">
        <is>
          <t>Abierto simplificado</t>
        </is>
      </c>
      <c r="L330" s="6" t="n">
        <v>3</v>
      </c>
      <c r="M330" s="2" t="n"/>
      <c r="N330" s="7" t="n">
        <v>0</v>
      </c>
      <c r="O330" s="4" t="n"/>
      <c r="P330" s="2" t="inlineStr">
        <is>
          <t>45223300</t>
        </is>
      </c>
      <c r="Q330" s="8" t="inlineStr">
        <is>
          <t>Ver</t>
        </is>
      </c>
      <c r="R330" s="8" t="inlineStr">
        <is>
          <t>PCAP</t>
        </is>
      </c>
      <c r="S330" s="9" t="n">
        <v>46310</v>
      </c>
      <c r="T330" s="3" t="n">
        <v>46322.3969212963</v>
      </c>
      <c r="U330" s="2" t="inlineStr">
        <is>
          <t>2026-10-28: estado ADJ → RES</t>
        </is>
      </c>
    </row>
    <row r="331">
      <c r="A331" s="2" t="inlineStr">
        <is>
          <t>Pendiente de adjudicación</t>
        </is>
      </c>
      <c r="B331" s="3" t="n">
        <v>46238.99930555555</v>
      </c>
      <c r="C331" s="5" t="n">
        <v>82858.50999999999</v>
      </c>
      <c r="D331" s="5" t="n">
        <v>82858.50999999999</v>
      </c>
      <c r="E331" s="2" t="inlineStr">
        <is>
          <t>Comunitat Valenciana</t>
        </is>
      </c>
      <c r="F331" s="2" t="inlineStr">
        <is>
          <t>Castellón</t>
        </is>
      </c>
      <c r="G331" s="2" t="inlineStr">
        <is>
          <t>Benicarló</t>
        </is>
      </c>
      <c r="H331" s="2" t="inlineStr">
        <is>
          <t>Concejal delegado de Contratación, Patrimonio, Secretaria General, Servicios Lingüísticos, Servicios Informáticos, Administración Electrónica, Transparencia, Participación Ciudadana y Atención a la Ciudadanía del Ayuntamiento de Benicarló</t>
        </is>
      </c>
      <c r="I331" s="2" t="inlineStr">
        <is>
          <t>obras derribo edificio antiguo parque de bomberos</t>
        </is>
      </c>
      <c r="J331" s="2" t="inlineStr">
        <is>
          <t>15/2026 (1841728F)</t>
        </is>
      </c>
      <c r="K331" s="2" t="inlineStr">
        <is>
          <t>Abierto simplificado</t>
        </is>
      </c>
      <c r="L331" s="6" t="n">
        <v>3</v>
      </c>
      <c r="M331" s="2" t="n"/>
      <c r="N331" s="7" t="n">
        <v>0</v>
      </c>
      <c r="O331" s="4" t="n"/>
      <c r="P331" s="2" t="inlineStr">
        <is>
          <t>45110000</t>
        </is>
      </c>
      <c r="Q331" s="8" t="inlineStr">
        <is>
          <t>Ver</t>
        </is>
      </c>
      <c r="R331" s="8" t="inlineStr">
        <is>
          <t>PCAP</t>
        </is>
      </c>
      <c r="S331" s="9" t="n">
        <v>46310</v>
      </c>
      <c r="T331" s="3" t="n">
        <v>46322.39118055555</v>
      </c>
      <c r="U331" s="2" t="n"/>
    </row>
    <row r="332">
      <c r="A332" s="2" t="inlineStr">
        <is>
          <t>Pendiente de adjudicación</t>
        </is>
      </c>
      <c r="B332" s="3" t="n">
        <v>46301.99930555555</v>
      </c>
      <c r="C332" s="5" t="n">
        <v>82611.86</v>
      </c>
      <c r="D332" s="5" t="n">
        <v>82611.86</v>
      </c>
      <c r="E332" s="2" t="inlineStr">
        <is>
          <t>Andalucía</t>
        </is>
      </c>
      <c r="F332" s="2" t="inlineStr">
        <is>
          <t>Sevilla</t>
        </is>
      </c>
      <c r="G332" s="2" t="n"/>
      <c r="H332" s="2" t="inlineStr">
        <is>
          <t>Junta de Gobierno del Ayuntamiento de La Rinconada</t>
        </is>
      </c>
      <c r="I332"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332" s="2" t="inlineStr">
        <is>
          <t>16524/2026</t>
        </is>
      </c>
      <c r="K332" s="2" t="inlineStr">
        <is>
          <t>Abierto simplificado</t>
        </is>
      </c>
      <c r="L332" s="6" t="n">
        <v>2</v>
      </c>
      <c r="M332" s="2" t="n"/>
      <c r="N332" s="7" t="n">
        <v>0</v>
      </c>
      <c r="O332" s="4" t="n"/>
      <c r="P332" s="2" t="inlineStr">
        <is>
          <t>45453000</t>
        </is>
      </c>
      <c r="Q332" s="8" t="inlineStr">
        <is>
          <t>Ver</t>
        </is>
      </c>
      <c r="R332" s="8" t="inlineStr">
        <is>
          <t>PCAP</t>
        </is>
      </c>
      <c r="S332" s="9" t="n">
        <v>46311</v>
      </c>
      <c r="T332" s="3" t="n">
        <v>46322.39032407408</v>
      </c>
      <c r="U332" s="2" t="n"/>
    </row>
    <row r="333">
      <c r="A333" s="2" t="inlineStr">
        <is>
          <t>En plazo</t>
        </is>
      </c>
      <c r="B333" s="3" t="n">
        <v>46344.99930555555</v>
      </c>
      <c r="C333" s="5" t="n">
        <v>61789.61</v>
      </c>
      <c r="D333" s="5" t="n">
        <v>61789.61</v>
      </c>
      <c r="E333" s="2" t="inlineStr">
        <is>
          <t>Andalucía</t>
        </is>
      </c>
      <c r="F333" s="2" t="inlineStr">
        <is>
          <t>Jaén</t>
        </is>
      </c>
      <c r="G333" s="2" t="inlineStr">
        <is>
          <t>Pozo Alcon</t>
        </is>
      </c>
      <c r="H333" s="2" t="inlineStr">
        <is>
          <t>Alcaldía del Ayuntamiento de Pozo Alcón</t>
        </is>
      </c>
      <c r="I333" s="2" t="inlineStr">
        <is>
          <t>El objeto del contrato al que se refiere el presente pliego es la renovación y/o reposición del pavimento y acerado de varias calles del término municipal de Pozo Alcón.</t>
        </is>
      </c>
      <c r="J333" s="2" t="inlineStr">
        <is>
          <t>REPARACIÓN PAVIMENTO Y ACERADO</t>
        </is>
      </c>
      <c r="K333" s="2" t="inlineStr">
        <is>
          <t>Abierto simplificado</t>
        </is>
      </c>
      <c r="L333" s="6" t="n">
        <v>4</v>
      </c>
      <c r="M333" s="2" t="inlineStr">
        <is>
          <t>G6-1</t>
        </is>
      </c>
      <c r="N333" s="7" t="n">
        <v>0</v>
      </c>
      <c r="O333" s="4" t="n"/>
      <c r="P333" s="2" t="inlineStr">
        <is>
          <t>45000000</t>
        </is>
      </c>
      <c r="Q333" s="8" t="inlineStr">
        <is>
          <t>Ver</t>
        </is>
      </c>
      <c r="R333" s="8" t="inlineStr">
        <is>
          <t>PCAP</t>
        </is>
      </c>
      <c r="S333" s="9" t="n">
        <v>46323</v>
      </c>
      <c r="T333" s="3" t="n">
        <v>46322.38981481481</v>
      </c>
      <c r="U333" s="2" t="n"/>
    </row>
    <row r="334">
      <c r="A334" s="2" t="inlineStr">
        <is>
          <t>Pendiente de adjudicación</t>
        </is>
      </c>
      <c r="B334" s="3" t="n">
        <v>46286.99930555555</v>
      </c>
      <c r="C334" s="5" t="n">
        <v>1558461.68</v>
      </c>
      <c r="D334" s="5" t="n">
        <v>1558461.68</v>
      </c>
      <c r="E334" s="2" t="inlineStr">
        <is>
          <t>Comunitat Valenciana</t>
        </is>
      </c>
      <c r="F334" s="2" t="inlineStr">
        <is>
          <t>Castellón</t>
        </is>
      </c>
      <c r="G334" s="2" t="inlineStr">
        <is>
          <t>Benicarló</t>
        </is>
      </c>
      <c r="H334" s="2" t="inlineStr">
        <is>
          <t>Concejal delegado de Contratación, Patrimonio, Secretaria General, Servicios Lingüísticos, Servicios Informáticos, Administración Electrónica, Transparencia, Participación Ciudadana y Atención a la Ciudadanía del Ayuntamiento de Benicarló</t>
        </is>
      </c>
      <c r="I334"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334" s="2" t="inlineStr">
        <is>
          <t>27/2026</t>
        </is>
      </c>
      <c r="K334" s="2" t="inlineStr">
        <is>
          <t>Abierto simplificado</t>
        </is>
      </c>
      <c r="L334" s="6" t="n">
        <v>10</v>
      </c>
      <c r="M334" s="2" t="inlineStr">
        <is>
          <t>C3-3; G6-4</t>
        </is>
      </c>
      <c r="N334" s="7" t="n">
        <v>0.215</v>
      </c>
      <c r="O334" s="4" t="n"/>
      <c r="P334" s="2" t="inlineStr">
        <is>
          <t>45000000; 45213311</t>
        </is>
      </c>
      <c r="Q334" s="8" t="inlineStr">
        <is>
          <t>Ver</t>
        </is>
      </c>
      <c r="R334" s="8" t="inlineStr">
        <is>
          <t>PCAP</t>
        </is>
      </c>
      <c r="S334" s="9" t="n">
        <v>46310</v>
      </c>
      <c r="T334" s="3" t="n">
        <v>46322.38684027778</v>
      </c>
      <c r="U334" s="2" t="n"/>
    </row>
    <row r="335">
      <c r="A335" s="2" t="inlineStr">
        <is>
          <t>Adjudicada</t>
        </is>
      </c>
      <c r="B335" s="3" t="n">
        <v>46301.99930555555</v>
      </c>
      <c r="C335" s="5" t="n">
        <v>305785.12</v>
      </c>
      <c r="D335" s="5" t="n">
        <v>305785.12</v>
      </c>
      <c r="E335" s="2" t="inlineStr">
        <is>
          <t>Andalucía</t>
        </is>
      </c>
      <c r="F335" s="2" t="inlineStr">
        <is>
          <t>Sevilla</t>
        </is>
      </c>
      <c r="G335" s="2" t="n"/>
      <c r="H335" s="2" t="inlineStr">
        <is>
          <t>Alcaldía del Ayuntamiento de Alcalá del Río</t>
        </is>
      </c>
      <c r="I335" s="2" t="inlineStr">
        <is>
          <t>Obras de adecuación y mejora de parques municipales y construcción de auditorio al aire libre en Parque Concordia.</t>
        </is>
      </c>
      <c r="J335" s="2" t="inlineStr">
        <is>
          <t>P4100500J-2026/000012-PAAS</t>
        </is>
      </c>
      <c r="K335" s="2" t="inlineStr">
        <is>
          <t>Abierto simplificado</t>
        </is>
      </c>
      <c r="L335" s="6" t="n">
        <v>3</v>
      </c>
      <c r="M335" s="2" t="n"/>
      <c r="N335" s="7" t="n">
        <v>0</v>
      </c>
      <c r="O335" s="4" t="n"/>
      <c r="P335" s="2" t="inlineStr">
        <is>
          <t>45000000</t>
        </is>
      </c>
      <c r="Q335" s="8" t="inlineStr">
        <is>
          <t>Ver</t>
        </is>
      </c>
      <c r="R335" s="8" t="inlineStr">
        <is>
          <t>PCAP</t>
        </is>
      </c>
      <c r="S335" s="9" t="n">
        <v>46310</v>
      </c>
      <c r="T335" s="3" t="n">
        <v>46322.38384259259</v>
      </c>
      <c r="U335" s="2" t="inlineStr">
        <is>
          <t>2026-10-28: estado EV → ADJ</t>
        </is>
      </c>
    </row>
    <row r="336">
      <c r="A336" s="2" t="inlineStr">
        <is>
          <t>Resuelta</t>
        </is>
      </c>
      <c r="B336" s="3" t="n">
        <v>46202.54166666666</v>
      </c>
      <c r="C336" s="5" t="n">
        <v>1702260.35</v>
      </c>
      <c r="D336" s="5" t="n">
        <v>1872486.38</v>
      </c>
      <c r="E336" s="2" t="inlineStr">
        <is>
          <t>Comunitat Valenciana</t>
        </is>
      </c>
      <c r="F336" s="2" t="inlineStr">
        <is>
          <t>Valencia</t>
        </is>
      </c>
      <c r="G336" s="2" t="n"/>
      <c r="H336" s="2" t="inlineStr">
        <is>
          <t>Presidencia de la Diputación Provincial de Valencia</t>
        </is>
      </c>
      <c r="I336" s="2" t="inlineStr">
        <is>
          <t>S-513/O Acondicionamiento de nueva glorieta en el pk 0+315 de la CV-374. Término municipal Riba-Roja de Turia</t>
        </is>
      </c>
      <c r="J336" s="2" t="inlineStr">
        <is>
          <t>1461/25/CAR</t>
        </is>
      </c>
      <c r="K336" s="2" t="inlineStr">
        <is>
          <t>Abierto</t>
        </is>
      </c>
      <c r="L336" s="6" t="n">
        <v>11</v>
      </c>
      <c r="M336" s="2" t="inlineStr">
        <is>
          <t>G4-4</t>
        </is>
      </c>
      <c r="N336" s="7" t="n">
        <v>0.45</v>
      </c>
      <c r="O336" s="4" t="n"/>
      <c r="P336" s="2" t="inlineStr">
        <is>
          <t>45233128</t>
        </is>
      </c>
      <c r="Q336" s="8" t="inlineStr">
        <is>
          <t>Ver</t>
        </is>
      </c>
      <c r="R336" s="8" t="inlineStr">
        <is>
          <t>PCAP</t>
        </is>
      </c>
      <c r="S336" s="9" t="n">
        <v>46317</v>
      </c>
      <c r="T336" s="3" t="n">
        <v>46322.38366898148</v>
      </c>
      <c r="U336" s="2" t="inlineStr">
        <is>
          <t>2026-10-28: estado ADJ → RES</t>
        </is>
      </c>
    </row>
    <row r="337">
      <c r="A337" s="2" t="inlineStr">
        <is>
          <t>En plazo</t>
        </is>
      </c>
      <c r="B337" s="3" t="n">
        <v>46342.99930555555</v>
      </c>
      <c r="C337" s="5" t="n">
        <v>71388.34</v>
      </c>
      <c r="D337" s="5" t="n">
        <v>71388.34</v>
      </c>
      <c r="E337" s="2" t="inlineStr">
        <is>
          <t>Comunitat Valenciana</t>
        </is>
      </c>
      <c r="F337" s="2" t="inlineStr">
        <is>
          <t>Valencia</t>
        </is>
      </c>
      <c r="G337" s="2" t="inlineStr">
        <is>
          <t>Sedaví</t>
        </is>
      </c>
      <c r="H337" s="2" t="inlineStr">
        <is>
          <t>Junta de Gobierno del Ayuntamiento de Sedaví</t>
        </is>
      </c>
      <c r="I337" s="2" t="inlineStr">
        <is>
          <t>Obras de climatización y ventilación en la Biblioteca Municipal</t>
        </is>
      </c>
      <c r="J337" s="2" t="inlineStr">
        <is>
          <t>2026/24</t>
        </is>
      </c>
      <c r="K337" s="2" t="inlineStr">
        <is>
          <t>Abierto simplificado</t>
        </is>
      </c>
      <c r="L337" s="6" t="n">
        <v>3</v>
      </c>
      <c r="M337" s="2" t="n"/>
      <c r="N337" s="7" t="n">
        <v>0.25</v>
      </c>
      <c r="O337" s="4" t="n"/>
      <c r="P337" s="2" t="inlineStr">
        <is>
          <t>45331000</t>
        </is>
      </c>
      <c r="Q337" s="8" t="inlineStr">
        <is>
          <t>Ver</t>
        </is>
      </c>
      <c r="R337" s="8" t="inlineStr">
        <is>
          <t>PCAP</t>
        </is>
      </c>
      <c r="S337" s="9" t="n">
        <v>46323</v>
      </c>
      <c r="T337" s="3" t="n">
        <v>46322.38177083333</v>
      </c>
      <c r="U337" s="2" t="n"/>
    </row>
    <row r="338">
      <c r="A338" s="2" t="inlineStr">
        <is>
          <t>Resuelta</t>
        </is>
      </c>
      <c r="B338" s="3" t="n">
        <v>46296.45833333334</v>
      </c>
      <c r="C338" s="5" t="n">
        <v>6586.5</v>
      </c>
      <c r="D338" s="5" t="n">
        <v>6586.5</v>
      </c>
      <c r="E338" s="2" t="inlineStr">
        <is>
          <t>Comunitat Valenciana</t>
        </is>
      </c>
      <c r="F338" s="2" t="inlineStr">
        <is>
          <t>Castellón</t>
        </is>
      </c>
      <c r="G338" s="2" t="inlineStr">
        <is>
          <t>Castellón</t>
        </is>
      </c>
      <c r="H338" s="2" t="inlineStr">
        <is>
          <t>Jefatura de Intendencia de Asuntos Económicos Este</t>
        </is>
      </c>
      <c r="I338" s="2" t="inlineStr">
        <is>
          <t>Actualización sistema cctv RM. La Plana nucleo Castalia - Castellón</t>
        </is>
      </c>
      <c r="J338" s="2" t="inlineStr">
        <is>
          <t>2026/ETSAE0327/00006251E</t>
        </is>
      </c>
      <c r="K338" s="2" t="inlineStr">
        <is>
          <t>Abierto</t>
        </is>
      </c>
      <c r="L338" s="6" t="n">
        <v>1</v>
      </c>
      <c r="M338" s="2" t="n"/>
      <c r="N338" s="7" t="n">
        <v>0</v>
      </c>
      <c r="O338" s="4" t="n"/>
      <c r="P338" s="2" t="inlineStr">
        <is>
          <t>45111290</t>
        </is>
      </c>
      <c r="Q338" s="8" t="inlineStr">
        <is>
          <t>Ver</t>
        </is>
      </c>
      <c r="R338" s="8" t="inlineStr">
        <is>
          <t>PCAP</t>
        </is>
      </c>
      <c r="S338" s="9" t="n">
        <v>46323</v>
      </c>
      <c r="T338" s="3" t="n">
        <v>46322.36879629629</v>
      </c>
      <c r="U338" s="2" t="n"/>
    </row>
    <row r="339">
      <c r="A339" s="2" t="inlineStr">
        <is>
          <t>Pendiente de adjudicación</t>
        </is>
      </c>
      <c r="B339" s="3" t="n">
        <v>46259.99930555555</v>
      </c>
      <c r="C339" s="5" t="n">
        <v>9155275.939999999</v>
      </c>
      <c r="D339" s="5" t="n">
        <v>9155275.939999999</v>
      </c>
      <c r="E339" s="2" t="inlineStr">
        <is>
          <t>Comunitat Valenciana</t>
        </is>
      </c>
      <c r="F339" s="2" t="inlineStr">
        <is>
          <t>Alicante</t>
        </is>
      </c>
      <c r="G339" s="2" t="n"/>
      <c r="H339" s="2" t="inlineStr">
        <is>
          <t>Junta de Gobierno del Ayuntamiento de Torrevieja</t>
        </is>
      </c>
      <c r="I339" s="2" t="inlineStr">
        <is>
          <t>Contratación de las obras del Auditorio de Torrevieja, C/ Salero y Varadero completo, (exp. 21209/2021), pto de entronque en M.T. para suministro eléctrico y actualización red de A.P. y Evac. de Pluv. en el ámbito del Museo del Mar y Auditorio de Habaneras, mediante tramitación anticipada del gasto</t>
        </is>
      </c>
      <c r="J339" s="2" t="inlineStr">
        <is>
          <t>70106/2026</t>
        </is>
      </c>
      <c r="K339" s="2" t="inlineStr">
        <is>
          <t>Abierto</t>
        </is>
      </c>
      <c r="L339" s="6" t="n">
        <v>24</v>
      </c>
      <c r="M339" s="2" t="n"/>
      <c r="N339" s="7" t="n">
        <v>0.3</v>
      </c>
      <c r="O339" s="4" t="n"/>
      <c r="P339" s="2" t="inlineStr">
        <is>
          <t>45000000; 45112500; 45300000; 45400000; 43325000; 45316100; 45233140</t>
        </is>
      </c>
      <c r="Q339" s="8" t="inlineStr">
        <is>
          <t>Ver</t>
        </is>
      </c>
      <c r="R339" s="8" t="inlineStr">
        <is>
          <t>PCAP</t>
        </is>
      </c>
      <c r="S339" s="9" t="n">
        <v>46317</v>
      </c>
      <c r="T339" s="3" t="n">
        <v>46322.36811342592</v>
      </c>
      <c r="U339" s="2" t="n"/>
    </row>
    <row r="340">
      <c r="A340" s="2" t="inlineStr">
        <is>
          <t>Resuelta</t>
        </is>
      </c>
      <c r="B340" s="3" t="n">
        <v>46273.58333333334</v>
      </c>
      <c r="C340" s="5" t="n">
        <v>1729236.86</v>
      </c>
      <c r="D340" s="5" t="n">
        <v>1729236.86</v>
      </c>
      <c r="E340" s="2" t="inlineStr">
        <is>
          <t>Comunitat Valenciana</t>
        </is>
      </c>
      <c r="F340" s="2" t="inlineStr">
        <is>
          <t>Alicante</t>
        </is>
      </c>
      <c r="G340" s="2" t="inlineStr">
        <is>
          <t>Alicante (Alacant)</t>
        </is>
      </c>
      <c r="H340" s="2" t="inlineStr">
        <is>
          <t>Junta de Gobierno del Ayuntamiento de La Nucía</t>
        </is>
      </c>
      <c r="I340" s="2" t="inlineStr">
        <is>
          <t>Obras Ruta del Agua - galería subterránea</t>
        </is>
      </c>
      <c r="J340" s="2" t="inlineStr">
        <is>
          <t>4414/2026</t>
        </is>
      </c>
      <c r="K340" s="2" t="inlineStr">
        <is>
          <t>Abierto simplificado</t>
        </is>
      </c>
      <c r="L340" s="6" t="n">
        <v>10</v>
      </c>
      <c r="M340" s="2" t="n"/>
      <c r="N340" s="7" t="n"/>
      <c r="O340" s="4" t="n"/>
      <c r="P340" s="2" t="inlineStr">
        <is>
          <t>45220000; 45212350; 45310000; 45316000; 45221250; 45454100; 45112000; 45232452</t>
        </is>
      </c>
      <c r="Q340" s="8" t="inlineStr">
        <is>
          <t>Ver</t>
        </is>
      </c>
      <c r="R340" s="2" t="n"/>
      <c r="S340" s="9" t="n">
        <v>46322</v>
      </c>
      <c r="T340" s="3" t="n">
        <v>46322.36696759259</v>
      </c>
      <c r="U340" s="2" t="inlineStr">
        <is>
          <t>2026-10-28: estado ADJ → RES</t>
        </is>
      </c>
    </row>
    <row r="341">
      <c r="A341" s="2" t="inlineStr">
        <is>
          <t>Pendiente de adjudicación</t>
        </is>
      </c>
      <c r="B341" s="3" t="n">
        <v>46314.99930555555</v>
      </c>
      <c r="C341" s="5" t="n">
        <v>291065.31</v>
      </c>
      <c r="D341" s="5" t="n">
        <v>291065.31</v>
      </c>
      <c r="E341" s="2" t="inlineStr">
        <is>
          <t>Andalucía</t>
        </is>
      </c>
      <c r="F341" s="2" t="inlineStr">
        <is>
          <t>Córdoba</t>
        </is>
      </c>
      <c r="G341" s="2" t="inlineStr">
        <is>
          <t>Los Blázquez</t>
        </is>
      </c>
      <c r="H341" s="2" t="inlineStr">
        <is>
          <t>Diputado delegado de Infraestructuras, Sostenibilidad y Agricultura</t>
        </is>
      </c>
      <c r="I341" s="2" t="inlineStr">
        <is>
          <t>Contratación conjunta de la redacción de proyecto técnico constructivo y de ejecución de las obras para la Cubrición y mejora de la pista polideportiva municipal, en Los Blázquez (Córdoba), Obra incluida en los planes provinciales de obras y servicios 2024-2027 (bienio 2026-2027).</t>
        </is>
      </c>
      <c r="J341" s="2" t="inlineStr">
        <is>
          <t>649/26</t>
        </is>
      </c>
      <c r="K341" s="2" t="inlineStr">
        <is>
          <t>Abierto</t>
        </is>
      </c>
      <c r="L341" s="6" t="n">
        <v>6</v>
      </c>
      <c r="M341" s="2" t="n"/>
      <c r="N341" s="7" t="n">
        <v>0</v>
      </c>
      <c r="O341" s="4" t="n"/>
      <c r="P341" s="2" t="inlineStr">
        <is>
          <t>45261000; 45232130; 45310000; 71327000; 71245000; 45110000; 71242000</t>
        </is>
      </c>
      <c r="Q341" s="8" t="inlineStr">
        <is>
          <t>Ver</t>
        </is>
      </c>
      <c r="R341" s="8" t="inlineStr">
        <is>
          <t>PCAP</t>
        </is>
      </c>
      <c r="S341" s="9" t="n">
        <v>46317</v>
      </c>
      <c r="T341" s="3" t="n">
        <v>46322.36575231481</v>
      </c>
      <c r="U341" s="2" t="n"/>
    </row>
    <row r="342">
      <c r="A342" s="2" t="inlineStr">
        <is>
          <t>Pendiente de adjudicación</t>
        </is>
      </c>
      <c r="B342" s="3" t="n">
        <v>46317.99930555555</v>
      </c>
      <c r="C342" s="5" t="n">
        <v>654500</v>
      </c>
      <c r="D342" s="5" t="n">
        <v>654500</v>
      </c>
      <c r="E342" s="2" t="inlineStr">
        <is>
          <t>Comunitat Valenciana</t>
        </is>
      </c>
      <c r="F342" s="2" t="inlineStr">
        <is>
          <t>Valencia</t>
        </is>
      </c>
      <c r="G342" s="2" t="inlineStr">
        <is>
          <t>Xàtiva</t>
        </is>
      </c>
      <c r="H342" s="2" t="inlineStr">
        <is>
          <t>Alcaldía del Ayuntamiento de Xàtiva</t>
        </is>
      </c>
      <c r="I342" s="2" t="inlineStr">
        <is>
          <t>Acondicionamiento del firme en Avda. Corts Valencianes, Avda. Ausiàs March y otros de Xàtiva.</t>
        </is>
      </c>
      <c r="J342" s="2" t="inlineStr">
        <is>
          <t>12130/2026</t>
        </is>
      </c>
      <c r="K342" s="2" t="inlineStr">
        <is>
          <t>Abierto simplificado</t>
        </is>
      </c>
      <c r="L342" s="6" t="n">
        <v>4</v>
      </c>
      <c r="M342" s="2" t="n"/>
      <c r="N342" s="7" t="n">
        <v>0</v>
      </c>
      <c r="O342" s="4" t="n"/>
      <c r="P342" s="2" t="inlineStr">
        <is>
          <t>45233252; 45233220</t>
        </is>
      </c>
      <c r="Q342" s="8" t="inlineStr">
        <is>
          <t>Ver</t>
        </is>
      </c>
      <c r="R342" s="8" t="inlineStr">
        <is>
          <t>PCAP</t>
        </is>
      </c>
      <c r="S342" s="9" t="n">
        <v>46323</v>
      </c>
      <c r="T342" s="3" t="n">
        <v>46322.36471064815</v>
      </c>
      <c r="U342" s="2" t="n"/>
    </row>
    <row r="343">
      <c r="A343" s="2" t="inlineStr">
        <is>
          <t>Resuelta</t>
        </is>
      </c>
      <c r="B343" s="3" t="n">
        <v>46286.58333333334</v>
      </c>
      <c r="C343" s="5" t="n">
        <v>127373.83</v>
      </c>
      <c r="D343" s="5" t="n">
        <v>127373.83</v>
      </c>
      <c r="E343" s="2" t="inlineStr">
        <is>
          <t>Andalucía</t>
        </is>
      </c>
      <c r="F343" s="2" t="inlineStr">
        <is>
          <t>Sevilla</t>
        </is>
      </c>
      <c r="G343" s="2" t="inlineStr">
        <is>
          <t>Sevilla</t>
        </is>
      </c>
      <c r="H343" s="2" t="inlineStr">
        <is>
          <t>Secretaría General de la Agencia Estatal Consejo Superior de Investigaciones Científicas</t>
        </is>
      </c>
      <c r="I343" s="2" t="inlineStr">
        <is>
          <t>Obras de sustitución del sistema de enfriamiento del CPD en el Edificio II con destino a la Estación Biológica de Doñana (EBD)</t>
        </is>
      </c>
      <c r="J343" s="2" t="inlineStr">
        <is>
          <t>34503/26</t>
        </is>
      </c>
      <c r="K343" s="2" t="inlineStr">
        <is>
          <t>Abierto simplificado</t>
        </is>
      </c>
      <c r="L343" s="6" t="n">
        <v>2</v>
      </c>
      <c r="M343" s="2" t="n"/>
      <c r="N343" s="7" t="n">
        <v>0</v>
      </c>
      <c r="O343" s="4" t="n"/>
      <c r="P343" s="2" t="inlineStr">
        <is>
          <t>45331230</t>
        </is>
      </c>
      <c r="Q343" s="8" t="inlineStr">
        <is>
          <t>Ver</t>
        </is>
      </c>
      <c r="R343" s="8" t="inlineStr">
        <is>
          <t>PCAP</t>
        </is>
      </c>
      <c r="S343" s="9" t="n">
        <v>46310</v>
      </c>
      <c r="T343" s="3" t="n">
        <v>46322.3640162037</v>
      </c>
      <c r="U343" s="2" t="inlineStr">
        <is>
          <t>2026-10-28: estado ADJ → RES</t>
        </is>
      </c>
    </row>
    <row r="344">
      <c r="A344" s="2" t="inlineStr">
        <is>
          <t>Resuelta</t>
        </is>
      </c>
      <c r="B344" s="3" t="n">
        <v>46294.99930555555</v>
      </c>
      <c r="C344" s="5" t="n">
        <v>79065.85000000001</v>
      </c>
      <c r="D344" s="5" t="n">
        <v>79065.85000000001</v>
      </c>
      <c r="E344" s="2" t="inlineStr">
        <is>
          <t>Comunitat Valenciana</t>
        </is>
      </c>
      <c r="F344" s="2" t="inlineStr">
        <is>
          <t>Valencia</t>
        </is>
      </c>
      <c r="G344" s="2" t="n"/>
      <c r="H344" s="2" t="inlineStr">
        <is>
          <t>Alcaldía del Ayuntamiento de La Yesa</t>
        </is>
      </c>
      <c r="I344" s="2" t="inlineStr">
        <is>
          <t>Rehabilitación de Piscina Pública Municipal</t>
        </is>
      </c>
      <c r="J344" s="2" t="inlineStr">
        <is>
          <t>2958778P</t>
        </is>
      </c>
      <c r="K344" s="2" t="inlineStr">
        <is>
          <t>Abierto simplificado</t>
        </is>
      </c>
      <c r="L344" s="6" t="n">
        <v>2</v>
      </c>
      <c r="M344" s="2" t="n"/>
      <c r="N344" s="7" t="n">
        <v>0</v>
      </c>
      <c r="O344" s="4" t="n"/>
      <c r="P344" s="2" t="inlineStr">
        <is>
          <t>45212212</t>
        </is>
      </c>
      <c r="Q344" s="8" t="inlineStr">
        <is>
          <t>Ver</t>
        </is>
      </c>
      <c r="R344" s="8" t="inlineStr">
        <is>
          <t>PCAP</t>
        </is>
      </c>
      <c r="S344" s="9" t="n">
        <v>46310</v>
      </c>
      <c r="T344" s="3" t="n">
        <v>46322.36178240741</v>
      </c>
      <c r="U344" s="2" t="inlineStr">
        <is>
          <t>2026-10-28: estado ADJ → RES</t>
        </is>
      </c>
    </row>
    <row r="345">
      <c r="A345" s="2" t="inlineStr">
        <is>
          <t>Pendiente de adjudicación</t>
        </is>
      </c>
      <c r="B345" s="3" t="n">
        <v>46209.99930555555</v>
      </c>
      <c r="C345" s="5" t="n">
        <v>111140.49</v>
      </c>
      <c r="D345" s="5" t="n">
        <v>111140.49</v>
      </c>
      <c r="E345" s="2" t="inlineStr">
        <is>
          <t>Andalucía</t>
        </is>
      </c>
      <c r="F345" s="2" t="inlineStr">
        <is>
          <t>Córdoba</t>
        </is>
      </c>
      <c r="G345" s="2" t="n"/>
      <c r="H345" s="2" t="inlineStr">
        <is>
          <t>Diputado delegado de Infraestructuras, Sostenibilidad y Agricultura</t>
        </is>
      </c>
      <c r="I345" s="2" t="inlineStr">
        <is>
          <t>Contrato de obra de Reordenación de la confluencia de las calles Murillo y Olavides. Peñarroya-Pueblonuevo (Córdoba)</t>
        </is>
      </c>
      <c r="J345" s="2" t="inlineStr">
        <is>
          <t>413/26</t>
        </is>
      </c>
      <c r="K345" s="2" t="inlineStr">
        <is>
          <t>Abierto</t>
        </is>
      </c>
      <c r="L345" s="6" t="n">
        <v>5</v>
      </c>
      <c r="M345" s="2" t="n"/>
      <c r="N345" s="7" t="n">
        <v>0.4</v>
      </c>
      <c r="O345" s="4" t="n"/>
      <c r="P345" s="2" t="inlineStr">
        <is>
          <t>45232411; 45233160; 45233252; 45232410</t>
        </is>
      </c>
      <c r="Q345" s="8" t="inlineStr">
        <is>
          <t>Ver</t>
        </is>
      </c>
      <c r="R345" s="8" t="inlineStr">
        <is>
          <t>PCAP</t>
        </is>
      </c>
      <c r="S345" s="9" t="n">
        <v>46310</v>
      </c>
      <c r="T345" s="3" t="n">
        <v>46322.36074074074</v>
      </c>
      <c r="U345" s="2" t="n"/>
    </row>
    <row r="346">
      <c r="A346" s="2" t="inlineStr">
        <is>
          <t>Adjudicada</t>
        </is>
      </c>
      <c r="B346" s="3" t="n">
        <v>46211.99930555555</v>
      </c>
      <c r="C346" s="5" t="n">
        <v>214876.03</v>
      </c>
      <c r="D346" s="5" t="n">
        <v>214876.03</v>
      </c>
      <c r="E346" s="2" t="inlineStr">
        <is>
          <t>Andalucía</t>
        </is>
      </c>
      <c r="F346" s="2" t="inlineStr">
        <is>
          <t>Sevilla</t>
        </is>
      </c>
      <c r="G346" s="2" t="n"/>
      <c r="H346" s="2" t="inlineStr">
        <is>
          <t>Junta de Gobierno del Ayuntamiento de Dos Hermanas</t>
        </is>
      </c>
      <c r="I346" s="2" t="inlineStr">
        <is>
          <t>Reforma parcial de Biblioteca Pedro Laín Entralgo</t>
        </is>
      </c>
      <c r="J346" s="2" t="inlineStr">
        <is>
          <t>2026000003</t>
        </is>
      </c>
      <c r="K346" s="2" t="inlineStr">
        <is>
          <t>Abierto simplificado</t>
        </is>
      </c>
      <c r="L346" s="6" t="n">
        <v>3</v>
      </c>
      <c r="M346" s="2" t="n"/>
      <c r="N346" s="7" t="n">
        <v>0</v>
      </c>
      <c r="O346" s="4" t="n"/>
      <c r="P346" s="2" t="inlineStr">
        <is>
          <t>45111100; 45261400; 44230000</t>
        </is>
      </c>
      <c r="Q346" s="8" t="inlineStr">
        <is>
          <t>Ver</t>
        </is>
      </c>
      <c r="R346" s="8" t="inlineStr">
        <is>
          <t>PCAP</t>
        </is>
      </c>
      <c r="S346" s="9" t="n">
        <v>46323</v>
      </c>
      <c r="T346" s="3" t="n">
        <v>46322.3591087963</v>
      </c>
      <c r="U346" s="2" t="n"/>
    </row>
    <row r="347">
      <c r="A347" s="2" t="inlineStr">
        <is>
          <t>Adjudicada</t>
        </is>
      </c>
      <c r="B347" s="3" t="n">
        <v>46195.99930555555</v>
      </c>
      <c r="C347" s="5" t="n">
        <v>3063829.24</v>
      </c>
      <c r="D347" s="5" t="n">
        <v>3063829.24</v>
      </c>
      <c r="E347" s="2" t="inlineStr">
        <is>
          <t>Andalucía</t>
        </is>
      </c>
      <c r="F347" s="2" t="inlineStr">
        <is>
          <t>Sevilla</t>
        </is>
      </c>
      <c r="G347" s="2" t="n"/>
      <c r="H347" s="2" t="inlineStr">
        <is>
          <t>Presidencia de la Diputación Provincial de Sevilla</t>
        </is>
      </c>
      <c r="I347" s="2" t="inlineStr">
        <is>
          <t>Rehabilitación del salón de actos de los centros sociales de miraflores</t>
        </is>
      </c>
      <c r="J347" s="2" t="inlineStr">
        <is>
          <t>2025/000942-PAA</t>
        </is>
      </c>
      <c r="K347" s="2" t="inlineStr">
        <is>
          <t>Abierto</t>
        </is>
      </c>
      <c r="L347" s="6" t="n">
        <v>12</v>
      </c>
      <c r="M347" s="2" t="inlineStr">
        <is>
          <t>C6-5</t>
        </is>
      </c>
      <c r="N347" s="7" t="n">
        <v>0</v>
      </c>
      <c r="O347" s="4" t="n"/>
      <c r="P347" s="2" t="inlineStr">
        <is>
          <t>45000000</t>
        </is>
      </c>
      <c r="Q347" s="8" t="inlineStr">
        <is>
          <t>Ver</t>
        </is>
      </c>
      <c r="R347" s="8" t="inlineStr">
        <is>
          <t>PCAP</t>
        </is>
      </c>
      <c r="S347" s="9" t="n">
        <v>46321</v>
      </c>
      <c r="T347" s="3" t="n">
        <v>46322.35774305555</v>
      </c>
      <c r="U347" s="2" t="inlineStr">
        <is>
          <t>2026-10-28: estado EV → ADJ</t>
        </is>
      </c>
    </row>
    <row r="348">
      <c r="A348" s="2" t="inlineStr">
        <is>
          <t>Pendiente de adjudicación</t>
        </is>
      </c>
      <c r="B348" s="3" t="n">
        <v>46314.99930555555</v>
      </c>
      <c r="C348" s="5" t="n">
        <v>1118984.93</v>
      </c>
      <c r="D348" s="5" t="n">
        <v>1118984.93</v>
      </c>
      <c r="E348" s="2" t="inlineStr">
        <is>
          <t>Andalucía</t>
        </is>
      </c>
      <c r="F348" s="2" t="inlineStr">
        <is>
          <t>Sevilla</t>
        </is>
      </c>
      <c r="G348" s="2" t="inlineStr">
        <is>
          <t>MAIRENA DEL ALCOR</t>
        </is>
      </c>
      <c r="H348"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348" s="2" t="inlineStr">
        <is>
          <t>Reurbanización de Avenida de Lepanto en Mairena del Alcor-Actuación PAI</t>
        </is>
      </c>
      <c r="J348" s="2" t="inlineStr">
        <is>
          <t>1982/2026</t>
        </is>
      </c>
      <c r="K348" s="2" t="inlineStr">
        <is>
          <t>Abierto simplificado</t>
        </is>
      </c>
      <c r="L348" s="6" t="n">
        <v>8</v>
      </c>
      <c r="M348" s="2" t="inlineStr">
        <is>
          <t>G*-4</t>
        </is>
      </c>
      <c r="N348" s="7" t="n">
        <v>0</v>
      </c>
      <c r="O348" s="4" t="n"/>
      <c r="P348" s="2" t="inlineStr">
        <is>
          <t>45233251</t>
        </is>
      </c>
      <c r="Q348" s="8" t="inlineStr">
        <is>
          <t>Ver</t>
        </is>
      </c>
      <c r="R348" s="8" t="inlineStr">
        <is>
          <t>PCAP</t>
        </is>
      </c>
      <c r="S348" s="9" t="n">
        <v>46321</v>
      </c>
      <c r="T348" s="3" t="n">
        <v>46322.35771990741</v>
      </c>
      <c r="U348" s="2" t="n"/>
    </row>
    <row r="349">
      <c r="A349" s="2" t="inlineStr">
        <is>
          <t>Resuelta</t>
        </is>
      </c>
      <c r="B349" s="3" t="n">
        <v>46308.99930555555</v>
      </c>
      <c r="C349" s="5" t="n">
        <v>182292.68</v>
      </c>
      <c r="D349" s="5" t="n">
        <v>182292.68</v>
      </c>
      <c r="E349" s="2" t="inlineStr">
        <is>
          <t>Andalucía</t>
        </is>
      </c>
      <c r="F349" s="2" t="inlineStr">
        <is>
          <t>Málaga</t>
        </is>
      </c>
      <c r="G349" s="2" t="inlineStr">
        <is>
          <t>Benalmádena</t>
        </is>
      </c>
      <c r="H349" s="2" t="inlineStr">
        <is>
          <t>Concejalía de Hacienda del Ayuntamiento de Benalmádena</t>
        </is>
      </c>
      <c r="I349" s="2" t="inlineStr">
        <is>
          <t>Ejecución de dos bahías de autobuses y dos plataformas para la ubicación de marquesinas FASE I: Avda. Estrella del Mar y Avda. de la Estación, conforme al proyecto de obra redactado por el ICCP D.Jorge Martín Vivas.</t>
        </is>
      </c>
      <c r="J349" s="2" t="inlineStr">
        <is>
          <t>2026/43097X</t>
        </is>
      </c>
      <c r="K349" s="2" t="inlineStr">
        <is>
          <t>Abierto simplificado</t>
        </is>
      </c>
      <c r="L349" s="6" t="n">
        <v>1.5</v>
      </c>
      <c r="M349" s="2" t="n"/>
      <c r="N349" s="7" t="n">
        <v>0</v>
      </c>
      <c r="O349" s="4" t="n"/>
      <c r="P349" s="2" t="inlineStr">
        <is>
          <t>45233252</t>
        </is>
      </c>
      <c r="Q349" s="8" t="inlineStr">
        <is>
          <t>Ver</t>
        </is>
      </c>
      <c r="R349" s="8" t="inlineStr">
        <is>
          <t>PCAP</t>
        </is>
      </c>
      <c r="S349" s="9" t="n">
        <v>46310</v>
      </c>
      <c r="T349" s="3" t="n">
        <v>46322.354375</v>
      </c>
      <c r="U349" s="2" t="inlineStr">
        <is>
          <t>2026-10-19: estado PUB → EV | 2026-10-28: estado EV → RES</t>
        </is>
      </c>
    </row>
    <row r="350">
      <c r="A350" s="2" t="inlineStr">
        <is>
          <t>Resuelta</t>
        </is>
      </c>
      <c r="B350" s="3" t="n">
        <v>46294.79166666666</v>
      </c>
      <c r="C350" s="5" t="n">
        <v>172999.74</v>
      </c>
      <c r="D350" s="5" t="n">
        <v>142974.99</v>
      </c>
      <c r="E350" s="2" t="inlineStr">
        <is>
          <t>Andalucía</t>
        </is>
      </c>
      <c r="F350" s="2" t="inlineStr">
        <is>
          <t>Granada</t>
        </is>
      </c>
      <c r="G350" s="2" t="n"/>
      <c r="H350" s="2" t="inlineStr">
        <is>
          <t>Junta de Gobierno Local del Ayuntamiento de Ogíjares</t>
        </is>
      </c>
      <c r="I350" s="2" t="inlineStr">
        <is>
          <t>Contrato de obras de implantación de un punto limpio en C/Sol esquina C/ Polo en Ogíjares (Granada). Fase 1.</t>
        </is>
      </c>
      <c r="J350" s="2" t="inlineStr">
        <is>
          <t>4974/2026</t>
        </is>
      </c>
      <c r="K350" s="2" t="inlineStr">
        <is>
          <t>Abierto simplificado</t>
        </is>
      </c>
      <c r="L350" s="6" t="n">
        <v>3</v>
      </c>
      <c r="M350" s="2" t="n"/>
      <c r="N350" s="7" t="n">
        <v>0</v>
      </c>
      <c r="O350" s="4" t="n"/>
      <c r="P350" s="2" t="inlineStr">
        <is>
          <t>45222100; 45213250</t>
        </is>
      </c>
      <c r="Q350" s="8" t="inlineStr">
        <is>
          <t>Ver</t>
        </is>
      </c>
      <c r="R350" s="8" t="inlineStr">
        <is>
          <t>PCAP</t>
        </is>
      </c>
      <c r="S350" s="9" t="n">
        <v>46310</v>
      </c>
      <c r="T350" s="3" t="n">
        <v>46322.34981481481</v>
      </c>
      <c r="U350" s="2" t="inlineStr">
        <is>
          <t>2026-10-20: estado EV → ADJ | 2026-10-28: estado ADJ → RES</t>
        </is>
      </c>
    </row>
    <row r="351">
      <c r="A351" s="2" t="inlineStr">
        <is>
          <t>Pendiente de adjudicación</t>
        </is>
      </c>
      <c r="B351" s="3" t="n">
        <v>46132.99930555555</v>
      </c>
      <c r="C351" s="5" t="n">
        <v>247933.89</v>
      </c>
      <c r="D351" s="5" t="n">
        <v>247933.88</v>
      </c>
      <c r="E351" s="2" t="inlineStr">
        <is>
          <t>Comunitat Valenciana</t>
        </is>
      </c>
      <c r="F351" s="2" t="inlineStr">
        <is>
          <t>Valencia</t>
        </is>
      </c>
      <c r="G351" s="2" t="inlineStr">
        <is>
          <t>Utiel</t>
        </is>
      </c>
      <c r="H351" s="2" t="inlineStr">
        <is>
          <t>Alcaldía del Ayuntamiento de Utiel</t>
        </is>
      </c>
      <c r="I351" s="2" t="inlineStr">
        <is>
          <t>"Sustitución de red de agua potable en C/. Del Arrabal, C/ De las Escuelas y C/. De la Cooperativa de la Aldea de las Cuevas de Utiel", subvencionada con cargo al Plan Abierto de Inversiones 2024-2027.- Cooperación Municipal de la Diputación de Valencia.</t>
        </is>
      </c>
      <c r="J351" s="2" t="inlineStr">
        <is>
          <t>426/2026</t>
        </is>
      </c>
      <c r="K351" s="2" t="inlineStr">
        <is>
          <t>Abierto simplificado</t>
        </is>
      </c>
      <c r="L351" s="6" t="n">
        <v>3</v>
      </c>
      <c r="M351" s="2" t="n"/>
      <c r="N351" s="7" t="n">
        <v>0</v>
      </c>
      <c r="O351" s="4" t="n"/>
      <c r="P351" s="2" t="inlineStr">
        <is>
          <t>45200000</t>
        </is>
      </c>
      <c r="Q351" s="8" t="inlineStr">
        <is>
          <t>Ver</t>
        </is>
      </c>
      <c r="R351" s="8" t="inlineStr">
        <is>
          <t>PCAP</t>
        </is>
      </c>
      <c r="S351" s="9" t="n">
        <v>46323</v>
      </c>
      <c r="T351" s="3" t="n">
        <v>46322.34663194444</v>
      </c>
      <c r="U351" s="2" t="n"/>
    </row>
    <row r="352">
      <c r="A352" s="2" t="inlineStr">
        <is>
          <t>Pendiente de adjudicación</t>
        </is>
      </c>
      <c r="B352" s="3" t="n">
        <v>46294.99930555555</v>
      </c>
      <c r="C352" s="5" t="n">
        <v>349480.16</v>
      </c>
      <c r="D352" s="5" t="n">
        <v>349480.16</v>
      </c>
      <c r="E352" s="2" t="inlineStr">
        <is>
          <t>Andalucía</t>
        </is>
      </c>
      <c r="F352" s="2" t="inlineStr">
        <is>
          <t>Córdoba</t>
        </is>
      </c>
      <c r="G352" s="2" t="inlineStr">
        <is>
          <t>Peñarroya-Pueblonuevo</t>
        </is>
      </c>
      <c r="H352" s="2" t="inlineStr">
        <is>
          <t>Junta de Gobierno de la Diputación Provincial de Córdoba</t>
        </is>
      </c>
      <c r="I352" s="2" t="inlineStr">
        <is>
          <t>Reurbanización de la calle José Simón de Lillo, 1ª fase Peñarroya-Pueblonuevo (Córdoba) obra incluida en el Plan Provincial de Obras y Servicios 2024-2027</t>
        </is>
      </c>
      <c r="J352" s="2" t="inlineStr">
        <is>
          <t>506/26</t>
        </is>
      </c>
      <c r="K352" s="2" t="inlineStr">
        <is>
          <t>Abierto</t>
        </is>
      </c>
      <c r="L352" s="6" t="n">
        <v>7</v>
      </c>
      <c r="M352" s="2" t="n"/>
      <c r="N352" s="7" t="n">
        <v>0.4</v>
      </c>
      <c r="O352" s="4" t="n"/>
      <c r="P352" s="2" t="inlineStr">
        <is>
          <t>45232410; 45233250; 45231300</t>
        </is>
      </c>
      <c r="Q352" s="8" t="inlineStr">
        <is>
          <t>Ver</t>
        </is>
      </c>
      <c r="R352" s="8" t="inlineStr">
        <is>
          <t>PCAP</t>
        </is>
      </c>
      <c r="S352" s="9" t="n">
        <v>46310</v>
      </c>
      <c r="T352" s="3" t="n">
        <v>46322.34634259259</v>
      </c>
      <c r="U352" s="2" t="n"/>
    </row>
    <row r="353">
      <c r="A353" s="2" t="inlineStr">
        <is>
          <t>Resuelta</t>
        </is>
      </c>
      <c r="B353" s="3" t="n">
        <v>46314.99930555555</v>
      </c>
      <c r="C353" s="5" t="n">
        <v>102133.58</v>
      </c>
      <c r="D353" s="5" t="n">
        <v>102133.58</v>
      </c>
      <c r="E353" s="2" t="inlineStr">
        <is>
          <t>Andalucía</t>
        </is>
      </c>
      <c r="F353" s="2" t="inlineStr">
        <is>
          <t>Málaga</t>
        </is>
      </c>
      <c r="G353" s="2" t="n"/>
      <c r="H353" s="2" t="inlineStr">
        <is>
          <t>Concejalía de Hacienda del Ayuntamiento de Benalmádena</t>
        </is>
      </c>
      <c r="I353" s="2" t="inlineStr">
        <is>
          <t>Trabajos de reposición y nuevo trazado de cableado, la sustitución de lámparas por otras más eficientes de tipo led así como de instalación de farolas nuevas y el acondicionamiento y ajuste del cuadro eléctrico.</t>
        </is>
      </c>
      <c r="J353" s="2" t="inlineStr">
        <is>
          <t>2026/44010A</t>
        </is>
      </c>
      <c r="K353" s="2" t="inlineStr">
        <is>
          <t>Abierto simplificado</t>
        </is>
      </c>
      <c r="L353" s="6" t="n">
        <v>2</v>
      </c>
      <c r="M353" s="2" t="n"/>
      <c r="N353" s="7" t="n">
        <v>0</v>
      </c>
      <c r="O353" s="4" t="n"/>
      <c r="P353" s="2" t="inlineStr">
        <is>
          <t>45310000; 45262520</t>
        </is>
      </c>
      <c r="Q353" s="8" t="inlineStr">
        <is>
          <t>Ver</t>
        </is>
      </c>
      <c r="R353" s="8" t="inlineStr">
        <is>
          <t>PCAP</t>
        </is>
      </c>
      <c r="S353" s="9" t="n">
        <v>46314</v>
      </c>
      <c r="T353" s="3" t="n">
        <v>46322.34616898148</v>
      </c>
      <c r="U353" s="2" t="inlineStr">
        <is>
          <t>2026-10-28: estado PUB → RES</t>
        </is>
      </c>
    </row>
    <row r="354">
      <c r="A354" s="2" t="inlineStr">
        <is>
          <t>Resuelta</t>
        </is>
      </c>
      <c r="B354" s="3" t="n">
        <v>45937.75</v>
      </c>
      <c r="C354" s="5" t="n">
        <v>78512.39999999999</v>
      </c>
      <c r="D354" s="5" t="n">
        <v>78512.39999999999</v>
      </c>
      <c r="E354" s="2" t="inlineStr">
        <is>
          <t>Andalucía</t>
        </is>
      </c>
      <c r="F354" s="2" t="inlineStr">
        <is>
          <t>Sevilla</t>
        </is>
      </c>
      <c r="G354" s="2" t="n"/>
      <c r="H354" s="2" t="inlineStr">
        <is>
          <t>Rectorado de la Universidad de Sevilla</t>
        </is>
      </c>
      <c r="I354" s="2" t="inlineStr">
        <is>
          <t>Obra de reforma de la secretaría de la Escuela Técnica Superior de Ingeniería Informática de la Universidad de Sevilla.</t>
        </is>
      </c>
      <c r="J354" s="2" t="inlineStr">
        <is>
          <t>25/41296</t>
        </is>
      </c>
      <c r="K354" s="2" t="inlineStr">
        <is>
          <t>Abierto simplificado</t>
        </is>
      </c>
      <c r="L354" s="6" t="n">
        <v>2</v>
      </c>
      <c r="M354" s="2" t="n"/>
      <c r="N354" s="7" t="n">
        <v>0</v>
      </c>
      <c r="O354" s="4" t="n"/>
      <c r="P354" s="2" t="inlineStr">
        <is>
          <t>45214400</t>
        </is>
      </c>
      <c r="Q354" s="8" t="inlineStr">
        <is>
          <t>Ver</t>
        </is>
      </c>
      <c r="R354" s="8" t="inlineStr">
        <is>
          <t>PCAP</t>
        </is>
      </c>
      <c r="S354" s="9" t="n">
        <v>46323</v>
      </c>
      <c r="T354" s="3" t="n">
        <v>46322.34398148148</v>
      </c>
      <c r="U354" s="2" t="n"/>
    </row>
    <row r="355">
      <c r="A355" s="2" t="inlineStr">
        <is>
          <t>Adjudicada</t>
        </is>
      </c>
      <c r="B355" s="3" t="n">
        <v>46274.99930555555</v>
      </c>
      <c r="C355" s="5" t="n">
        <v>274715.49</v>
      </c>
      <c r="D355" s="5" t="n">
        <v>274715.49</v>
      </c>
      <c r="E355" s="2" t="inlineStr">
        <is>
          <t>Andalucía</t>
        </is>
      </c>
      <c r="F355" s="2" t="inlineStr">
        <is>
          <t>Sevilla</t>
        </is>
      </c>
      <c r="G355" s="2" t="n"/>
      <c r="H355" s="2" t="inlineStr">
        <is>
          <t>Vicepresidencia del Instituto Municipal de Deportes del Ayuntamiento de Sevilla</t>
        </is>
      </c>
      <c r="I355" s="2" t="inlineStr">
        <is>
          <t>Obras de ejecución de pantalanes flotantes: Pista de kayak Polo, Piscina Fluvial y Pantalán de atraque en el Centro de Actividades Náuticas Triana del Instituto Municipal de Deportes Ayuntamiento de Sevilla.</t>
        </is>
      </c>
      <c r="J355" s="2" t="inlineStr">
        <is>
          <t>2026/000824</t>
        </is>
      </c>
      <c r="K355" s="2" t="inlineStr">
        <is>
          <t>Abierto simplificado</t>
        </is>
      </c>
      <c r="L355" s="6" t="n">
        <v>4</v>
      </c>
      <c r="M355" s="2" t="n"/>
      <c r="N355" s="7" t="n">
        <v>0</v>
      </c>
      <c r="O355" s="4" t="n"/>
      <c r="P355" s="2" t="inlineStr">
        <is>
          <t>45244000</t>
        </is>
      </c>
      <c r="Q355" s="8" t="inlineStr">
        <is>
          <t>Ver</t>
        </is>
      </c>
      <c r="R355" s="8" t="inlineStr">
        <is>
          <t>PCAP</t>
        </is>
      </c>
      <c r="S355" s="9" t="n">
        <v>46323</v>
      </c>
      <c r="T355" s="3" t="n">
        <v>46322.33924768519</v>
      </c>
      <c r="U355" s="2" t="n"/>
    </row>
    <row r="356">
      <c r="A356" s="2" t="inlineStr">
        <is>
          <t>Pendiente de adjudicación</t>
        </is>
      </c>
      <c r="B356" s="3" t="n">
        <v>46253.99930555555</v>
      </c>
      <c r="C356" s="5" t="n">
        <v>118181.82</v>
      </c>
      <c r="D356" s="5" t="n">
        <v>118181.82</v>
      </c>
      <c r="E356" s="2" t="inlineStr">
        <is>
          <t>Andalucía</t>
        </is>
      </c>
      <c r="F356" s="2" t="inlineStr">
        <is>
          <t>Sevilla</t>
        </is>
      </c>
      <c r="G356" s="2" t="n"/>
      <c r="H356" s="2" t="inlineStr">
        <is>
          <t>Junta de Gobierno del Ayuntamiento de Dos Hermanas</t>
        </is>
      </c>
      <c r="I356" s="2" t="inlineStr">
        <is>
          <t>Instalación de un sistema inteligente de control de tráfico en las glorietas Av. de las Universidades, Comunidad Autónoma de Andalucía, y Purísima Concepción</t>
        </is>
      </c>
      <c r="J356" s="2" t="inlineStr">
        <is>
          <t>2026000022</t>
        </is>
      </c>
      <c r="K356" s="2" t="inlineStr">
        <is>
          <t>Abierto simplificado</t>
        </is>
      </c>
      <c r="L356" s="6" t="n">
        <v>3</v>
      </c>
      <c r="M356" s="2" t="n"/>
      <c r="N356" s="7" t="n">
        <v>0</v>
      </c>
      <c r="O356" s="4" t="n"/>
      <c r="P356" s="2" t="inlineStr">
        <is>
          <t>45316210</t>
        </is>
      </c>
      <c r="Q356" s="8" t="inlineStr">
        <is>
          <t>Ver</t>
        </is>
      </c>
      <c r="R356" s="8" t="inlineStr">
        <is>
          <t>PCAP</t>
        </is>
      </c>
      <c r="S356" s="9" t="n">
        <v>46317</v>
      </c>
      <c r="T356" s="3" t="n">
        <v>46322.33891203703</v>
      </c>
      <c r="U356" s="2" t="n"/>
    </row>
    <row r="357">
      <c r="A357" s="2" t="inlineStr">
        <is>
          <t>Resuelta</t>
        </is>
      </c>
      <c r="B357" s="3" t="n">
        <v>46203.99930555555</v>
      </c>
      <c r="C357" s="5" t="n">
        <v>109973.28</v>
      </c>
      <c r="D357" s="5" t="n">
        <v>109973.28</v>
      </c>
      <c r="E357" s="2" t="inlineStr">
        <is>
          <t>Comunitat Valenciana</t>
        </is>
      </c>
      <c r="F357" s="2" t="inlineStr">
        <is>
          <t>Castellón</t>
        </is>
      </c>
      <c r="G357" s="2" t="n"/>
      <c r="H357" s="2" t="inlineStr">
        <is>
          <t>Alcaldía del Ayuntamiento de Cabanes</t>
        </is>
      </c>
      <c r="I357" s="2" t="inlineStr">
        <is>
          <t>Obras de instalación de oficina de información turística en Torre la Sal.</t>
        </is>
      </c>
      <c r="J357" s="2" t="inlineStr">
        <is>
          <t>1519/2026</t>
        </is>
      </c>
      <c r="K357" s="2" t="inlineStr">
        <is>
          <t>Abierto simplificado</t>
        </is>
      </c>
      <c r="L357" s="6" t="n">
        <v>3</v>
      </c>
      <c r="M357" s="2" t="n"/>
      <c r="N357" s="7" t="n">
        <v>0</v>
      </c>
      <c r="O357" s="4" t="n"/>
      <c r="P357" s="2" t="inlineStr">
        <is>
          <t>45223800; 44211100</t>
        </is>
      </c>
      <c r="Q357" s="8" t="inlineStr">
        <is>
          <t>Ver</t>
        </is>
      </c>
      <c r="R357" s="8" t="inlineStr">
        <is>
          <t>PCAP</t>
        </is>
      </c>
      <c r="S357" s="9" t="n">
        <v>46310</v>
      </c>
      <c r="T357" s="3" t="n">
        <v>46322.33290509259</v>
      </c>
      <c r="U357" s="2" t="inlineStr">
        <is>
          <t>2026-10-28: estado ADJ → RES</t>
        </is>
      </c>
    </row>
    <row r="358">
      <c r="A358" s="2" t="inlineStr">
        <is>
          <t>En plazo</t>
        </is>
      </c>
      <c r="B358" s="3" t="n">
        <v>46342.99930555555</v>
      </c>
      <c r="C358" s="5" t="n">
        <v>185950.41</v>
      </c>
      <c r="D358" s="5" t="n">
        <v>185950.41</v>
      </c>
      <c r="E358" s="2" t="inlineStr">
        <is>
          <t>Andalucía</t>
        </is>
      </c>
      <c r="F358" s="2" t="inlineStr">
        <is>
          <t>Cádiz</t>
        </is>
      </c>
      <c r="G358" s="2" t="inlineStr">
        <is>
          <t>Alcalá del Valle</t>
        </is>
      </c>
      <c r="H358" s="2" t="inlineStr">
        <is>
          <t>Junta de Gobierno Local del Ayuntamiento de Alcalá del Valle</t>
        </is>
      </c>
      <c r="I358" s="2" t="inlineStr">
        <is>
          <t>Sustitución de Césped en Campo de Fútbol Municipal</t>
        </is>
      </c>
      <c r="J358" s="2" t="inlineStr">
        <is>
          <t>O09/2026</t>
        </is>
      </c>
      <c r="K358" s="2" t="inlineStr">
        <is>
          <t>Abierto simplificado</t>
        </is>
      </c>
      <c r="L358" s="6" t="n">
        <v>3</v>
      </c>
      <c r="M358" s="2" t="n"/>
      <c r="N358" s="7" t="n">
        <v>0</v>
      </c>
      <c r="O358" s="4" t="n"/>
      <c r="P358" s="2" t="inlineStr">
        <is>
          <t>45212290; 39293400</t>
        </is>
      </c>
      <c r="Q358" s="8" t="inlineStr">
        <is>
          <t>Ver</t>
        </is>
      </c>
      <c r="R358" s="8" t="inlineStr">
        <is>
          <t>PCAP</t>
        </is>
      </c>
      <c r="S358" s="9" t="n">
        <v>46322</v>
      </c>
      <c r="T358" s="3" t="n">
        <v>46322.33248842593</v>
      </c>
      <c r="U358" s="2" t="inlineStr">
        <is>
          <t>2026-10-28: plazo 2026-11-23 23:59 → 2026-11-16 23:59</t>
        </is>
      </c>
    </row>
    <row r="359">
      <c r="A359" s="2" t="inlineStr">
        <is>
          <t>Pendiente de adjudicación</t>
        </is>
      </c>
      <c r="B359" s="3" t="n">
        <v>46293.99930555555</v>
      </c>
      <c r="C359" s="5" t="n">
        <v>2354345.62</v>
      </c>
      <c r="D359" s="5" t="n">
        <v>2354345.62</v>
      </c>
      <c r="E359" s="2" t="inlineStr">
        <is>
          <t>Comunitat Valenciana</t>
        </is>
      </c>
      <c r="F359" s="2" t="inlineStr">
        <is>
          <t>Valencia</t>
        </is>
      </c>
      <c r="G359" s="2" t="n"/>
      <c r="H359" s="2" t="inlineStr">
        <is>
          <t>Alcaldía del Ayuntamiento de Manises</t>
        </is>
      </c>
      <c r="I359"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359" s="2" t="inlineStr">
        <is>
          <t>2859424Y</t>
        </is>
      </c>
      <c r="K359" s="2" t="inlineStr">
        <is>
          <t>Abierto</t>
        </is>
      </c>
      <c r="L359" s="6" t="n">
        <v>8</v>
      </c>
      <c r="M359" s="2" t="inlineStr">
        <is>
          <t>B2-5</t>
        </is>
      </c>
      <c r="N359" s="7" t="n">
        <v>0.2</v>
      </c>
      <c r="O359" s="4" t="n"/>
      <c r="P359" s="2" t="inlineStr">
        <is>
          <t>45262620; 45200000; 45111214; 45110000; 45233140</t>
        </is>
      </c>
      <c r="Q359" s="8" t="inlineStr">
        <is>
          <t>Ver</t>
        </is>
      </c>
      <c r="R359" s="8" t="inlineStr">
        <is>
          <t>PCAP</t>
        </is>
      </c>
      <c r="S359" s="9" t="n">
        <v>46310</v>
      </c>
      <c r="T359" s="3" t="n">
        <v>46322.32975694445</v>
      </c>
      <c r="U359" s="2" t="n"/>
    </row>
    <row r="360">
      <c r="A360" s="2" t="inlineStr">
        <is>
          <t>Resuelta</t>
        </is>
      </c>
      <c r="B360" s="3" t="n">
        <v>46268.99930555555</v>
      </c>
      <c r="C360" s="5" t="n">
        <v>238043.75</v>
      </c>
      <c r="D360" s="5" t="n">
        <v>285652.5</v>
      </c>
      <c r="E360" s="2" t="inlineStr">
        <is>
          <t>Andalucía</t>
        </is>
      </c>
      <c r="F360" s="2" t="inlineStr">
        <is>
          <t>Almería</t>
        </is>
      </c>
      <c r="G360" s="2" t="n"/>
      <c r="H360" s="2" t="inlineStr">
        <is>
          <t>Junta de Gobierno Local del Ayuntamiento de El Ejido</t>
        </is>
      </c>
      <c r="I360" s="2" t="inlineStr">
        <is>
          <t>Ejecución del proyecto de obras denominado; Regeneración y rehabilitación de la Plaza El Limonar de San Agustín y Plaza en calle Clotilde de Las Norias, Incluido en el Plan de Actuación Integrado (PAI) El Ejido 2029: +SOSTENIBLE +COHESIONADO, cofinanciado en un 85% por el Fondo Europeo de Desarrollo Regional (FEDER), en el marco del Programa Plurirregional 2021 - 2027.</t>
        </is>
      </c>
      <c r="J360" s="2" t="inlineStr">
        <is>
          <t>2026 1347</t>
        </is>
      </c>
      <c r="K360" s="2" t="inlineStr">
        <is>
          <t>Abierto simplificado</t>
        </is>
      </c>
      <c r="L360" s="6" t="n">
        <v>6</v>
      </c>
      <c r="M360" s="2" t="n"/>
      <c r="N360" s="7" t="n">
        <v>0.25</v>
      </c>
      <c r="O360" s="4" t="n"/>
      <c r="P360" s="2" t="inlineStr">
        <is>
          <t>45233260; 45236250; 45236290; 45316000</t>
        </is>
      </c>
      <c r="Q360" s="8" t="inlineStr">
        <is>
          <t>Ver</t>
        </is>
      </c>
      <c r="R360" s="8" t="inlineStr">
        <is>
          <t>PCAP</t>
        </is>
      </c>
      <c r="S360" s="9" t="n">
        <v>46317</v>
      </c>
      <c r="T360" s="3" t="n">
        <v>46322.32888888889</v>
      </c>
      <c r="U360" s="2" t="inlineStr">
        <is>
          <t>2026-10-28: estado ADJ → RES</t>
        </is>
      </c>
    </row>
    <row r="361">
      <c r="A361" s="2" t="inlineStr">
        <is>
          <t>Adjudicada</t>
        </is>
      </c>
      <c r="B361" s="3" t="n">
        <v>46290.99930555555</v>
      </c>
      <c r="C361" s="5" t="n">
        <v>57744.83</v>
      </c>
      <c r="D361" s="5" t="n">
        <v>44214.88</v>
      </c>
      <c r="E361" s="2" t="inlineStr">
        <is>
          <t>Andalucía</t>
        </is>
      </c>
      <c r="F361" s="2" t="inlineStr">
        <is>
          <t>Sevilla</t>
        </is>
      </c>
      <c r="G361" s="2" t="inlineStr">
        <is>
          <t>Sevilla</t>
        </is>
      </c>
      <c r="H361" s="2" t="inlineStr">
        <is>
          <t>Jefatura de la Sección Económico Administrativa 12 - Agrupación del Acuartelamiento Aéreo Tablada</t>
        </is>
      </c>
      <c r="I361" s="2" t="inlineStr">
        <is>
          <t>Sustitución de las ventanas de ESAPO, GAECA y otras dependencias de la Maestranza Aérea de Sevilla (MAESE)</t>
        </is>
      </c>
      <c r="J361" s="2" t="inlineStr">
        <is>
          <t>2026/EA12/00001104E</t>
        </is>
      </c>
      <c r="K361" s="2" t="inlineStr">
        <is>
          <t>Abierto simplificado</t>
        </is>
      </c>
      <c r="L361" s="6" t="n">
        <v>4</v>
      </c>
      <c r="M361" s="2" t="n"/>
      <c r="N361" s="7" t="n">
        <v>0</v>
      </c>
      <c r="O361" s="4" t="n"/>
      <c r="P361" s="2" t="inlineStr">
        <is>
          <t>45000000</t>
        </is>
      </c>
      <c r="Q361" s="8" t="inlineStr">
        <is>
          <t>Ver</t>
        </is>
      </c>
      <c r="R361" s="8" t="inlineStr">
        <is>
          <t>PCAP</t>
        </is>
      </c>
      <c r="S361" s="9" t="n">
        <v>46323</v>
      </c>
      <c r="T361" s="3" t="n">
        <v>46322.30796296296</v>
      </c>
      <c r="U361" s="2" t="n"/>
    </row>
    <row r="362">
      <c r="A362" s="2" t="inlineStr">
        <is>
          <t>Resuelta</t>
        </is>
      </c>
      <c r="B362" s="3" t="n">
        <v>45938.58333333334</v>
      </c>
      <c r="C362" s="5" t="n">
        <v>490250</v>
      </c>
      <c r="D362" s="5" t="n">
        <v>490250</v>
      </c>
      <c r="E362" s="2" t="inlineStr">
        <is>
          <t>Comunitat Valenciana</t>
        </is>
      </c>
      <c r="F362" s="2" t="inlineStr">
        <is>
          <t>Alicante</t>
        </is>
      </c>
      <c r="G362" s="2" t="n"/>
      <c r="H362" s="2" t="inlineStr">
        <is>
          <t>Empresa de Transformación Agraria S.A.,S.M.E., M.P., (TRAGSA)</t>
        </is>
      </c>
      <c r="I362" s="2" t="inlineStr">
        <is>
          <t>Obra de suministro y colocación de acero corrugado B500S/SD en "proyecto de mejora de la capacidad hidráulica en la Vega Baja del Río Segura. Corredor Verde Azarbe El Señor. Fase 1”.</t>
        </is>
      </c>
      <c r="J362" s="2" t="inlineStr">
        <is>
          <t>TSA0081506</t>
        </is>
      </c>
      <c r="K362" s="2" t="inlineStr">
        <is>
          <t>Abierto simplificado</t>
        </is>
      </c>
      <c r="L362" s="6" t="n">
        <v>10</v>
      </c>
      <c r="M362" s="2" t="inlineStr">
        <is>
          <t>C3-3</t>
        </is>
      </c>
      <c r="N362" s="7" t="n">
        <v>0</v>
      </c>
      <c r="O362" s="4" t="n"/>
      <c r="P362" s="2" t="inlineStr">
        <is>
          <t>45262400; 44212380</t>
        </is>
      </c>
      <c r="Q362" s="8" t="inlineStr">
        <is>
          <t>Ver</t>
        </is>
      </c>
      <c r="R362" s="8" t="inlineStr">
        <is>
          <t>PCAP</t>
        </is>
      </c>
      <c r="S362" s="9" t="n">
        <v>46323</v>
      </c>
      <c r="T362" s="3" t="n">
        <v>46322.30657407407</v>
      </c>
      <c r="U362" s="2" t="n"/>
    </row>
    <row r="363">
      <c r="A363" s="2" t="inlineStr">
        <is>
          <t>En plazo</t>
        </is>
      </c>
      <c r="B363" s="3" t="n">
        <v>46342.5</v>
      </c>
      <c r="C363" s="5" t="n">
        <v>82644.64</v>
      </c>
      <c r="D363" s="5" t="n">
        <v>82644.64</v>
      </c>
      <c r="E363" s="2" t="inlineStr">
        <is>
          <t>Comunitat Valenciana</t>
        </is>
      </c>
      <c r="F363" s="2" t="inlineStr">
        <is>
          <t>Alicante</t>
        </is>
      </c>
      <c r="G363" s="2" t="inlineStr">
        <is>
          <t>Almoradí</t>
        </is>
      </c>
      <c r="H363" s="2" t="inlineStr">
        <is>
          <t>Junta de Gobierno del Ayuntamiento de Almoradí</t>
        </is>
      </c>
      <c r="I363" s="2" t="inlineStr">
        <is>
          <t>Obras "1ª Fase de Renovación de red de agua potable en la Pedanía del Raiguero de Almoradí".</t>
        </is>
      </c>
      <c r="J363" s="2" t="inlineStr">
        <is>
          <t>6367/2026</t>
        </is>
      </c>
      <c r="K363" s="2" t="inlineStr">
        <is>
          <t>Abierto simplificado</t>
        </is>
      </c>
      <c r="L363" s="6" t="n">
        <v>2</v>
      </c>
      <c r="M363" s="2" t="n"/>
      <c r="N363" s="7" t="n">
        <v>0.25</v>
      </c>
      <c r="O363" s="4" t="n"/>
      <c r="P363" s="2" t="inlineStr">
        <is>
          <t>45220000</t>
        </is>
      </c>
      <c r="Q363" s="8" t="inlineStr">
        <is>
          <t>Ver</t>
        </is>
      </c>
      <c r="R363" s="8" t="inlineStr">
        <is>
          <t>PCAP</t>
        </is>
      </c>
      <c r="S363" s="9" t="n">
        <v>46322</v>
      </c>
      <c r="T363" s="3" t="n">
        <v>46322.30475694445</v>
      </c>
      <c r="U363" s="2" t="n"/>
    </row>
    <row r="364">
      <c r="A364" s="2" t="inlineStr">
        <is>
          <t>En plazo</t>
        </is>
      </c>
      <c r="B364" s="3" t="n">
        <v>46342.5</v>
      </c>
      <c r="C364" s="5" t="n">
        <v>82011.2</v>
      </c>
      <c r="D364" s="5" t="n">
        <v>82011.2</v>
      </c>
      <c r="E364" s="2" t="inlineStr">
        <is>
          <t>Comunitat Valenciana</t>
        </is>
      </c>
      <c r="F364" s="2" t="inlineStr">
        <is>
          <t>Alicante</t>
        </is>
      </c>
      <c r="G364" s="2" t="inlineStr">
        <is>
          <t>Almoradí</t>
        </is>
      </c>
      <c r="H364" s="2" t="inlineStr">
        <is>
          <t>Junta de Gobierno del Ayuntamiento de Almoradí</t>
        </is>
      </c>
      <c r="I364" s="2" t="inlineStr">
        <is>
          <t>Obras "Renovación de tramo de red de alcantarillado en Calle Antonio Sequeros de Almoradí"</t>
        </is>
      </c>
      <c r="J364" s="2" t="inlineStr">
        <is>
          <t>6374/2026</t>
        </is>
      </c>
      <c r="K364" s="2" t="inlineStr">
        <is>
          <t>Abierto simplificado</t>
        </is>
      </c>
      <c r="L364" s="6" t="n">
        <v>2</v>
      </c>
      <c r="M364" s="2" t="n"/>
      <c r="N364" s="7" t="n">
        <v>0.25</v>
      </c>
      <c r="O364" s="4" t="n"/>
      <c r="P364" s="2" t="inlineStr">
        <is>
          <t>45232410; 45232400</t>
        </is>
      </c>
      <c r="Q364" s="8" t="inlineStr">
        <is>
          <t>Ver</t>
        </is>
      </c>
      <c r="R364" s="8" t="inlineStr">
        <is>
          <t>PCAP</t>
        </is>
      </c>
      <c r="S364" s="9" t="n">
        <v>46322</v>
      </c>
      <c r="T364" s="3" t="n">
        <v>46322.3000925926</v>
      </c>
      <c r="U364" s="2" t="n"/>
    </row>
    <row r="365">
      <c r="A365" s="2" t="inlineStr">
        <is>
          <t>Pendiente de adjudicación</t>
        </is>
      </c>
      <c r="B365" s="3" t="n">
        <v>46286.99930555555</v>
      </c>
      <c r="C365" s="5" t="n">
        <v>66115.7</v>
      </c>
      <c r="D365" s="5" t="n">
        <v>66115.7</v>
      </c>
      <c r="E365" s="2" t="inlineStr">
        <is>
          <t>Andalucía</t>
        </is>
      </c>
      <c r="F365" s="2" t="inlineStr">
        <is>
          <t>Almería</t>
        </is>
      </c>
      <c r="G365" s="2" t="n"/>
      <c r="H365" s="2" t="inlineStr">
        <is>
          <t>Junta de Gobierno de la Diputación Provincial de Almería</t>
        </is>
      </c>
      <c r="I365" s="2" t="inlineStr">
        <is>
          <t>Caminos Municipales, Bayárcal 18PCAM24-27BII</t>
        </is>
      </c>
      <c r="J365" s="2" t="inlineStr">
        <is>
          <t>2026/D31000/006-013/00080</t>
        </is>
      </c>
      <c r="K365" s="2" t="inlineStr">
        <is>
          <t>Abierto simplificado</t>
        </is>
      </c>
      <c r="L365" s="6" t="n">
        <v>1.2</v>
      </c>
      <c r="M365" s="2" t="n"/>
      <c r="N365" s="7" t="n">
        <v>0.25</v>
      </c>
      <c r="O365" s="4" t="n"/>
      <c r="P365" s="2" t="inlineStr">
        <is>
          <t>45233221</t>
        </is>
      </c>
      <c r="Q365" s="8" t="inlineStr">
        <is>
          <t>Ver</t>
        </is>
      </c>
      <c r="R365" s="8" t="inlineStr">
        <is>
          <t>PCAP</t>
        </is>
      </c>
      <c r="S365" s="9" t="n">
        <v>46323</v>
      </c>
      <c r="T365" s="3" t="n">
        <v>46322.29777777778</v>
      </c>
      <c r="U365" s="2" t="n"/>
    </row>
    <row r="366">
      <c r="A366" s="2" t="inlineStr">
        <is>
          <t>Resuelta</t>
        </is>
      </c>
      <c r="B366" s="3" t="n">
        <v>45810.58333333334</v>
      </c>
      <c r="C366" s="5" t="n">
        <v>2374777.47</v>
      </c>
      <c r="D366" s="5" t="n">
        <v>2374777.47</v>
      </c>
      <c r="E366" s="2" t="inlineStr">
        <is>
          <t>Comunitat Valenciana</t>
        </is>
      </c>
      <c r="F366" s="2" t="inlineStr">
        <is>
          <t>Valencia</t>
        </is>
      </c>
      <c r="G366" s="2" t="n"/>
      <c r="H366" s="2" t="inlineStr">
        <is>
          <t>Empresa de Transformación Agraria S.A.,S.M.E., M.P., (TRAGSA)</t>
        </is>
      </c>
      <c r="I366" s="2" t="inlineStr">
        <is>
          <t>Actuaciones de reparación de puentes en Sieteaguas, Requena, Torrechiva, Villamarxant, Arañuel, Chelva, Titaguas, en las infraestructuras de prevención de incendios forestales.</t>
        </is>
      </c>
      <c r="J366" s="2" t="inlineStr">
        <is>
          <t>TSA0080576</t>
        </is>
      </c>
      <c r="K366" s="2" t="inlineStr">
        <is>
          <t>Abierto</t>
        </is>
      </c>
      <c r="L366" s="6" t="n">
        <v>9</v>
      </c>
      <c r="M366" s="2" t="inlineStr">
        <is>
          <t>B2-4</t>
        </is>
      </c>
      <c r="N366" s="7" t="n">
        <v>0</v>
      </c>
      <c r="O366" s="4" t="n"/>
      <c r="P366" s="2" t="inlineStr">
        <is>
          <t>45200000</t>
        </is>
      </c>
      <c r="Q366" s="8" t="inlineStr">
        <is>
          <t>Ver</t>
        </is>
      </c>
      <c r="R366" s="8" t="inlineStr">
        <is>
          <t>PCAP</t>
        </is>
      </c>
      <c r="S366" s="9" t="n">
        <v>46323</v>
      </c>
      <c r="T366" s="3" t="n">
        <v>46322.29675925926</v>
      </c>
      <c r="U366" s="2" t="n"/>
    </row>
    <row r="367">
      <c r="A367" s="2" t="inlineStr">
        <is>
          <t>Pendiente de adjudicación</t>
        </is>
      </c>
      <c r="B367" s="3" t="n">
        <v>46302.99930555555</v>
      </c>
      <c r="C367" s="5" t="n">
        <v>66115.7</v>
      </c>
      <c r="D367" s="5" t="n">
        <v>66115.7</v>
      </c>
      <c r="E367" s="2" t="inlineStr">
        <is>
          <t>Andalucía</t>
        </is>
      </c>
      <c r="F367" s="2" t="inlineStr">
        <is>
          <t>Almería</t>
        </is>
      </c>
      <c r="G367" s="2" t="n"/>
      <c r="H367" s="2" t="inlineStr">
        <is>
          <t>Junta de Gobierno de la Diputación Provincial de Almería</t>
        </is>
      </c>
      <c r="I367" s="2" t="inlineStr">
        <is>
          <t>Caminos Municipales, Felix 35PCAM24-27BII</t>
        </is>
      </c>
      <c r="J367" s="2" t="inlineStr">
        <is>
          <t>2025/D31000/006-013/00285</t>
        </is>
      </c>
      <c r="K367" s="2" t="inlineStr">
        <is>
          <t>Abierto simplificado</t>
        </is>
      </c>
      <c r="L367" s="6" t="n">
        <v>2</v>
      </c>
      <c r="M367" s="2" t="n"/>
      <c r="N367" s="7" t="n">
        <v>0.25</v>
      </c>
      <c r="O367" s="4" t="n"/>
      <c r="P367" s="2" t="inlineStr">
        <is>
          <t>45233222</t>
        </is>
      </c>
      <c r="Q367" s="8" t="inlineStr">
        <is>
          <t>Ver</t>
        </is>
      </c>
      <c r="R367" s="8" t="inlineStr">
        <is>
          <t>PCAP</t>
        </is>
      </c>
      <c r="S367" s="9" t="n">
        <v>46315</v>
      </c>
      <c r="T367" s="3" t="n">
        <v>46322.29636574074</v>
      </c>
      <c r="U367" s="2" t="n"/>
    </row>
    <row r="368">
      <c r="A368" s="2" t="inlineStr">
        <is>
          <t>Pendiente de adjudicación</t>
        </is>
      </c>
      <c r="B368" s="3" t="n">
        <v>46315.99930555555</v>
      </c>
      <c r="C368" s="5" t="n">
        <v>206611.57</v>
      </c>
      <c r="D368" s="5" t="n">
        <v>206611.57</v>
      </c>
      <c r="E368" s="2" t="inlineStr">
        <is>
          <t>Andalucía</t>
        </is>
      </c>
      <c r="F368" s="2" t="inlineStr">
        <is>
          <t>Almería</t>
        </is>
      </c>
      <c r="G368" s="2" t="n"/>
      <c r="H368" s="2" t="inlineStr">
        <is>
          <t>Junta de Gobierno de la Diputación Provincial de Almería</t>
        </is>
      </c>
      <c r="I368" s="2" t="inlineStr">
        <is>
          <t>Regeneración De Espacios Degradados Para Su Conversión En Zona Verde Y De Ocio En Fines. Este Proyecto Podrá Ser Cofinanciado Por La Unión Europea A Través Del Fondo Europeo De Desarrollo Regional (fe 6PAI-ALMANZORA30</t>
        </is>
      </c>
      <c r="J368" s="2" t="inlineStr">
        <is>
          <t>2026/D31000/006-013/00041</t>
        </is>
      </c>
      <c r="K368" s="2" t="inlineStr">
        <is>
          <t>Abierto simplificado</t>
        </is>
      </c>
      <c r="L368" s="6" t="n">
        <v>9</v>
      </c>
      <c r="M368" s="2" t="n"/>
      <c r="N368" s="7" t="n">
        <v>0.25</v>
      </c>
      <c r="O368" s="4" t="n"/>
      <c r="P368" s="2" t="inlineStr">
        <is>
          <t>45212100</t>
        </is>
      </c>
      <c r="Q368" s="8" t="inlineStr">
        <is>
          <t>Ver</t>
        </is>
      </c>
      <c r="R368" s="8" t="inlineStr">
        <is>
          <t>PCAP</t>
        </is>
      </c>
      <c r="S368" s="9" t="n">
        <v>46323</v>
      </c>
      <c r="T368" s="3" t="n">
        <v>46322.29600694445</v>
      </c>
      <c r="U368" s="2" t="n"/>
    </row>
    <row r="369">
      <c r="A369" s="2" t="inlineStr">
        <is>
          <t>Pendiente de adjudicación</t>
        </is>
      </c>
      <c r="B369" s="3" t="n">
        <v>46315.99930555555</v>
      </c>
      <c r="C369" s="5" t="n">
        <v>194214.88</v>
      </c>
      <c r="D369" s="5" t="n">
        <v>194214.88</v>
      </c>
      <c r="E369" s="2" t="inlineStr">
        <is>
          <t>Andalucía</t>
        </is>
      </c>
      <c r="F369" s="2" t="inlineStr">
        <is>
          <t>Almería</t>
        </is>
      </c>
      <c r="G369" s="2" t="n"/>
      <c r="H369" s="2" t="inlineStr">
        <is>
          <t>Junta de Gobierno de la Diputación Provincial de Almería</t>
        </is>
      </c>
      <c r="I369" s="2" t="inlineStr">
        <is>
          <t>Instalación De Puntos De Recarga De Vehículos Eléctricos E Instalación Solar Fotovoltaica En El Pabellón Moisés Ruiz, Almería. 8PGM2026</t>
        </is>
      </c>
      <c r="J369" s="2" t="inlineStr">
        <is>
          <t>2026/D31000/006-013/00067</t>
        </is>
      </c>
      <c r="K369" s="2" t="inlineStr">
        <is>
          <t>Abierto simplificado</t>
        </is>
      </c>
      <c r="L369" s="6" t="n">
        <v>4</v>
      </c>
      <c r="M369" s="2" t="n"/>
      <c r="N369" s="7" t="n">
        <v>0.25</v>
      </c>
      <c r="O369" s="4" t="n"/>
      <c r="P369" s="2" t="inlineStr">
        <is>
          <t>45310000</t>
        </is>
      </c>
      <c r="Q369" s="8" t="inlineStr">
        <is>
          <t>Ver</t>
        </is>
      </c>
      <c r="R369" s="8" t="inlineStr">
        <is>
          <t>PCAP</t>
        </is>
      </c>
      <c r="S369" s="9" t="n">
        <v>46310</v>
      </c>
      <c r="T369" s="3" t="n">
        <v>46322.29560185185</v>
      </c>
      <c r="U369" s="2" t="inlineStr">
        <is>
          <t>2026-10-28: estado PUB → EV</t>
        </is>
      </c>
    </row>
    <row r="370">
      <c r="A370" s="2" t="inlineStr">
        <is>
          <t>Pendiente de adjudicación</t>
        </is>
      </c>
      <c r="B370" s="3" t="n">
        <v>46309.99930555555</v>
      </c>
      <c r="C370" s="5" t="n">
        <v>308140.5</v>
      </c>
      <c r="D370" s="5" t="n">
        <v>308140.5</v>
      </c>
      <c r="E370" s="2" t="inlineStr">
        <is>
          <t>Andalucía</t>
        </is>
      </c>
      <c r="F370" s="2" t="inlineStr">
        <is>
          <t>Almería</t>
        </is>
      </c>
      <c r="G370" s="2" t="n"/>
      <c r="H370" s="2" t="inlineStr">
        <is>
          <t>Junta de Gobierno de la Diputación Provincial de Almería</t>
        </is>
      </c>
      <c r="I370" s="2" t="inlineStr">
        <is>
          <t>Ejecución De Rotonda En Acceso A Núcleo Urbano Y Asfaltado De Caminos Tm Sorbas 91PPOS24-27BI</t>
        </is>
      </c>
      <c r="J370" s="2" t="inlineStr">
        <is>
          <t>2025/D31000/006-013/00200</t>
        </is>
      </c>
      <c r="K370" s="2" t="inlineStr">
        <is>
          <t>Abierto simplificado</t>
        </is>
      </c>
      <c r="L370" s="6" t="n">
        <v>7</v>
      </c>
      <c r="M370" s="2" t="n"/>
      <c r="N370" s="7" t="n">
        <v>0.25</v>
      </c>
      <c r="O370" s="4" t="n"/>
      <c r="P370" s="2" t="inlineStr">
        <is>
          <t>45233250</t>
        </is>
      </c>
      <c r="Q370" s="8" t="inlineStr">
        <is>
          <t>Ver</t>
        </is>
      </c>
      <c r="R370" s="8" t="inlineStr">
        <is>
          <t>PCAP</t>
        </is>
      </c>
      <c r="S370" s="9" t="n">
        <v>46323</v>
      </c>
      <c r="T370" s="3" t="n">
        <v>46322.29459490741</v>
      </c>
      <c r="U370" s="2" t="n"/>
    </row>
    <row r="371">
      <c r="A371" s="2" t="inlineStr">
        <is>
          <t>Pendiente de adjudicación</t>
        </is>
      </c>
      <c r="B371" s="3" t="n">
        <v>46309.99930555555</v>
      </c>
      <c r="C371" s="5" t="n">
        <v>41027.35</v>
      </c>
      <c r="D371" s="5" t="n">
        <v>41027.35</v>
      </c>
      <c r="E371" s="2" t="inlineStr">
        <is>
          <t>Andalucía</t>
        </is>
      </c>
      <c r="F371" s="2" t="inlineStr">
        <is>
          <t>Almería</t>
        </is>
      </c>
      <c r="G371" s="2" t="n"/>
      <c r="H371" s="2" t="inlineStr">
        <is>
          <t>Junta de Gobierno de la Diputación Provincial de Almería</t>
        </is>
      </c>
      <c r="I371" s="2" t="inlineStr">
        <is>
          <t>Plan De Cementerios Municipales En Antas. 9PG2026</t>
        </is>
      </c>
      <c r="J371" s="2" t="inlineStr">
        <is>
          <t>2026/D31000/006-013/00069</t>
        </is>
      </c>
      <c r="K371" s="2" t="inlineStr">
        <is>
          <t>Abierto simplificado</t>
        </is>
      </c>
      <c r="L371" s="6" t="n">
        <v>2</v>
      </c>
      <c r="M371" s="2" t="n"/>
      <c r="N371" s="7" t="n">
        <v>0.25</v>
      </c>
      <c r="O371" s="4" t="n"/>
      <c r="P371" s="2" t="inlineStr">
        <is>
          <t>45215400</t>
        </is>
      </c>
      <c r="Q371" s="8" t="inlineStr">
        <is>
          <t>Ver</t>
        </is>
      </c>
      <c r="R371" s="8" t="inlineStr">
        <is>
          <t>PCAP</t>
        </is>
      </c>
      <c r="S371" s="9" t="n">
        <v>46323</v>
      </c>
      <c r="T371" s="3" t="n">
        <v>46322.2940162037</v>
      </c>
      <c r="U371" s="2" t="n"/>
    </row>
    <row r="372">
      <c r="A372" s="2" t="inlineStr">
        <is>
          <t>En plazo</t>
        </is>
      </c>
      <c r="B372" s="3" t="n">
        <v>46342.99930555555</v>
      </c>
      <c r="C372" s="5" t="n">
        <v>590117.95</v>
      </c>
      <c r="D372" s="5" t="n">
        <v>590117.95</v>
      </c>
      <c r="E372" s="2" t="inlineStr">
        <is>
          <t>Andalucía</t>
        </is>
      </c>
      <c r="F372" s="2" t="inlineStr">
        <is>
          <t>Sevilla</t>
        </is>
      </c>
      <c r="G372" s="2" t="inlineStr">
        <is>
          <t>Arahal- Sevilla</t>
        </is>
      </c>
      <c r="H372" s="2" t="inlineStr">
        <is>
          <t>Consejo de Administración de la Agencia de Régimen Especial Ciclo Integral Aguas del Retortillo</t>
        </is>
      </c>
      <c r="I372" s="2" t="inlineStr">
        <is>
          <t>(PAS/OBRAS/008/2026) Obras reurbanización de calle Corredera de Arahal. Lote 1. Pavimentación y renovación de Redes</t>
        </is>
      </c>
      <c r="J372" s="2" t="inlineStr">
        <is>
          <t>1301/2026</t>
        </is>
      </c>
      <c r="K372" s="2" t="inlineStr">
        <is>
          <t>Abierto simplificado</t>
        </is>
      </c>
      <c r="L372" s="6" t="n">
        <v>6</v>
      </c>
      <c r="M372" s="2" t="inlineStr">
        <is>
          <t>E1-2; G6-3</t>
        </is>
      </c>
      <c r="N372" s="7" t="n">
        <v>0</v>
      </c>
      <c r="O372" s="4" t="n"/>
      <c r="P372" s="2" t="inlineStr">
        <is>
          <t>45220000; 45233252; 45231000</t>
        </is>
      </c>
      <c r="Q372" s="8" t="inlineStr">
        <is>
          <t>Ver</t>
        </is>
      </c>
      <c r="R372" s="8" t="inlineStr">
        <is>
          <t>PCAP</t>
        </is>
      </c>
      <c r="S372" s="9" t="n">
        <v>46322</v>
      </c>
      <c r="T372" s="3" t="n">
        <v>46321.8353125</v>
      </c>
      <c r="U372" s="2" t="n"/>
    </row>
    <row r="373">
      <c r="A373" s="2" t="inlineStr">
        <is>
          <t>En plazo</t>
        </is>
      </c>
      <c r="B373" s="3" t="n">
        <v>46342.99930555555</v>
      </c>
      <c r="C373" s="5" t="n">
        <v>286347.1</v>
      </c>
      <c r="D373" s="5" t="n">
        <v>286347.1</v>
      </c>
      <c r="E373" s="2" t="inlineStr">
        <is>
          <t>Andalucía</t>
        </is>
      </c>
      <c r="F373" s="2" t="inlineStr">
        <is>
          <t>Sevilla</t>
        </is>
      </c>
      <c r="G373" s="2" t="inlineStr">
        <is>
          <t>Fuentes de Andalucía</t>
        </is>
      </c>
      <c r="H373" s="2" t="inlineStr">
        <is>
          <t>Consejo de Administración de la Agencia de Régimen Especial Ciclo Integral Aguas del Retortillo</t>
        </is>
      </c>
      <c r="I373" s="2" t="inlineStr">
        <is>
          <t>(PAS/OBRAS/006/2026) Obras mejora red drenaje calle Santa Teresa- Parque Pabellón de Fuentes de Andalucía</t>
        </is>
      </c>
      <c r="J373" s="2" t="inlineStr">
        <is>
          <t>699/2026</t>
        </is>
      </c>
      <c r="K373" s="2" t="inlineStr">
        <is>
          <t>Abierto simplificado</t>
        </is>
      </c>
      <c r="L373" s="6" t="n">
        <v>5</v>
      </c>
      <c r="M373" s="2" t="n"/>
      <c r="N373" s="7" t="n">
        <v>0</v>
      </c>
      <c r="O373" s="4" t="n"/>
      <c r="P373" s="2" t="inlineStr">
        <is>
          <t>45232410; 45232450</t>
        </is>
      </c>
      <c r="Q373" s="8" t="inlineStr">
        <is>
          <t>Ver</t>
        </is>
      </c>
      <c r="R373" s="8" t="inlineStr">
        <is>
          <t>PCAP</t>
        </is>
      </c>
      <c r="S373" s="9" t="n">
        <v>46322</v>
      </c>
      <c r="T373" s="3" t="n">
        <v>46321.83067129629</v>
      </c>
      <c r="U373" s="2" t="n"/>
    </row>
    <row r="374">
      <c r="A374" s="2" t="inlineStr">
        <is>
          <t>Pendiente de adjudicación</t>
        </is>
      </c>
      <c r="B374" s="3" t="n">
        <v>46271.99930555555</v>
      </c>
      <c r="C374" s="5" t="n">
        <v>1004749.93</v>
      </c>
      <c r="D374" s="5" t="n">
        <v>1004749.93</v>
      </c>
      <c r="E374" s="2" t="inlineStr">
        <is>
          <t>Andalucía</t>
        </is>
      </c>
      <c r="F374" s="2" t="inlineStr">
        <is>
          <t>Granada</t>
        </is>
      </c>
      <c r="G374" s="2" t="inlineStr">
        <is>
          <t>Granada</t>
        </is>
      </c>
      <c r="H374" s="2" t="inlineStr">
        <is>
          <t>Junta de Gobierno Local del Ayuntamiento de Baza</t>
        </is>
      </c>
      <c r="I374" s="2" t="inlineStr">
        <is>
          <t>Obras del proyecto para la regeneración urbana y mejora de infraestructuras públicas en calle Baleares, calle Valencia y calle Galicia, Barriada de la Paz y calle Comunidad de Aragón de Baza, incluido en el proyecto 1: Regeneración integral del Barrio de las Cuevas y su conexión con el resto de la ciudad financiado en el marco del Plan de Actuación Integrado PAI Baza 2030</t>
        </is>
      </c>
      <c r="J374" s="2" t="inlineStr">
        <is>
          <t>5223/2026/1</t>
        </is>
      </c>
      <c r="K374" s="2" t="inlineStr">
        <is>
          <t>Abierto simplificado</t>
        </is>
      </c>
      <c r="L374" s="6" t="n">
        <v>6</v>
      </c>
      <c r="M374" s="2" t="n"/>
      <c r="N374" s="7" t="n">
        <v>0</v>
      </c>
      <c r="O374" s="4" t="n">
        <v>3</v>
      </c>
      <c r="P374" s="2" t="inlineStr">
        <is>
          <t>45000000; 45100000; 45111000; 45500000; 45113000; 45112000; 45230000</t>
        </is>
      </c>
      <c r="Q374" s="8" t="inlineStr">
        <is>
          <t>Ver</t>
        </is>
      </c>
      <c r="R374" s="8" t="inlineStr">
        <is>
          <t>PCAP</t>
        </is>
      </c>
      <c r="S374" s="9" t="n">
        <v>46322</v>
      </c>
      <c r="T374" s="3" t="n">
        <v>46321.82537037037</v>
      </c>
      <c r="U374" s="2" t="n"/>
    </row>
    <row r="375">
      <c r="A375" s="2" t="inlineStr">
        <is>
          <t>Pendiente de adjudicación</t>
        </is>
      </c>
      <c r="B375" s="3" t="n">
        <v>46286.99930555555</v>
      </c>
      <c r="C375" s="5" t="n">
        <v>734906.9</v>
      </c>
      <c r="D375" s="5" t="n">
        <v>734906.9</v>
      </c>
      <c r="E375" s="2" t="inlineStr">
        <is>
          <t>Andalucía</t>
        </is>
      </c>
      <c r="F375" s="2" t="inlineStr">
        <is>
          <t>Granada</t>
        </is>
      </c>
      <c r="G375" s="2" t="inlineStr">
        <is>
          <t>Granada</t>
        </is>
      </c>
      <c r="H375" s="2" t="inlineStr">
        <is>
          <t>Junta de Gobierno Local del Ayuntamiento de Baza</t>
        </is>
      </c>
      <c r="I375" s="2" t="inlineStr">
        <is>
          <t>Obras de los proyectos para la instalación de plantas fotovoltaicas en pozos de la Atalaya y Edar de Baza, incluido en el proyecto 2: Transición medioambiental y movilidad sostenible para una ciudad más eficiente, financiado en el marco del Plan de Actuación Integrado PAI Baza 2030, cofinanciado por fondos FEDER en el marco del programa plurirregional de España 2021-2027</t>
        </is>
      </c>
      <c r="J375" s="2" t="inlineStr">
        <is>
          <t>5186/2026</t>
        </is>
      </c>
      <c r="K375" s="2" t="inlineStr">
        <is>
          <t>Abierto simplificado</t>
        </is>
      </c>
      <c r="L375" s="6" t="n">
        <v>3.3</v>
      </c>
      <c r="M375" s="2" t="n"/>
      <c r="N375" s="7" t="n">
        <v>0</v>
      </c>
      <c r="O375" s="4" t="n">
        <v>2</v>
      </c>
      <c r="P375" s="2" t="inlineStr">
        <is>
          <t>45310000; 09332000; 09331000; 45000000; 09331200; 09330000</t>
        </is>
      </c>
      <c r="Q375" s="8" t="inlineStr">
        <is>
          <t>Ver</t>
        </is>
      </c>
      <c r="R375" s="8" t="inlineStr">
        <is>
          <t>PCAP</t>
        </is>
      </c>
      <c r="S375" s="9" t="n">
        <v>46315</v>
      </c>
      <c r="T375" s="3" t="n">
        <v>46321.82262731482</v>
      </c>
      <c r="U375" s="2" t="n"/>
    </row>
    <row r="376">
      <c r="A376" s="2" t="inlineStr">
        <is>
          <t>Adjudicada</t>
        </is>
      </c>
      <c r="B376" s="3" t="n">
        <v>46167.54166666666</v>
      </c>
      <c r="C376" s="5" t="n">
        <v>120460.15</v>
      </c>
      <c r="D376" s="5" t="n">
        <v>120460.15</v>
      </c>
      <c r="E376" s="2" t="inlineStr">
        <is>
          <t>Andalucía</t>
        </is>
      </c>
      <c r="F376" s="2" t="inlineStr">
        <is>
          <t>Granada</t>
        </is>
      </c>
      <c r="G376" s="2" t="inlineStr">
        <is>
          <t>Atarfe (Granada)</t>
        </is>
      </c>
      <c r="H376" s="2" t="inlineStr">
        <is>
          <t>Dirección Gerente de Aguas Vega Sierra Elvira, S.A.</t>
        </is>
      </c>
      <c r="I376" s="2" t="inlineStr">
        <is>
          <t>Renovación de redes de Abastecimiento y Saneamiento en Calle Huertos en Alfacar (Granada)</t>
        </is>
      </c>
      <c r="J376" s="2" t="inlineStr">
        <is>
          <t>Obras 11/2026</t>
        </is>
      </c>
      <c r="K376" s="2" t="inlineStr">
        <is>
          <t>Abierto</t>
        </is>
      </c>
      <c r="L376" s="6" t="n">
        <v>2</v>
      </c>
      <c r="M376" s="2" t="n"/>
      <c r="N376" s="7" t="n">
        <v>0.4</v>
      </c>
      <c r="O376" s="4" t="n"/>
      <c r="P376" s="2" t="inlineStr">
        <is>
          <t>45200000; 45220000; 44160000; 45231100; 45232100</t>
        </is>
      </c>
      <c r="Q376" s="8" t="inlineStr">
        <is>
          <t>Ver</t>
        </is>
      </c>
      <c r="R376" s="8" t="inlineStr">
        <is>
          <t>PCAP</t>
        </is>
      </c>
      <c r="S376" s="9" t="n">
        <v>46310</v>
      </c>
      <c r="T376" s="3" t="n">
        <v>46321.81653935185</v>
      </c>
      <c r="U376" s="2" t="inlineStr">
        <is>
          <t>2026-10-27: estado EV → ADJ</t>
        </is>
      </c>
    </row>
    <row r="377">
      <c r="A377" s="2" t="inlineStr">
        <is>
          <t>Adjudicada</t>
        </is>
      </c>
      <c r="B377" s="3" t="n">
        <v>46167.54166666666</v>
      </c>
      <c r="C377" s="5" t="n">
        <v>107865.37</v>
      </c>
      <c r="D377" s="5" t="n">
        <v>107865.37</v>
      </c>
      <c r="E377" s="2" t="inlineStr">
        <is>
          <t>Andalucía</t>
        </is>
      </c>
      <c r="F377" s="2" t="inlineStr">
        <is>
          <t>Granada</t>
        </is>
      </c>
      <c r="G377" s="2" t="inlineStr">
        <is>
          <t>Atarfe (Granada)</t>
        </is>
      </c>
      <c r="H377" s="2" t="inlineStr">
        <is>
          <t>Dirección Gerente de Aguas Vega Sierra Elvira, S.A.</t>
        </is>
      </c>
      <c r="I377" s="2" t="inlineStr">
        <is>
          <t>Renovación red de abastecimiento en calles Parras y La Paz de Fuente Vaqueros</t>
        </is>
      </c>
      <c r="J377" s="2" t="inlineStr">
        <is>
          <t>Obras 09/2026</t>
        </is>
      </c>
      <c r="K377" s="2" t="inlineStr">
        <is>
          <t>Abierto</t>
        </is>
      </c>
      <c r="L377" s="6" t="n">
        <v>3</v>
      </c>
      <c r="M377" s="2" t="n"/>
      <c r="N377" s="7" t="n">
        <v>0.4</v>
      </c>
      <c r="O377" s="4" t="n"/>
      <c r="P377" s="2" t="inlineStr">
        <is>
          <t>45200000; 45220000; 45231100; 44160000; 45232100</t>
        </is>
      </c>
      <c r="Q377" s="8" t="inlineStr">
        <is>
          <t>Ver</t>
        </is>
      </c>
      <c r="R377" s="8" t="inlineStr">
        <is>
          <t>PCAP</t>
        </is>
      </c>
      <c r="S377" s="9" t="n">
        <v>46310</v>
      </c>
      <c r="T377" s="3" t="n">
        <v>46321.81130787037</v>
      </c>
      <c r="U377" s="2" t="inlineStr">
        <is>
          <t>2026-10-27: estado EV → ADJ</t>
        </is>
      </c>
    </row>
    <row r="378">
      <c r="A378" s="2" t="inlineStr">
        <is>
          <t>En plazo</t>
        </is>
      </c>
      <c r="B378" s="3" t="n">
        <v>46350.58333333334</v>
      </c>
      <c r="C378" s="5" t="n">
        <v>88417.92999999999</v>
      </c>
      <c r="D378" s="5" t="n">
        <v>88417.92999999999</v>
      </c>
      <c r="E378" s="2" t="inlineStr">
        <is>
          <t>Andalucía</t>
        </is>
      </c>
      <c r="F378" s="2" t="inlineStr">
        <is>
          <t>Sevilla</t>
        </is>
      </c>
      <c r="G378" s="2" t="n"/>
      <c r="H378" s="2" t="inlineStr">
        <is>
          <t>Alcaldía del Ayuntamiento de El Ronquillo</t>
        </is>
      </c>
      <c r="I378" s="2" t="inlineStr">
        <is>
          <t>Viario y Muro de contención Calle Sereno José García</t>
        </is>
      </c>
      <c r="J378" s="2" t="inlineStr">
        <is>
          <t>P4108300G-2026/000035-PAAS</t>
        </is>
      </c>
      <c r="K378" s="2" t="inlineStr">
        <is>
          <t>Abierto simplificado</t>
        </is>
      </c>
      <c r="L378" s="6" t="n">
        <v>4</v>
      </c>
      <c r="M378" s="2" t="n"/>
      <c r="N378" s="7" t="n">
        <v>0</v>
      </c>
      <c r="O378" s="4" t="n"/>
      <c r="P378" s="2" t="inlineStr">
        <is>
          <t>45262620</t>
        </is>
      </c>
      <c r="Q378" s="8" t="inlineStr">
        <is>
          <t>Ver</t>
        </is>
      </c>
      <c r="R378" s="8" t="inlineStr">
        <is>
          <t>PCAP</t>
        </is>
      </c>
      <c r="S378" s="9" t="n">
        <v>46322</v>
      </c>
      <c r="T378" s="3" t="n">
        <v>46321.78311342592</v>
      </c>
      <c r="U378" s="2" t="n"/>
    </row>
    <row r="379">
      <c r="A379" s="2" t="inlineStr">
        <is>
          <t>Resuelta</t>
        </is>
      </c>
      <c r="B379" s="3" t="n">
        <v>46313.99930555555</v>
      </c>
      <c r="C379" s="5" t="n">
        <v>135499.99</v>
      </c>
      <c r="D379" s="5" t="n">
        <v>135499.99</v>
      </c>
      <c r="E379" s="2" t="inlineStr">
        <is>
          <t>Andalucía</t>
        </is>
      </c>
      <c r="F379" s="2" t="inlineStr">
        <is>
          <t>Córdoba</t>
        </is>
      </c>
      <c r="G379" s="2" t="n"/>
      <c r="H379" s="2" t="inlineStr">
        <is>
          <t>Junta de Gobierno Local del Ayuntamiento de Hornachuelos</t>
        </is>
      </c>
      <c r="I379" s="2" t="inlineStr">
        <is>
          <t>Obra relativa al Proyecto de rehabilitación del Centro de Interpretación del Castillo de Hornachuelos, con cargo a la subvención PATCUL</t>
        </is>
      </c>
      <c r="J379" s="2" t="inlineStr">
        <is>
          <t>11010/2026</t>
        </is>
      </c>
      <c r="K379" s="2" t="inlineStr">
        <is>
          <t>Abierto</t>
        </is>
      </c>
      <c r="L379" s="6" t="n">
        <v>4</v>
      </c>
      <c r="M379" s="2" t="n"/>
      <c r="N379" s="7" t="n">
        <v>0</v>
      </c>
      <c r="O379" s="4" t="n"/>
      <c r="P379" s="2" t="inlineStr">
        <is>
          <t>45212000</t>
        </is>
      </c>
      <c r="Q379" s="8" t="inlineStr">
        <is>
          <t>Ver</t>
        </is>
      </c>
      <c r="R379" s="8" t="inlineStr">
        <is>
          <t>PCAP</t>
        </is>
      </c>
      <c r="S379" s="9" t="n">
        <v>46322</v>
      </c>
      <c r="T379" s="3" t="n">
        <v>46321.75358796296</v>
      </c>
      <c r="U379" s="2" t="n"/>
    </row>
    <row r="380">
      <c r="A380" s="2" t="inlineStr">
        <is>
          <t>Pendiente de adjudicación</t>
        </is>
      </c>
      <c r="B380" s="3" t="n">
        <v>46313.99930555555</v>
      </c>
      <c r="C380" s="5" t="n">
        <v>415566.92</v>
      </c>
      <c r="D380" s="5" t="n">
        <v>415566.92</v>
      </c>
      <c r="E380" s="2" t="inlineStr">
        <is>
          <t>Andalucía</t>
        </is>
      </c>
      <c r="F380" s="2" t="inlineStr">
        <is>
          <t>Córdoba</t>
        </is>
      </c>
      <c r="G380" s="2" t="n"/>
      <c r="H380" s="2" t="inlineStr">
        <is>
          <t>Junta de Gobierno Local del Ayuntamiento de Hornachuelos</t>
        </is>
      </c>
      <c r="I380" s="2" t="inlineStr">
        <is>
          <t>Obra de construcción de pabellón polivalente en las casetas del recinto ferial (zona sur) de Hornachuelos por procedimiento abierto, con carga los Planes Provinciales de obras y servicios 2024-2027 de la Excma. Diputación Provincial de Córdoba</t>
        </is>
      </c>
      <c r="J380" s="2" t="inlineStr">
        <is>
          <t>10889/2026</t>
        </is>
      </c>
      <c r="K380" s="2" t="inlineStr">
        <is>
          <t>Abierto</t>
        </is>
      </c>
      <c r="L380" s="6" t="n">
        <v>7</v>
      </c>
      <c r="M380" s="2" t="n"/>
      <c r="N380" s="7" t="n">
        <v>0</v>
      </c>
      <c r="O380" s="4" t="n"/>
      <c r="P380" s="2" t="inlineStr">
        <is>
          <t>45212000</t>
        </is>
      </c>
      <c r="Q380" s="8" t="inlineStr">
        <is>
          <t>Ver</t>
        </is>
      </c>
      <c r="R380" s="8" t="inlineStr">
        <is>
          <t>PCAP</t>
        </is>
      </c>
      <c r="S380" s="9" t="n">
        <v>46314</v>
      </c>
      <c r="T380" s="3" t="n">
        <v>46321.72375</v>
      </c>
      <c r="U380" s="2" t="inlineStr">
        <is>
          <t>2026-10-27: estado PUB → EV</t>
        </is>
      </c>
    </row>
    <row r="381">
      <c r="A381" s="2" t="inlineStr">
        <is>
          <t>Pendiente de adjudicación</t>
        </is>
      </c>
      <c r="B381" s="3" t="n">
        <v>46317.99930555555</v>
      </c>
      <c r="C381" s="5" t="n">
        <v>489804.15</v>
      </c>
      <c r="D381" s="5" t="n">
        <v>538784.5699999999</v>
      </c>
      <c r="E381" s="2" t="inlineStr">
        <is>
          <t>Andalucía</t>
        </is>
      </c>
      <c r="F381" s="2" t="inlineStr">
        <is>
          <t>Málaga</t>
        </is>
      </c>
      <c r="G381" s="2" t="n"/>
      <c r="H381" s="2" t="inlineStr">
        <is>
          <t>Junta General de la Sociedad para la Promoción y la Explotación de los Recursos de Antequera y su Comarca, S.A.</t>
        </is>
      </c>
      <c r="I381" s="2" t="inlineStr">
        <is>
          <t>Obras de mejora del confort térmico y reducción de consumo energético mediante sustitución de carpinterías exteriores en viviendas de la barriada Manuel Flores con enfoque social y de eficiencia energética</t>
        </is>
      </c>
      <c r="J381" s="2" t="inlineStr">
        <is>
          <t>2026CONTRA0001</t>
        </is>
      </c>
      <c r="K381" s="2" t="inlineStr">
        <is>
          <t>Abierto simplificado</t>
        </is>
      </c>
      <c r="L381" s="6" t="n">
        <v>4</v>
      </c>
      <c r="M381" s="2" t="inlineStr">
        <is>
          <t>C9-3</t>
        </is>
      </c>
      <c r="N381" s="7" t="n">
        <v>0.25</v>
      </c>
      <c r="O381" s="4" t="n"/>
      <c r="P381" s="2" t="inlineStr">
        <is>
          <t>45420000; 45410000; 45440000; 45321000</t>
        </is>
      </c>
      <c r="Q381" s="8" t="inlineStr">
        <is>
          <t>Ver</t>
        </is>
      </c>
      <c r="R381" s="8" t="inlineStr">
        <is>
          <t>PCAP</t>
        </is>
      </c>
      <c r="S381" s="9" t="n">
        <v>46322</v>
      </c>
      <c r="T381" s="3" t="n">
        <v>46321.71974537037</v>
      </c>
      <c r="U381" s="2" t="n"/>
    </row>
    <row r="382">
      <c r="A382" s="2" t="inlineStr">
        <is>
          <t>Resuelta</t>
        </is>
      </c>
      <c r="B382" s="3" t="n">
        <v>46169.99930555555</v>
      </c>
      <c r="C382" s="5" t="n">
        <v>1439846.95</v>
      </c>
      <c r="D382" s="5" t="n">
        <v>1439846.95</v>
      </c>
      <c r="E382" s="2" t="inlineStr">
        <is>
          <t>Comunitat Valenciana</t>
        </is>
      </c>
      <c r="F382" s="2" t="inlineStr">
        <is>
          <t>Valencia</t>
        </is>
      </c>
      <c r="G382" s="2" t="inlineStr">
        <is>
          <t>Benetússer</t>
        </is>
      </c>
      <c r="H382" s="2" t="inlineStr">
        <is>
          <t>Pleno del Ayuntamiento de Benetússer</t>
        </is>
      </c>
      <c r="I382" s="2" t="inlineStr">
        <is>
          <t>Ejecución del Proyecto de obras de "Intervención en molí de Benetússer, de reparación y restauración por daños provocados por la DANA. Bien de relevancia local: espacio etnológico de interés local"</t>
        </is>
      </c>
      <c r="J382" s="2" t="inlineStr">
        <is>
          <t>2497682D</t>
        </is>
      </c>
      <c r="K382" s="2" t="inlineStr">
        <is>
          <t>Abierto simplificado</t>
        </is>
      </c>
      <c r="L382" s="6" t="n">
        <v>15</v>
      </c>
      <c r="M382" s="2" t="inlineStr">
        <is>
          <t>C2-4</t>
        </is>
      </c>
      <c r="N382" s="7" t="n">
        <v>0</v>
      </c>
      <c r="O382" s="4" t="n"/>
      <c r="P382" s="2" t="inlineStr">
        <is>
          <t>45212314</t>
        </is>
      </c>
      <c r="Q382" s="8" t="inlineStr">
        <is>
          <t>Ver</t>
        </is>
      </c>
      <c r="R382" s="8" t="inlineStr">
        <is>
          <t>PCAP</t>
        </is>
      </c>
      <c r="S382" s="9" t="n">
        <v>46310</v>
      </c>
      <c r="T382" s="3" t="n">
        <v>46321.71731481481</v>
      </c>
      <c r="U382" s="2" t="inlineStr">
        <is>
          <t>2026-10-27: estado ADJ → RES</t>
        </is>
      </c>
    </row>
    <row r="383">
      <c r="A383" s="2" t="inlineStr">
        <is>
          <t>Pendiente de adjudicación</t>
        </is>
      </c>
      <c r="B383" s="3" t="n">
        <v>46301.58333333334</v>
      </c>
      <c r="C383" s="5" t="n">
        <v>979516.1800000001</v>
      </c>
      <c r="D383" s="5" t="n">
        <v>979516.1800000001</v>
      </c>
      <c r="E383" s="2" t="inlineStr">
        <is>
          <t>Andalucía</t>
        </is>
      </c>
      <c r="F383" s="2" t="inlineStr">
        <is>
          <t>Almería</t>
        </is>
      </c>
      <c r="G383" s="2" t="n"/>
      <c r="H383" s="2" t="inlineStr">
        <is>
          <t>Presidencia del Consejo de Administración de la Sociedad Estatal de Infraestructuras del Transporte Terrestre, S.M.E., S.A.</t>
        </is>
      </c>
      <c r="I383" s="2" t="inlineStr">
        <is>
          <t>Contrato de obras del proyecto de construcción de "actuaciones de reparación en la estructura AP-0007-0909+665 (A06-AP7-0003-VI) de la autopista AP-7 Cartagena-Vera". CLAVE 38-AL-0048.</t>
        </is>
      </c>
      <c r="J383" s="2" t="inlineStr">
        <is>
          <t>20261053-C</t>
        </is>
      </c>
      <c r="K383" s="2" t="inlineStr">
        <is>
          <t>Abierto</t>
        </is>
      </c>
      <c r="L383" s="6" t="n">
        <v>15</v>
      </c>
      <c r="M383" s="2" t="inlineStr">
        <is>
          <t>B2-2; G6-3</t>
        </is>
      </c>
      <c r="N383" s="7" t="n">
        <v>0.3</v>
      </c>
      <c r="O383" s="4" t="n"/>
      <c r="P383" s="2" t="inlineStr">
        <is>
          <t>45233000</t>
        </is>
      </c>
      <c r="Q383" s="8" t="inlineStr">
        <is>
          <t>Ver</t>
        </is>
      </c>
      <c r="R383" s="8" t="inlineStr">
        <is>
          <t>PCAP</t>
        </is>
      </c>
      <c r="S383" s="9" t="n">
        <v>46310</v>
      </c>
      <c r="T383" s="3" t="n">
        <v>46321.66321759259</v>
      </c>
      <c r="U383" s="2" t="n"/>
    </row>
    <row r="384">
      <c r="A384" s="2" t="inlineStr">
        <is>
          <t>Plazo vencido</t>
        </is>
      </c>
      <c r="B384" s="3" t="n">
        <v>46322.99930555555</v>
      </c>
      <c r="C384" s="5" t="n">
        <v>94619</v>
      </c>
      <c r="D384" s="5" t="n">
        <v>94619</v>
      </c>
      <c r="E384" s="2" t="inlineStr">
        <is>
          <t>Comunitat Valenciana</t>
        </is>
      </c>
      <c r="F384" s="2" t="inlineStr">
        <is>
          <t>Valencia</t>
        </is>
      </c>
      <c r="G384" s="2" t="inlineStr">
        <is>
          <t>Ador</t>
        </is>
      </c>
      <c r="H384" s="2" t="inlineStr">
        <is>
          <t>Alcaldía del Ayuntamiento de Ador</t>
        </is>
      </c>
      <c r="I384" s="2" t="inlineStr">
        <is>
          <t>Segunda fase cerramiento fachadas en el frontón municipal de Ador</t>
        </is>
      </c>
      <c r="J384" s="2" t="inlineStr">
        <is>
          <t>713/2026</t>
        </is>
      </c>
      <c r="K384" s="2" t="inlineStr">
        <is>
          <t>Abierto simplificado</t>
        </is>
      </c>
      <c r="L384" s="6" t="n">
        <v>1.4</v>
      </c>
      <c r="M384" s="2" t="n"/>
      <c r="N384" s="7" t="n">
        <v>0</v>
      </c>
      <c r="O384" s="4" t="n"/>
      <c r="P384" s="2" t="inlineStr">
        <is>
          <t>45212220</t>
        </is>
      </c>
      <c r="Q384" s="8" t="inlineStr">
        <is>
          <t>Ver</t>
        </is>
      </c>
      <c r="R384" s="8" t="inlineStr">
        <is>
          <t>PCAP</t>
        </is>
      </c>
      <c r="S384" s="9" t="n">
        <v>46310</v>
      </c>
      <c r="T384" s="3" t="n">
        <v>46321.63925925926</v>
      </c>
      <c r="U384" s="2" t="n"/>
    </row>
    <row r="385">
      <c r="A385" s="2" t="inlineStr">
        <is>
          <t>Pendiente de adjudicación</t>
        </is>
      </c>
      <c r="B385" s="3" t="n">
        <v>46224.99930555555</v>
      </c>
      <c r="C385" s="5" t="n">
        <v>118149</v>
      </c>
      <c r="D385" s="5" t="n">
        <v>118149</v>
      </c>
      <c r="E385" s="2" t="inlineStr">
        <is>
          <t>Comunitat Valenciana</t>
        </is>
      </c>
      <c r="F385" s="2" t="inlineStr">
        <is>
          <t>Valencia</t>
        </is>
      </c>
      <c r="G385" s="2" t="inlineStr">
        <is>
          <t>Ador</t>
        </is>
      </c>
      <c r="H385" s="2" t="inlineStr">
        <is>
          <t>Alcaldía del Ayuntamiento de Ador</t>
        </is>
      </c>
      <c r="I385" s="2" t="inlineStr">
        <is>
          <t>Reforma del Centro de Salud de Ador Calle Cervantes, 25</t>
        </is>
      </c>
      <c r="J385" s="2" t="inlineStr">
        <is>
          <t>367/2026</t>
        </is>
      </c>
      <c r="K385" s="2" t="inlineStr">
        <is>
          <t>Abierto simplificado</t>
        </is>
      </c>
      <c r="L385" s="6" t="n">
        <v>3</v>
      </c>
      <c r="M385" s="2" t="n"/>
      <c r="N385" s="7" t="n">
        <v>0.25</v>
      </c>
      <c r="O385" s="4" t="n"/>
      <c r="P385" s="2" t="inlineStr">
        <is>
          <t>45215100</t>
        </is>
      </c>
      <c r="Q385" s="8" t="inlineStr">
        <is>
          <t>Ver</t>
        </is>
      </c>
      <c r="R385" s="8" t="inlineStr">
        <is>
          <t>PCAP</t>
        </is>
      </c>
      <c r="S385" s="9" t="n">
        <v>46322</v>
      </c>
      <c r="T385" s="3" t="n">
        <v>46321.63762731481</v>
      </c>
      <c r="U385" s="2" t="n"/>
    </row>
    <row r="386">
      <c r="A386" s="2" t="inlineStr">
        <is>
          <t>En plazo</t>
        </is>
      </c>
      <c r="B386" s="3" t="n">
        <v>46335.99930555555</v>
      </c>
      <c r="C386" s="5" t="n">
        <v>76704</v>
      </c>
      <c r="D386" s="5" t="n">
        <v>76704</v>
      </c>
      <c r="E386" s="2" t="inlineStr">
        <is>
          <t>Comunitat Valenciana</t>
        </is>
      </c>
      <c r="F386" s="2" t="inlineStr">
        <is>
          <t>Valencia</t>
        </is>
      </c>
      <c r="G386" s="2" t="inlineStr">
        <is>
          <t>Ador</t>
        </is>
      </c>
      <c r="H386" s="2" t="inlineStr">
        <is>
          <t>Alcaldía del Ayuntamiento de Ador</t>
        </is>
      </c>
      <c r="I386" s="2" t="inlineStr">
        <is>
          <t>Proyecto transformación del parque infantil de la plaza mayor de Ador</t>
        </is>
      </c>
      <c r="J386" s="2" t="inlineStr">
        <is>
          <t>757/2026</t>
        </is>
      </c>
      <c r="K386" s="2" t="inlineStr">
        <is>
          <t>Abierto simplificado</t>
        </is>
      </c>
      <c r="L386" s="6" t="n">
        <v>3</v>
      </c>
      <c r="M386" s="2" t="n"/>
      <c r="N386" s="7" t="n">
        <v>0</v>
      </c>
      <c r="O386" s="4" t="n"/>
      <c r="P386" s="2" t="inlineStr">
        <is>
          <t>45112723</t>
        </is>
      </c>
      <c r="Q386" s="8" t="inlineStr">
        <is>
          <t>Ver</t>
        </is>
      </c>
      <c r="R386" s="8" t="inlineStr">
        <is>
          <t>PCAP</t>
        </is>
      </c>
      <c r="S386" s="9" t="n">
        <v>46322</v>
      </c>
      <c r="T386" s="3" t="n">
        <v>46321.63207175926</v>
      </c>
      <c r="U386" s="2" t="n"/>
    </row>
    <row r="387">
      <c r="A387" s="2" t="inlineStr">
        <is>
          <t>En plazo</t>
        </is>
      </c>
      <c r="B387" s="3" t="n">
        <v>46335.99930555555</v>
      </c>
      <c r="C387" s="5" t="n">
        <v>19203.1</v>
      </c>
      <c r="D387" s="5" t="n">
        <v>42246.82</v>
      </c>
      <c r="E387" s="2" t="inlineStr">
        <is>
          <t>Comunitat Valenciana</t>
        </is>
      </c>
      <c r="F387" s="2" t="inlineStr">
        <is>
          <t>Castellón</t>
        </is>
      </c>
      <c r="G387" s="2" t="n"/>
      <c r="H387" s="2" t="inlineStr">
        <is>
          <t>Valenciana d'Estrategies i Recursos per a la Sostenibilitat Ambiental, Sociedad Anónima</t>
        </is>
      </c>
      <c r="I387" s="2" t="inlineStr">
        <is>
          <t>Mantenimiento integral de los ecoparques fijos (Sax, Beneixama, Salinas, Elda, Banyeres de Mariola, Onil y Petrer) dentro del ámbito del Consorcio para la Ejecución del Plan Zonal 8, Área de Gestión A3, Consorcio Crea</t>
        </is>
      </c>
      <c r="J387" s="2" t="inlineStr">
        <is>
          <t>CMAYOR2026VAERS0058</t>
        </is>
      </c>
      <c r="K387" s="2" t="inlineStr">
        <is>
          <t>Abierto simplificado</t>
        </is>
      </c>
      <c r="L387" s="6" t="n">
        <v>6</v>
      </c>
      <c r="M387" s="2" t="n"/>
      <c r="N387" s="7" t="n">
        <v>0</v>
      </c>
      <c r="O387" s="4" t="n"/>
      <c r="P387" s="2" t="inlineStr">
        <is>
          <t>45259000; 45262600; 45330000; 50000000; 73120000</t>
        </is>
      </c>
      <c r="Q387" s="8" t="inlineStr">
        <is>
          <t>Ver</t>
        </is>
      </c>
      <c r="R387" s="8" t="inlineStr">
        <is>
          <t>PCAP</t>
        </is>
      </c>
      <c r="S387" s="9" t="n">
        <v>46322</v>
      </c>
      <c r="T387" s="3" t="n">
        <v>46321.63015046297</v>
      </c>
      <c r="U387" s="2" t="n"/>
    </row>
    <row r="388">
      <c r="A388" s="2" t="inlineStr">
        <is>
          <t>En plazo</t>
        </is>
      </c>
      <c r="B388" s="3" t="n">
        <v>46331.99930555555</v>
      </c>
      <c r="C388" s="5" t="n">
        <v>1025843.16</v>
      </c>
      <c r="D388" s="5" t="n">
        <v>1025843.16</v>
      </c>
      <c r="E388" s="2" t="inlineStr">
        <is>
          <t>Andalucía</t>
        </is>
      </c>
      <c r="F388" s="2" t="inlineStr">
        <is>
          <t>Málaga</t>
        </is>
      </c>
      <c r="G388" s="2" t="inlineStr">
        <is>
          <t>Alhaurín el Grande</t>
        </is>
      </c>
      <c r="H388" s="2" t="inlineStr">
        <is>
          <t>Alcaldía del Ayuntamiento de Alhaurín el Grande</t>
        </is>
      </c>
      <c r="I388" s="2" t="inlineStr">
        <is>
          <t>Proyecto de obras de renaturalización de las Avenidas Blas Infante y Libertad. Tramo 4</t>
        </is>
      </c>
      <c r="J388" s="2" t="inlineStr">
        <is>
          <t>25734/2026 BLAS INFANTE Y LIBERTAD</t>
        </is>
      </c>
      <c r="K388" s="2" t="inlineStr">
        <is>
          <t>Abierto simplificado</t>
        </is>
      </c>
      <c r="L388" s="6" t="n">
        <v>14</v>
      </c>
      <c r="M388" s="2" t="n"/>
      <c r="N388" s="7" t="n">
        <v>0.1</v>
      </c>
      <c r="O388" s="4" t="n"/>
      <c r="P388" s="2" t="inlineStr">
        <is>
          <t>45223210; 45112000; 45262210; 45232100; 45262520; 45233140</t>
        </is>
      </c>
      <c r="Q388" s="8" t="inlineStr">
        <is>
          <t>Ver</t>
        </is>
      </c>
      <c r="R388" s="8" t="inlineStr">
        <is>
          <t>PCAP</t>
        </is>
      </c>
      <c r="S388" s="9" t="n">
        <v>46310</v>
      </c>
      <c r="T388" s="3" t="n">
        <v>46321.62657407407</v>
      </c>
      <c r="U388" s="2" t="inlineStr">
        <is>
          <t>2026-10-27: plazo 2026-10-26 23:59 → 2026-11-05 23:59</t>
        </is>
      </c>
    </row>
    <row r="389">
      <c r="A389" s="2" t="inlineStr">
        <is>
          <t>Pendiente de adjudicación</t>
        </is>
      </c>
      <c r="B389" s="3" t="n">
        <v>46311.625</v>
      </c>
      <c r="C389" s="5" t="n">
        <v>8264.459999999999</v>
      </c>
      <c r="D389" s="5" t="n">
        <v>8264.459999999999</v>
      </c>
      <c r="E389" s="2" t="inlineStr">
        <is>
          <t>Andalucía</t>
        </is>
      </c>
      <c r="F389" s="2" t="inlineStr">
        <is>
          <t>Córdoba</t>
        </is>
      </c>
      <c r="G389" s="2" t="inlineStr">
        <is>
          <t>LUQUE</t>
        </is>
      </c>
      <c r="H389" s="2" t="inlineStr">
        <is>
          <t>Alcaldía de Ayuntamiento de Luque</t>
        </is>
      </c>
      <c r="I389" s="2" t="inlineStr">
        <is>
          <t>Obras de Adecuación de Iluminación en Camino Fuente la Reina, en Luque (Córdoba)</t>
        </is>
      </c>
      <c r="J389" s="2" t="inlineStr">
        <is>
          <t>GEX/2547/2026</t>
        </is>
      </c>
      <c r="K389" s="2" t="inlineStr">
        <is>
          <t>Abierto simplificado</t>
        </is>
      </c>
      <c r="L389" s="6" t="n">
        <v>1</v>
      </c>
      <c r="M389" s="2" t="n"/>
      <c r="N389" s="7" t="n">
        <v>0</v>
      </c>
      <c r="O389" s="4" t="n"/>
      <c r="P389" s="2" t="inlineStr">
        <is>
          <t>45310000; 34928510; 45316100; 34928520</t>
        </is>
      </c>
      <c r="Q389" s="8" t="inlineStr">
        <is>
          <t>Ver</t>
        </is>
      </c>
      <c r="R389" s="8" t="inlineStr">
        <is>
          <t>PCAP</t>
        </is>
      </c>
      <c r="S389" s="9" t="n">
        <v>46322</v>
      </c>
      <c r="T389" s="3" t="n">
        <v>46321.62633101852</v>
      </c>
      <c r="U389" s="2" t="n"/>
    </row>
    <row r="390">
      <c r="A390" s="2" t="inlineStr">
        <is>
          <t>Resuelta</t>
        </is>
      </c>
      <c r="B390" s="3" t="n">
        <v>46321.41666666666</v>
      </c>
      <c r="C390" s="5" t="n">
        <v>4970289.41</v>
      </c>
      <c r="D390" s="5" t="n">
        <v>4970289.41</v>
      </c>
      <c r="E390" s="2" t="inlineStr">
        <is>
          <t>Comunitat Valenciana</t>
        </is>
      </c>
      <c r="F390" s="2" t="inlineStr">
        <is>
          <t>Valencia</t>
        </is>
      </c>
      <c r="G390" s="2" t="inlineStr">
        <is>
          <t>Catarroja (Valencia).</t>
        </is>
      </c>
      <c r="H390" s="2" t="inlineStr">
        <is>
          <t>Empresa de Transformación Agraria S.A.,S.M.E., M.P., (TRAGSA)</t>
        </is>
      </c>
      <c r="I390" s="2" t="inlineStr">
        <is>
          <t>Contrato derivado de acuerdo marco para la contratación de los trabajos de reparación de daños en infraestructuras, instalaciones y servicios de los municipios afectados por la DANA, entre el 28 de octubre y el 4 de noviembre de 2024, Nº 0786172 DANA24M RECONSTRUCCIÓN DE LA URBANIZACIÓN DE LA ZONA INSTITUTO DE CATARROJA.</t>
        </is>
      </c>
      <c r="J390" s="2" t="inlineStr">
        <is>
          <t>TSA0080551-040</t>
        </is>
      </c>
      <c r="K390" s="2" t="inlineStr">
        <is>
          <t>Abierto</t>
        </is>
      </c>
      <c r="L390" s="6" t="n">
        <v>18</v>
      </c>
      <c r="M390" s="2" t="n"/>
      <c r="N390" s="7" t="n">
        <v>0</v>
      </c>
      <c r="O390" s="4" t="n"/>
      <c r="P390" s="2" t="inlineStr">
        <is>
          <t>45233252; 45233226; 45233161; 45233200; 45233290; 45212321; 45233293; 45233222; 45233223</t>
        </is>
      </c>
      <c r="Q390" s="8" t="inlineStr">
        <is>
          <t>Ver</t>
        </is>
      </c>
      <c r="R390" s="8" t="inlineStr">
        <is>
          <t>PCAP</t>
        </is>
      </c>
      <c r="S390" s="9" t="n">
        <v>46322</v>
      </c>
      <c r="T390" s="3" t="n">
        <v>46321.62596064815</v>
      </c>
      <c r="U390" s="2" t="n"/>
    </row>
    <row r="391">
      <c r="A391" s="2" t="inlineStr">
        <is>
          <t>En plazo</t>
        </is>
      </c>
      <c r="B391" s="3" t="n">
        <v>46342.99930555555</v>
      </c>
      <c r="C391" s="5" t="n">
        <v>1332042.22</v>
      </c>
      <c r="D391" s="5" t="n">
        <v>1332042.22</v>
      </c>
      <c r="E391" s="2" t="inlineStr">
        <is>
          <t>Comunitat Valenciana</t>
        </is>
      </c>
      <c r="F391" s="2" t="inlineStr">
        <is>
          <t>Valencia</t>
        </is>
      </c>
      <c r="G391" s="2" t="n"/>
      <c r="H391" s="2" t="inlineStr">
        <is>
          <t>Alcaldía del Ayuntamiento de Manises</t>
        </is>
      </c>
      <c r="I391" s="2" t="inlineStr">
        <is>
          <t>Obras para la ejecución de las actuaciones incluidas en el plan edificant correspondientes a la fase 2 del CEIP Enric Valor ya la adecuación y mejora del CEIP José Garcia Planells</t>
        </is>
      </c>
      <c r="J391" s="2" t="inlineStr">
        <is>
          <t>2754824W</t>
        </is>
      </c>
      <c r="K391" s="2" t="inlineStr">
        <is>
          <t>Abierto</t>
        </is>
      </c>
      <c r="L391" s="6" t="n">
        <v>6</v>
      </c>
      <c r="M391" s="2" t="inlineStr">
        <is>
          <t>J2-3; C4-3; I9-3; C6-3</t>
        </is>
      </c>
      <c r="N391" s="7" t="n">
        <v>0.3</v>
      </c>
      <c r="O391" s="4" t="n">
        <v>2</v>
      </c>
      <c r="P391" s="2" t="inlineStr">
        <is>
          <t>45214200; 45200000; 45300000; 45261410; 45331200</t>
        </is>
      </c>
      <c r="Q391" s="8" t="inlineStr">
        <is>
          <t>Ver</t>
        </is>
      </c>
      <c r="R391" s="8" t="inlineStr">
        <is>
          <t>PCAP</t>
        </is>
      </c>
      <c r="S391" s="9" t="n">
        <v>46317</v>
      </c>
      <c r="T391" s="3" t="n">
        <v>46321.62376157408</v>
      </c>
      <c r="U391" s="2" t="n"/>
    </row>
    <row r="392">
      <c r="A392" s="2" t="inlineStr">
        <is>
          <t>Pendiente de adjudicación</t>
        </is>
      </c>
      <c r="B392" s="3" t="n">
        <v>46317.58333333334</v>
      </c>
      <c r="C392" s="5" t="n">
        <v>1194134.28</v>
      </c>
      <c r="D392" s="5" t="n">
        <v>1194134.28</v>
      </c>
      <c r="E392" s="2" t="inlineStr">
        <is>
          <t>Andalucía</t>
        </is>
      </c>
      <c r="F392" s="2" t="inlineStr">
        <is>
          <t>Málaga</t>
        </is>
      </c>
      <c r="G392" s="2" t="inlineStr">
        <is>
          <t>CÁRTAMA</t>
        </is>
      </c>
      <c r="H392" s="2" t="inlineStr">
        <is>
          <t>Alcaldía del Ayuntamiento de Cártama</t>
        </is>
      </c>
      <c r="I392" s="2" t="inlineStr">
        <is>
          <t>Reparación de Pavimentos en el Municipio de Cártama.</t>
        </is>
      </c>
      <c r="J392" s="2" t="inlineStr">
        <is>
          <t>6331/2026</t>
        </is>
      </c>
      <c r="K392" s="2" t="inlineStr">
        <is>
          <t>Abierto simplificado</t>
        </is>
      </c>
      <c r="L392" s="6" t="n">
        <v>3</v>
      </c>
      <c r="M392" s="2" t="n"/>
      <c r="N392" s="7" t="n">
        <v>0.25</v>
      </c>
      <c r="O392" s="4" t="n"/>
      <c r="P392" s="2" t="inlineStr">
        <is>
          <t>45233220; 45233223</t>
        </is>
      </c>
      <c r="Q392" s="8" t="inlineStr">
        <is>
          <t>Ver</t>
        </is>
      </c>
      <c r="R392" s="8" t="inlineStr">
        <is>
          <t>PCAP</t>
        </is>
      </c>
      <c r="S392" s="9" t="n">
        <v>46322</v>
      </c>
      <c r="T392" s="3" t="n">
        <v>46321.62185185185</v>
      </c>
      <c r="U392" s="2" t="n"/>
    </row>
    <row r="393">
      <c r="A393" s="2" t="inlineStr">
        <is>
          <t>Pendiente de adjudicación</t>
        </is>
      </c>
      <c r="B393" s="3" t="n">
        <v>46308.58333333334</v>
      </c>
      <c r="C393" s="5" t="n">
        <v>165289.26</v>
      </c>
      <c r="D393" s="5" t="n">
        <v>165289.26</v>
      </c>
      <c r="E393" s="2" t="inlineStr">
        <is>
          <t>Comunitat Valenciana</t>
        </is>
      </c>
      <c r="F393" s="2" t="inlineStr">
        <is>
          <t>Valencia</t>
        </is>
      </c>
      <c r="G393" s="2" t="n"/>
      <c r="H393" s="2" t="inlineStr">
        <is>
          <t>Concejalía Delegada de Contratación del Ayuntamiento de Gandía</t>
        </is>
      </c>
      <c r="I393" s="2" t="inlineStr">
        <is>
          <t>Contrato de obras para la ejecución del proyecto "Renaturalización de los patios de los centros educativos" en el CEIP Montdúver.</t>
        </is>
      </c>
      <c r="J393" s="2" t="inlineStr">
        <is>
          <t>CONT-053/2026 (39879/2026)</t>
        </is>
      </c>
      <c r="K393" s="2" t="inlineStr">
        <is>
          <t>Abierto simplificado</t>
        </is>
      </c>
      <c r="L393" s="6" t="n">
        <v>2</v>
      </c>
      <c r="M393" s="2" t="n"/>
      <c r="N393" s="7" t="n">
        <v>0</v>
      </c>
      <c r="O393" s="4" t="n"/>
      <c r="P393" s="2" t="inlineStr">
        <is>
          <t>45214210</t>
        </is>
      </c>
      <c r="Q393" s="8" t="inlineStr">
        <is>
          <t>Ver</t>
        </is>
      </c>
      <c r="R393" s="8" t="inlineStr">
        <is>
          <t>PCAP</t>
        </is>
      </c>
      <c r="S393" s="9" t="n">
        <v>46322</v>
      </c>
      <c r="T393" s="3" t="n">
        <v>46321.62106481481</v>
      </c>
      <c r="U393" s="2" t="n"/>
    </row>
    <row r="394">
      <c r="A394" s="2" t="inlineStr">
        <is>
          <t>En plazo</t>
        </is>
      </c>
      <c r="B394" s="3" t="n">
        <v>46356.54166666666</v>
      </c>
      <c r="C394" s="5" t="n">
        <v>3868203.32</v>
      </c>
      <c r="D394" s="5" t="n">
        <v>3868203.32</v>
      </c>
      <c r="E394" s="2" t="inlineStr">
        <is>
          <t>Andalucía</t>
        </is>
      </c>
      <c r="F394" s="2" t="inlineStr">
        <is>
          <t>Jaén</t>
        </is>
      </c>
      <c r="G394" s="2" t="n"/>
      <c r="H394" s="2" t="inlineStr">
        <is>
          <t>ADIF - Presidencia</t>
        </is>
      </c>
      <c r="I394" s="2" t="inlineStr">
        <is>
          <t>Ejecución de las obras del proyecto de construcción L-400. Tratamiento terraplenes inestables entre los PPKK 323+050 al 323+500 y del proyecto de construcción para la mejora de terraplenes trayecto Vilches – Vadollano.</t>
        </is>
      </c>
      <c r="J394" s="2" t="inlineStr">
        <is>
          <t>3.26/27507.0241</t>
        </is>
      </c>
      <c r="K394" s="2" t="inlineStr">
        <is>
          <t>Abierto</t>
        </is>
      </c>
      <c r="L394" s="6" t="n">
        <v>8</v>
      </c>
      <c r="M394" s="2" t="inlineStr">
        <is>
          <t>D5-5</t>
        </is>
      </c>
      <c r="N394" s="7" t="n">
        <v>0.49</v>
      </c>
      <c r="O394" s="4" t="n"/>
      <c r="P394" s="2" t="inlineStr">
        <is>
          <t>45234110</t>
        </is>
      </c>
      <c r="Q394" s="8" t="inlineStr">
        <is>
          <t>Ver</t>
        </is>
      </c>
      <c r="R394" s="8" t="inlineStr">
        <is>
          <t>PCAP</t>
        </is>
      </c>
      <c r="S394" s="9" t="n">
        <v>46322</v>
      </c>
      <c r="T394" s="3" t="n">
        <v>46321.61614583333</v>
      </c>
      <c r="U394" s="2" t="n"/>
    </row>
    <row r="395">
      <c r="A395" s="2" t="inlineStr">
        <is>
          <t>En plazo</t>
        </is>
      </c>
      <c r="B395" s="3" t="n">
        <v>46341.99930555555</v>
      </c>
      <c r="C395" s="5" t="n">
        <v>114889.02</v>
      </c>
      <c r="D395" s="5" t="n">
        <v>114889.02</v>
      </c>
      <c r="E395" s="2" t="inlineStr">
        <is>
          <t>Andalucía</t>
        </is>
      </c>
      <c r="F395" s="2" t="inlineStr">
        <is>
          <t>Málaga</t>
        </is>
      </c>
      <c r="G395" s="2" t="inlineStr">
        <is>
          <t>Villanueva del Rosario</t>
        </is>
      </c>
      <c r="H395" s="2" t="inlineStr">
        <is>
          <t>Alcaldía del Ayuntamiento de Villanueva del Rosario</t>
        </is>
      </c>
      <c r="I395" s="2" t="inlineStr">
        <is>
          <t>El objeto de la licitación es la ejecución de las Obras contempladas en el Proyecto de Obras de demolición y cerramiento provisional de almacén municipal (PO-IM 7/2026).</t>
        </is>
      </c>
      <c r="J395" s="2" t="inlineStr">
        <is>
          <t>VR20262426</t>
        </is>
      </c>
      <c r="K395" s="2" t="inlineStr">
        <is>
          <t>Abierto simplificado</t>
        </is>
      </c>
      <c r="L395" s="6" t="n">
        <v>4</v>
      </c>
      <c r="M395" s="2" t="n"/>
      <c r="N395" s="7" t="n">
        <v>0</v>
      </c>
      <c r="O395" s="4" t="n"/>
      <c r="P395" s="2" t="inlineStr">
        <is>
          <t>45111000; 45261000; 45262660; 45000000</t>
        </is>
      </c>
      <c r="Q395" s="8" t="inlineStr">
        <is>
          <t>Ver</t>
        </is>
      </c>
      <c r="R395" s="8" t="inlineStr">
        <is>
          <t>PCAP</t>
        </is>
      </c>
      <c r="S395" s="9" t="n">
        <v>46322</v>
      </c>
      <c r="T395" s="3" t="n">
        <v>46321.61591435185</v>
      </c>
      <c r="U395" s="2" t="n"/>
    </row>
    <row r="396">
      <c r="A396" s="2" t="inlineStr">
        <is>
          <t>Resuelta</t>
        </is>
      </c>
      <c r="B396" s="3" t="n">
        <v>46132.99930555555</v>
      </c>
      <c r="C396" s="5" t="n">
        <v>123966.94</v>
      </c>
      <c r="D396" s="5" t="n">
        <v>123966.94</v>
      </c>
      <c r="E396" s="2" t="inlineStr">
        <is>
          <t>Comunitat Valenciana</t>
        </is>
      </c>
      <c r="F396" s="2" t="inlineStr">
        <is>
          <t>Valencia</t>
        </is>
      </c>
      <c r="G396" s="2" t="inlineStr">
        <is>
          <t>Utiel</t>
        </is>
      </c>
      <c r="H396" s="2" t="inlineStr">
        <is>
          <t>Alcaldía del Ayuntamiento de Utiel</t>
        </is>
      </c>
      <c r="I396" s="2" t="inlineStr">
        <is>
          <t>Sustitución de red agua potable en camino Serventinal, C/. Doncellas, C/. Travesía Cooperativa, y C/. San Miguel de la Aldea de Los Corrales de Utiel.</t>
        </is>
      </c>
      <c r="J396" s="2" t="inlineStr">
        <is>
          <t>412/2026</t>
        </is>
      </c>
      <c r="K396" s="2" t="inlineStr">
        <is>
          <t>Abierto simplificado</t>
        </is>
      </c>
      <c r="L396" s="6" t="n">
        <v>4</v>
      </c>
      <c r="M396" s="2" t="n"/>
      <c r="N396" s="7" t="n">
        <v>0</v>
      </c>
      <c r="O396" s="4" t="n"/>
      <c r="P396" s="2" t="inlineStr">
        <is>
          <t>45200000</t>
        </is>
      </c>
      <c r="Q396" s="8" t="inlineStr">
        <is>
          <t>Ver</t>
        </is>
      </c>
      <c r="R396" s="8" t="inlineStr">
        <is>
          <t>PCAP</t>
        </is>
      </c>
      <c r="S396" s="9" t="n">
        <v>46322</v>
      </c>
      <c r="T396" s="3" t="n">
        <v>46321.61560185185</v>
      </c>
      <c r="U396" s="2" t="n"/>
    </row>
    <row r="397">
      <c r="A397" s="2" t="inlineStr">
        <is>
          <t>En plazo</t>
        </is>
      </c>
      <c r="B397" s="3" t="n">
        <v>46335.99930555555</v>
      </c>
      <c r="C397" s="5" t="n">
        <v>46750.17</v>
      </c>
      <c r="D397" s="5" t="n">
        <v>46750.17</v>
      </c>
      <c r="E397" s="2" t="inlineStr">
        <is>
          <t>Comunitat Valenciana</t>
        </is>
      </c>
      <c r="F397" s="2" t="inlineStr">
        <is>
          <t>Alicante</t>
        </is>
      </c>
      <c r="G397" s="2" t="inlineStr">
        <is>
          <t>Orihuela</t>
        </is>
      </c>
      <c r="H397" s="2" t="inlineStr">
        <is>
          <t>Junta de Gobierno del Ayuntamiento de Orihuela</t>
        </is>
      </c>
      <c r="I397" s="2" t="inlineStr">
        <is>
          <t>Mejora de las instalaciones de uso público y valorización del patrimonio asociado en las pedanías del distrito VIII de Orihuela</t>
        </is>
      </c>
      <c r="J397" s="2" t="inlineStr">
        <is>
          <t>9626/2026</t>
        </is>
      </c>
      <c r="K397" s="2" t="inlineStr">
        <is>
          <t>Abierto simplificado</t>
        </is>
      </c>
      <c r="L397" s="6" t="n">
        <v>1.2</v>
      </c>
      <c r="M397" s="2" t="n"/>
      <c r="N397" s="7" t="n">
        <v>0</v>
      </c>
      <c r="O397" s="4" t="n"/>
      <c r="P397" s="2" t="inlineStr">
        <is>
          <t>45212221; 50850000; 39522120; 45233293; 45223200</t>
        </is>
      </c>
      <c r="Q397" s="8" t="inlineStr">
        <is>
          <t>Ver</t>
        </is>
      </c>
      <c r="R397" s="8" t="inlineStr">
        <is>
          <t>PCAP</t>
        </is>
      </c>
      <c r="S397" s="9" t="n">
        <v>46322</v>
      </c>
      <c r="T397" s="3" t="n">
        <v>46321.61243055556</v>
      </c>
      <c r="U397" s="2" t="n"/>
    </row>
    <row r="398">
      <c r="A398" s="2" t="inlineStr">
        <is>
          <t>En plazo</t>
        </is>
      </c>
      <c r="B398" s="3" t="n">
        <v>46342.99930555555</v>
      </c>
      <c r="C398" s="5" t="n">
        <v>190733.45</v>
      </c>
      <c r="D398" s="5" t="n">
        <v>190733.45</v>
      </c>
      <c r="E398" s="2" t="inlineStr">
        <is>
          <t>Comunitat Valenciana</t>
        </is>
      </c>
      <c r="F398" s="2" t="inlineStr">
        <is>
          <t>Valencia</t>
        </is>
      </c>
      <c r="G398" s="2" t="n"/>
      <c r="H398" s="2" t="inlineStr">
        <is>
          <t>Alcaldía del Ayuntamiento de Puçol</t>
        </is>
      </c>
      <c r="I398" s="2" t="inlineStr">
        <is>
          <t>Obras de remodelación y acondicionamiento del túnel en Avda. Valencia con Paseo Constitución de Puçol.</t>
        </is>
      </c>
      <c r="J398" s="2" t="inlineStr">
        <is>
          <t>3041163N</t>
        </is>
      </c>
      <c r="K398" s="2" t="inlineStr">
        <is>
          <t>Abierto simplificado</t>
        </is>
      </c>
      <c r="L398" s="6" t="n">
        <v>2</v>
      </c>
      <c r="M398" s="2" t="n"/>
      <c r="N398" s="7" t="n">
        <v>0</v>
      </c>
      <c r="O398" s="4" t="n"/>
      <c r="P398" s="2" t="inlineStr">
        <is>
          <t>45000000</t>
        </is>
      </c>
      <c r="Q398" s="8" t="inlineStr">
        <is>
          <t>Ver</t>
        </is>
      </c>
      <c r="R398" s="8" t="inlineStr">
        <is>
          <t>PCAP</t>
        </is>
      </c>
      <c r="S398" s="9" t="n">
        <v>46322</v>
      </c>
      <c r="T398" s="3" t="n">
        <v>46321.6071875</v>
      </c>
      <c r="U398" s="2" t="n"/>
    </row>
    <row r="399">
      <c r="A399" s="2" t="inlineStr">
        <is>
          <t>En plazo</t>
        </is>
      </c>
      <c r="B399" s="3" t="n">
        <v>46342.99930555555</v>
      </c>
      <c r="C399" s="5" t="n">
        <v>118922.05</v>
      </c>
      <c r="D399" s="5" t="n">
        <v>130814.26</v>
      </c>
      <c r="E399" s="2" t="inlineStr">
        <is>
          <t>Comunitat Valenciana</t>
        </is>
      </c>
      <c r="F399" s="2" t="inlineStr">
        <is>
          <t>Valencia</t>
        </is>
      </c>
      <c r="G399" s="2" t="n"/>
      <c r="H399" s="2" t="inlineStr">
        <is>
          <t>Junta de Gobierno del Ayuntamiento de Silla</t>
        </is>
      </c>
      <c r="I399" s="2" t="inlineStr">
        <is>
          <t>Obra «Renovación y mejora del viario urbano: Calle Mare de Deu dels Desemparats, Avenida de la Generalitat y Avenida Ausiás March de Silla», incluida en el Plan Abierto de Inversiones 2024-2027 de la Diputación de Valencia</t>
        </is>
      </c>
      <c r="J399" s="2" t="inlineStr">
        <is>
          <t>3051943K</t>
        </is>
      </c>
      <c r="K399" s="2" t="inlineStr">
        <is>
          <t>Abierto simplificado</t>
        </is>
      </c>
      <c r="L399" s="6" t="n">
        <v>6</v>
      </c>
      <c r="M399" s="2" t="n"/>
      <c r="N399" s="7" t="n">
        <v>0</v>
      </c>
      <c r="O399" s="4" t="n">
        <v>3</v>
      </c>
      <c r="P399" s="2" t="inlineStr">
        <is>
          <t>45233222; 45233140; 45233221</t>
        </is>
      </c>
      <c r="Q399" s="8" t="inlineStr">
        <is>
          <t>Ver</t>
        </is>
      </c>
      <c r="R399" s="8" t="inlineStr">
        <is>
          <t>PCAP</t>
        </is>
      </c>
      <c r="S399" s="9" t="n">
        <v>46322</v>
      </c>
      <c r="T399" s="3" t="n">
        <v>46321.60671296297</v>
      </c>
      <c r="U399" s="2" t="n"/>
    </row>
    <row r="400">
      <c r="A400" s="2" t="inlineStr">
        <is>
          <t>Resuelta</t>
        </is>
      </c>
      <c r="B400" s="3" t="n">
        <v>45839.58333333334</v>
      </c>
      <c r="C400" s="5" t="n">
        <v>77154.63</v>
      </c>
      <c r="D400" s="5" t="n">
        <v>77154.63</v>
      </c>
      <c r="E400" s="2" t="inlineStr">
        <is>
          <t>Andalucía</t>
        </is>
      </c>
      <c r="F400" s="2" t="inlineStr">
        <is>
          <t>Sevilla</t>
        </is>
      </c>
      <c r="G400" s="2" t="inlineStr">
        <is>
          <t>Tomares</t>
        </is>
      </c>
      <c r="H400" s="2" t="inlineStr">
        <is>
          <t>Alcaldía del Ayuntamiento de Tomares</t>
        </is>
      </c>
      <c r="I400" s="2" t="inlineStr">
        <is>
          <t>Adecentamiento zona adyacente Plaza Polideportivo Mascareta, en Tomares; Plan Provincial Sevilla 107 – Actuación 17</t>
        </is>
      </c>
      <c r="J400" s="2" t="inlineStr">
        <is>
          <t>6248/2025</t>
        </is>
      </c>
      <c r="K400" s="2" t="inlineStr">
        <is>
          <t>Abierto simplificado</t>
        </is>
      </c>
      <c r="L400" s="6" t="n">
        <v>6</v>
      </c>
      <c r="M400" s="2" t="n"/>
      <c r="N400" s="7" t="n">
        <v>0</v>
      </c>
      <c r="O400" s="4" t="n"/>
      <c r="P400" s="2" t="inlineStr">
        <is>
          <t>45233200; 16160000; 45233252</t>
        </is>
      </c>
      <c r="Q400" s="8" t="inlineStr">
        <is>
          <t>Ver</t>
        </is>
      </c>
      <c r="R400" s="8" t="inlineStr">
        <is>
          <t>PCAP</t>
        </is>
      </c>
      <c r="S400" s="9" t="n">
        <v>46317</v>
      </c>
      <c r="T400" s="3" t="n">
        <v>46321.60008101852</v>
      </c>
      <c r="U400" s="2" t="n"/>
    </row>
    <row r="401">
      <c r="A401" s="2" t="inlineStr">
        <is>
          <t>Adjudicada</t>
        </is>
      </c>
      <c r="B401" s="3" t="n">
        <v>46279.99930555555</v>
      </c>
      <c r="C401" s="5" t="n">
        <v>4658683.51</v>
      </c>
      <c r="D401" s="5" t="n">
        <v>4658683.51</v>
      </c>
      <c r="E401" s="2" t="inlineStr">
        <is>
          <t>Andalucía</t>
        </is>
      </c>
      <c r="F401" s="2" t="inlineStr">
        <is>
          <t>Sevilla</t>
        </is>
      </c>
      <c r="G401" s="2" t="n"/>
      <c r="H401" s="2" t="inlineStr">
        <is>
          <t>Pleno del Ayuntamiento de Santiponce</t>
        </is>
      </c>
      <c r="I401" s="2" t="inlineStr">
        <is>
          <t>Obras del reformado de Proyecto de 27 viviendas plurifamiliares de VPO, aparcamientos y trasteros Manzana 9 del PP AU-SAU-5, Ámbito Buenavista Santiponce (Sevilla)</t>
        </is>
      </c>
      <c r="J401" s="2" t="inlineStr">
        <is>
          <t>P4108900D-2026/000010-PAA</t>
        </is>
      </c>
      <c r="K401" s="2" t="inlineStr">
        <is>
          <t>Abierto</t>
        </is>
      </c>
      <c r="L401" s="6" t="n">
        <v>25</v>
      </c>
      <c r="M401" s="2" t="inlineStr">
        <is>
          <t>C*-4; C4-4; C2-4</t>
        </is>
      </c>
      <c r="N401" s="7" t="n">
        <v>0</v>
      </c>
      <c r="O401" s="4" t="n"/>
      <c r="P401" s="2" t="inlineStr">
        <is>
          <t>45211340; 45300000; 45223200</t>
        </is>
      </c>
      <c r="Q401" s="8" t="inlineStr">
        <is>
          <t>Ver</t>
        </is>
      </c>
      <c r="R401" s="8" t="inlineStr">
        <is>
          <t>PCAP</t>
        </is>
      </c>
      <c r="S401" s="9" t="n">
        <v>46322</v>
      </c>
      <c r="T401" s="3" t="n">
        <v>46321.5994212963</v>
      </c>
      <c r="U401" s="2" t="n"/>
    </row>
    <row r="402">
      <c r="A402" s="2" t="inlineStr">
        <is>
          <t>Resuelta</t>
        </is>
      </c>
      <c r="B402" s="3" t="n">
        <v>46029.99930555555</v>
      </c>
      <c r="C402" s="5" t="n">
        <v>1374141.84</v>
      </c>
      <c r="D402" s="5" t="n">
        <v>1374141.84</v>
      </c>
      <c r="E402" s="2" t="inlineStr">
        <is>
          <t>Andalucía</t>
        </is>
      </c>
      <c r="F402" s="2" t="inlineStr">
        <is>
          <t>Sevilla</t>
        </is>
      </c>
      <c r="G402" s="2" t="n"/>
      <c r="H402" s="2" t="inlineStr">
        <is>
          <t>Alcaldía del Ayuntamiento de Utrera</t>
        </is>
      </c>
      <c r="I402" s="2" t="inlineStr">
        <is>
          <t>Ejecución de obras del reformado de proyecto básico y de ejecución reordenación urbana e intervención urbanística en la "Vereda", Fase I. Utrera (Sevilla), en el marco del Plan de Recuperación, Transformación y Resiliencia.</t>
        </is>
      </c>
      <c r="J402" s="2" t="inlineStr">
        <is>
          <t>OB68/2025</t>
        </is>
      </c>
      <c r="K402" s="2" t="inlineStr">
        <is>
          <t>Abierto simplificado</t>
        </is>
      </c>
      <c r="L402" s="6" t="n">
        <v>3</v>
      </c>
      <c r="M402" s="2" t="n"/>
      <c r="N402" s="7" t="n">
        <v>0</v>
      </c>
      <c r="O402" s="4" t="n">
        <v>3</v>
      </c>
      <c r="P402" s="2" t="inlineStr">
        <is>
          <t>45233140; 45233330; 45233294; 45232410; 45233221; 45231000; 45231300; 45232150; 45232400; 45233222; 45233252; 45233200; 45233293; 45233340; 45233251; 45233270; 45112100; 45111000</t>
        </is>
      </c>
      <c r="Q402" s="8" t="inlineStr">
        <is>
          <t>Ver</t>
        </is>
      </c>
      <c r="R402" s="8" t="inlineStr">
        <is>
          <t>PCAP</t>
        </is>
      </c>
      <c r="S402" s="9" t="n">
        <v>46322</v>
      </c>
      <c r="T402" s="3" t="n">
        <v>46321.59857638889</v>
      </c>
      <c r="U402" s="2" t="n"/>
    </row>
    <row r="403">
      <c r="A403" s="2" t="inlineStr">
        <is>
          <t>En plazo</t>
        </is>
      </c>
      <c r="B403" s="3" t="n">
        <v>46335.99930555555</v>
      </c>
      <c r="C403" s="5" t="n">
        <v>440141.67</v>
      </c>
      <c r="D403" s="5" t="n">
        <v>462148.75</v>
      </c>
      <c r="E403" s="2" t="inlineStr">
        <is>
          <t>Andalucía</t>
        </is>
      </c>
      <c r="F403" s="2" t="inlineStr">
        <is>
          <t>Sevilla</t>
        </is>
      </c>
      <c r="G403" s="2" t="inlineStr">
        <is>
          <t>Sevilla</t>
        </is>
      </c>
      <c r="H403" s="2" t="inlineStr">
        <is>
          <t>Junta de Gobierno del Ayuntamiento de Sevilla</t>
        </is>
      </c>
      <c r="I403" s="2" t="inlineStr">
        <is>
          <t>Obras para revitalización de zona de educación infantil en el CEIP MARTÍN DE GAINZA, ubicado en el Distrito Nervión de Sevilla.</t>
        </is>
      </c>
      <c r="J403" s="2" t="inlineStr">
        <is>
          <t>2026/000895</t>
        </is>
      </c>
      <c r="K403" s="2" t="inlineStr">
        <is>
          <t>Abierto simplificado</t>
        </is>
      </c>
      <c r="L403" s="6" t="n">
        <v>6</v>
      </c>
      <c r="M403" s="2" t="n"/>
      <c r="N403" s="7" t="n">
        <v>0</v>
      </c>
      <c r="O403" s="4" t="n"/>
      <c r="P403" s="2" t="inlineStr">
        <is>
          <t>45000000</t>
        </is>
      </c>
      <c r="Q403" s="8" t="inlineStr">
        <is>
          <t>Ver</t>
        </is>
      </c>
      <c r="R403" s="8" t="inlineStr">
        <is>
          <t>PCAP</t>
        </is>
      </c>
      <c r="S403" s="9" t="n">
        <v>46317</v>
      </c>
      <c r="T403" s="3" t="n">
        <v>46321.59405092592</v>
      </c>
      <c r="U403" s="2" t="n"/>
    </row>
    <row r="404">
      <c r="A404" s="2" t="inlineStr">
        <is>
          <t>Adjudicada</t>
        </is>
      </c>
      <c r="B404" s="3" t="n">
        <v>46282.99930555555</v>
      </c>
      <c r="C404" s="5" t="n">
        <v>66115.7</v>
      </c>
      <c r="D404" s="5" t="n">
        <v>66115.7</v>
      </c>
      <c r="E404" s="2" t="inlineStr">
        <is>
          <t>Andalucía</t>
        </is>
      </c>
      <c r="F404" s="2" t="inlineStr">
        <is>
          <t>Almería</t>
        </is>
      </c>
      <c r="G404" s="2" t="n"/>
      <c r="H404" s="2" t="inlineStr">
        <is>
          <t>Junta de Gobierno de la Diputación Provincial de Almería</t>
        </is>
      </c>
      <c r="I404" s="2" t="inlineStr">
        <is>
          <t>Caminos Municipales, Carboneras 28PCAM24-27BII</t>
        </is>
      </c>
      <c r="J404" s="2" t="inlineStr">
        <is>
          <t>2025/D31000/006-013/00156</t>
        </is>
      </c>
      <c r="K404" s="2" t="inlineStr">
        <is>
          <t>Abierto simplificado</t>
        </is>
      </c>
      <c r="L404" s="6" t="n">
        <v>1</v>
      </c>
      <c r="M404" s="2" t="n"/>
      <c r="N404" s="7" t="n">
        <v>0.25</v>
      </c>
      <c r="O404" s="4" t="n"/>
      <c r="P404" s="2" t="inlineStr">
        <is>
          <t>45233222</t>
        </is>
      </c>
      <c r="Q404" s="8" t="inlineStr">
        <is>
          <t>Ver</t>
        </is>
      </c>
      <c r="R404" s="8" t="inlineStr">
        <is>
          <t>PCAP</t>
        </is>
      </c>
      <c r="S404" s="9" t="n">
        <v>46322</v>
      </c>
      <c r="T404" s="3" t="n">
        <v>46321.59228009259</v>
      </c>
      <c r="U404" s="2" t="n"/>
    </row>
    <row r="405">
      <c r="A405" s="2" t="inlineStr">
        <is>
          <t>Adjudicada</t>
        </is>
      </c>
      <c r="B405" s="3" t="n">
        <v>46303.99930555555</v>
      </c>
      <c r="C405" s="5" t="n">
        <v>49653.78</v>
      </c>
      <c r="D405" s="5" t="n">
        <v>49653.78</v>
      </c>
      <c r="E405" s="2" t="inlineStr">
        <is>
          <t>Andalucía</t>
        </is>
      </c>
      <c r="F405" s="2" t="inlineStr">
        <is>
          <t>Córdoba</t>
        </is>
      </c>
      <c r="G405" s="2" t="inlineStr">
        <is>
          <t>La Carlota (Córdoba)</t>
        </is>
      </c>
      <c r="H405" s="2" t="inlineStr">
        <is>
          <t>Alcaldía de Ayuntamiento de la Carlota</t>
        </is>
      </c>
      <c r="I405" s="2" t="inlineStr">
        <is>
          <t>Contrato de obras para construcción de servicios y pavimentación en tramo de calle Gran Carlota La Carlota (Córdoba). Siguiendo las determinaciones marcadas en el Proyecto de la obra.</t>
        </is>
      </c>
      <c r="J405" s="2" t="inlineStr">
        <is>
          <t>GEX 2026/10924 La Carlota</t>
        </is>
      </c>
      <c r="K405" s="2" t="inlineStr">
        <is>
          <t>Abierto simplificado</t>
        </is>
      </c>
      <c r="L405" s="6" t="n">
        <v>2</v>
      </c>
      <c r="M405" s="2" t="n"/>
      <c r="N405" s="7" t="n">
        <v>0</v>
      </c>
      <c r="O405" s="4" t="n"/>
      <c r="P405" s="2" t="inlineStr">
        <is>
          <t>45220000; 45232400; 45233140; 45233222; 45232150; 45316100; 45314300; 45315300; 45232410</t>
        </is>
      </c>
      <c r="Q405" s="8" t="inlineStr">
        <is>
          <t>Ver</t>
        </is>
      </c>
      <c r="R405" s="8" t="inlineStr">
        <is>
          <t>PCAP</t>
        </is>
      </c>
      <c r="S405" s="9" t="n">
        <v>46310</v>
      </c>
      <c r="T405" s="3" t="n">
        <v>46321.58578703704</v>
      </c>
      <c r="U405" s="2" t="inlineStr">
        <is>
          <t>2026-10-27: estado EV → ADJ</t>
        </is>
      </c>
    </row>
    <row r="406">
      <c r="A406" s="2" t="inlineStr">
        <is>
          <t>Resuelta</t>
        </is>
      </c>
      <c r="B406" s="3" t="n"/>
      <c r="C406" s="5" t="n">
        <v>310799.63</v>
      </c>
      <c r="D406" s="5" t="n">
        <v>376067.56</v>
      </c>
      <c r="E406" s="2" t="inlineStr">
        <is>
          <t>Andalucía</t>
        </is>
      </c>
      <c r="F406" s="2" t="inlineStr">
        <is>
          <t>Granada</t>
        </is>
      </c>
      <c r="G406" s="2" t="n"/>
      <c r="H406" s="2" t="inlineStr">
        <is>
          <t>Demarcación de Carreteras del Estado en Andalucía Oriental</t>
        </is>
      </c>
      <c r="I406" s="2" t="inlineStr">
        <is>
          <t>obras Estabilización de los taludes situados en la carretera N-340 en el P.K. 300+750 M.D, T.M. Nerja ,provincia de málaga. LOTE 2-EM38-MA-260002.L2</t>
        </is>
      </c>
      <c r="J406" s="2" t="inlineStr">
        <is>
          <t>EM38-MA-260002.L2</t>
        </is>
      </c>
      <c r="K406" s="2" t="inlineStr">
        <is>
          <t>Negociado sin publicidad</t>
        </is>
      </c>
      <c r="L406" s="6" t="n">
        <v>6</v>
      </c>
      <c r="M406" s="2" t="n"/>
      <c r="N406" s="7" t="n"/>
      <c r="O406" s="4" t="n"/>
      <c r="P406" s="2" t="inlineStr">
        <is>
          <t>45000000</t>
        </is>
      </c>
      <c r="Q406" s="8" t="inlineStr">
        <is>
          <t>Ver</t>
        </is>
      </c>
      <c r="R406" s="2" t="n"/>
      <c r="S406" s="9" t="n">
        <v>46322</v>
      </c>
      <c r="T406" s="3" t="n">
        <v>46321.5846875</v>
      </c>
      <c r="U406" s="2" t="n"/>
    </row>
    <row r="407">
      <c r="A407" s="2" t="inlineStr">
        <is>
          <t>En plazo</t>
        </is>
      </c>
      <c r="B407" s="3" t="n">
        <v>46325.625</v>
      </c>
      <c r="C407" s="5" t="n">
        <v>460056.37</v>
      </c>
      <c r="D407" s="5" t="n">
        <v>460056.37</v>
      </c>
      <c r="E407" s="2" t="inlineStr">
        <is>
          <t>Andalucía</t>
        </is>
      </c>
      <c r="F407" s="2" t="inlineStr">
        <is>
          <t>Cádiz</t>
        </is>
      </c>
      <c r="G407" s="2" t="n"/>
      <c r="H407" s="2" t="inlineStr">
        <is>
          <t>Comité Ejecutivo del Consorcio de la Zona Franca de Cádiz</t>
        </is>
      </c>
      <c r="I407"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407" s="2" t="inlineStr">
        <is>
          <t>CO-0190-2026-00-A</t>
        </is>
      </c>
      <c r="K407" s="2" t="inlineStr">
        <is>
          <t>Abierto simplificado</t>
        </is>
      </c>
      <c r="L407" s="6" t="n">
        <v>4</v>
      </c>
      <c r="M407" s="2" t="n"/>
      <c r="N407" s="7" t="n">
        <v>0.25</v>
      </c>
      <c r="O407" s="4" t="n"/>
      <c r="P407" s="2" t="inlineStr">
        <is>
          <t>45231400</t>
        </is>
      </c>
      <c r="Q407" s="8" t="inlineStr">
        <is>
          <t>Ver</t>
        </is>
      </c>
      <c r="R407" s="8" t="inlineStr">
        <is>
          <t>PCAP</t>
        </is>
      </c>
      <c r="S407" s="9" t="n">
        <v>46310</v>
      </c>
      <c r="T407" s="3" t="n">
        <v>46321.57871527778</v>
      </c>
      <c r="U407" s="2" t="n"/>
    </row>
    <row r="408">
      <c r="A408" s="2" t="inlineStr">
        <is>
          <t>En plazo</t>
        </is>
      </c>
      <c r="B408" s="3" t="n">
        <v>46342.58333333334</v>
      </c>
      <c r="C408" s="5" t="n">
        <v>82627.91</v>
      </c>
      <c r="D408" s="5" t="n">
        <v>82627.91</v>
      </c>
      <c r="E408" s="2" t="inlineStr">
        <is>
          <t>Andalucía</t>
        </is>
      </c>
      <c r="F408" s="2" t="inlineStr">
        <is>
          <t>Jaén</t>
        </is>
      </c>
      <c r="G408" s="2" t="inlineStr">
        <is>
          <t>Huelma</t>
        </is>
      </c>
      <c r="H408" s="2" t="inlineStr">
        <is>
          <t>Alcaldía del Ayuntamiento de Huelma</t>
        </is>
      </c>
      <c r="I408" s="2" t="inlineStr">
        <is>
          <t>Reparación de cubiertas en los almacenes municipales</t>
        </is>
      </c>
      <c r="J408" s="2" t="inlineStr">
        <is>
          <t>784/2026</t>
        </is>
      </c>
      <c r="K408" s="2" t="inlineStr">
        <is>
          <t>Abierto simplificado</t>
        </is>
      </c>
      <c r="L408" s="6" t="n">
        <v>3</v>
      </c>
      <c r="M408" s="2" t="n"/>
      <c r="N408" s="7" t="n">
        <v>0</v>
      </c>
      <c r="O408" s="4" t="n"/>
      <c r="P408" s="2" t="inlineStr">
        <is>
          <t>45261900</t>
        </is>
      </c>
      <c r="Q408" s="8" t="inlineStr">
        <is>
          <t>Ver</t>
        </is>
      </c>
      <c r="R408" s="8" t="inlineStr">
        <is>
          <t>PCAP</t>
        </is>
      </c>
      <c r="S408" s="9" t="n">
        <v>46322</v>
      </c>
      <c r="T408" s="3" t="n">
        <v>46321.57849537037</v>
      </c>
      <c r="U408" s="2" t="n"/>
    </row>
    <row r="409">
      <c r="A409" s="2" t="inlineStr">
        <is>
          <t>Adjudicada</t>
        </is>
      </c>
      <c r="B409" s="3" t="n">
        <v>46254.99930555555</v>
      </c>
      <c r="C409" s="5" t="n">
        <v>289256.2</v>
      </c>
      <c r="D409" s="5" t="n">
        <v>289256.2</v>
      </c>
      <c r="E409" s="2" t="inlineStr">
        <is>
          <t>Andalucía</t>
        </is>
      </c>
      <c r="F409" s="2" t="inlineStr">
        <is>
          <t>Sevilla</t>
        </is>
      </c>
      <c r="G409" s="2" t="n"/>
      <c r="H409" s="2" t="inlineStr">
        <is>
          <t>Junta de Gobierno del Ayuntamiento de Dos Hermanas</t>
        </is>
      </c>
      <c r="I409" s="2" t="inlineStr">
        <is>
          <t>Ejecución del plan de Biosombra en Dos Hermanas, en lo que corresponde a Plantaciones (Ámbito de intervención TI0079 del PAI), que podrá ser cofinanciado por la Unión Europea a través del Fondo Europeo de desarrollo regional (Feder) en el marco del Programa Plurirregional de España 2021-2027 dentro de la estrategia de desarrollo integrado local (Plan Edil)</t>
        </is>
      </c>
      <c r="J409" s="2" t="inlineStr">
        <is>
          <t>2026000023</t>
        </is>
      </c>
      <c r="K409" s="2" t="inlineStr">
        <is>
          <t>Abierto simplificado</t>
        </is>
      </c>
      <c r="L409" s="6" t="n">
        <v>6</v>
      </c>
      <c r="M409" s="2" t="n"/>
      <c r="N409" s="7" t="n">
        <v>0</v>
      </c>
      <c r="O409" s="4" t="n"/>
      <c r="P409" s="2" t="inlineStr">
        <is>
          <t>45112700</t>
        </is>
      </c>
      <c r="Q409" s="8" t="inlineStr">
        <is>
          <t>Ver</t>
        </is>
      </c>
      <c r="R409" s="8" t="inlineStr">
        <is>
          <t>PCAP</t>
        </is>
      </c>
      <c r="S409" s="9" t="n">
        <v>46322</v>
      </c>
      <c r="T409" s="3" t="n">
        <v>46321.57484953704</v>
      </c>
      <c r="U409" s="2" t="n"/>
    </row>
    <row r="410">
      <c r="A410" s="2" t="inlineStr">
        <is>
          <t>Pendiente de adjudicación</t>
        </is>
      </c>
      <c r="B410" s="3" t="n">
        <v>46217.99930555555</v>
      </c>
      <c r="C410" s="5" t="n">
        <v>733628.8</v>
      </c>
      <c r="D410" s="5" t="n">
        <v>733628.8</v>
      </c>
      <c r="E410" s="2" t="inlineStr">
        <is>
          <t>Comunitat Valenciana</t>
        </is>
      </c>
      <c r="F410" s="2" t="inlineStr">
        <is>
          <t>Valencia</t>
        </is>
      </c>
      <c r="G410" s="2" t="inlineStr">
        <is>
          <t>Valencia</t>
        </is>
      </c>
      <c r="H410" s="2" t="inlineStr">
        <is>
          <t>Rectorado de la Universitat Politècnica de València</t>
        </is>
      </c>
      <c r="I410" s="2" t="inlineStr">
        <is>
          <t>Obra de impermeabilización de la cubierta del edificio 8G norte y de las cubiertas de los casetones de la CPI en el campus de Vera de la Universitat Politècnica de València</t>
        </is>
      </c>
      <c r="J410" s="2" t="inlineStr">
        <is>
          <t>MY26/VICC/O/42</t>
        </is>
      </c>
      <c r="K410" s="2" t="inlineStr">
        <is>
          <t>Abierto</t>
        </is>
      </c>
      <c r="L410" s="6" t="n">
        <v>6</v>
      </c>
      <c r="M410" s="2" t="inlineStr">
        <is>
          <t>C1-3</t>
        </is>
      </c>
      <c r="N410" s="7" t="n">
        <v>0.45</v>
      </c>
      <c r="O410" s="4" t="n"/>
      <c r="P410" s="2" t="inlineStr">
        <is>
          <t>45261420</t>
        </is>
      </c>
      <c r="Q410" s="8" t="inlineStr">
        <is>
          <t>Ver</t>
        </is>
      </c>
      <c r="R410" s="2" t="n"/>
      <c r="S410" s="9" t="n">
        <v>46310</v>
      </c>
      <c r="T410" s="3" t="n">
        <v>46321.57239583333</v>
      </c>
      <c r="U410" s="2" t="n"/>
    </row>
    <row r="411">
      <c r="A411" s="2" t="inlineStr">
        <is>
          <t>Adjudicada</t>
        </is>
      </c>
      <c r="B411" s="3" t="n">
        <v>46262.5</v>
      </c>
      <c r="C411" s="5" t="n">
        <v>770175.59</v>
      </c>
      <c r="D411" s="5" t="n">
        <v>924210.71</v>
      </c>
      <c r="E411" s="2" t="inlineStr">
        <is>
          <t>Comunitat Valenciana</t>
        </is>
      </c>
      <c r="F411" s="2" t="inlineStr">
        <is>
          <t>Valencia</t>
        </is>
      </c>
      <c r="G411" s="2" t="inlineStr">
        <is>
          <t>Paterna (València)</t>
        </is>
      </c>
      <c r="H411" s="2" t="inlineStr">
        <is>
          <t>Rectorado de la Universitat de València</t>
        </is>
      </c>
      <c r="I411" s="2" t="inlineStr">
        <is>
          <t>Nuevo tendido de Línea subterránea de Media Tensión en el centro de reparto en la UA2 del Campus de Paterna</t>
        </is>
      </c>
      <c r="J411" s="2" t="inlineStr">
        <is>
          <t>2026OB00008</t>
        </is>
      </c>
      <c r="K411" s="2" t="inlineStr">
        <is>
          <t>Abierto simplificado</t>
        </is>
      </c>
      <c r="L411" s="6" t="n">
        <v>4</v>
      </c>
      <c r="M411" s="2" t="inlineStr">
        <is>
          <t>I3-4</t>
        </is>
      </c>
      <c r="N411" s="7" t="n">
        <v>0.25</v>
      </c>
      <c r="O411" s="4" t="n"/>
      <c r="P411" s="2" t="inlineStr">
        <is>
          <t>45315500</t>
        </is>
      </c>
      <c r="Q411" s="8" t="inlineStr">
        <is>
          <t>Ver</t>
        </is>
      </c>
      <c r="R411" s="8" t="inlineStr">
        <is>
          <t>PCAP</t>
        </is>
      </c>
      <c r="S411" s="9" t="n">
        <v>46310</v>
      </c>
      <c r="T411" s="3" t="n">
        <v>46321.57228009259</v>
      </c>
      <c r="U411" s="2" t="inlineStr">
        <is>
          <t>2026-10-27: estado EV → ADJ</t>
        </is>
      </c>
    </row>
    <row r="412">
      <c r="A412" s="2" t="inlineStr">
        <is>
          <t>Pendiente de adjudicación</t>
        </is>
      </c>
      <c r="B412" s="3" t="n">
        <v>46316.99930555555</v>
      </c>
      <c r="C412" s="5" t="n">
        <v>330257.67</v>
      </c>
      <c r="D412" s="5" t="n">
        <v>330257.67</v>
      </c>
      <c r="E412" s="2" t="inlineStr">
        <is>
          <t>Andalucía</t>
        </is>
      </c>
      <c r="F412" s="2" t="inlineStr">
        <is>
          <t>Málaga</t>
        </is>
      </c>
      <c r="G412" s="2" t="inlineStr">
        <is>
          <t>Cuevas del Becerro</t>
        </is>
      </c>
      <c r="H412" s="2" t="inlineStr">
        <is>
          <t>Alcaldía del Ayuntamiento de Cuevas del Becerro</t>
        </is>
      </c>
      <c r="I412" s="2" t="inlineStr">
        <is>
          <t>Remodelación completa de la tubería de abastecimiento general que parte desde las inmediaciones del depósito regulador y discurre por la continuación del paseo del Castillejo y la avenida La Fuentezuela, la remodelación completa de dicha avenida y la instalación de un grupo de presión para resolver el proble-ma de baja presión en la zona.</t>
        </is>
      </c>
      <c r="J412" s="2" t="inlineStr">
        <is>
          <t>200/2026</t>
        </is>
      </c>
      <c r="K412" s="2" t="inlineStr">
        <is>
          <t>Abierto simplificado</t>
        </is>
      </c>
      <c r="L412" s="6" t="n">
        <v>6</v>
      </c>
      <c r="M412" s="2" t="n"/>
      <c r="N412" s="7" t="n">
        <v>0.1</v>
      </c>
      <c r="O412" s="4" t="n"/>
      <c r="P412" s="2" t="inlineStr">
        <is>
          <t>45230000; 45231100; 45233260; 45233140</t>
        </is>
      </c>
      <c r="Q412" s="8" t="inlineStr">
        <is>
          <t>Ver</t>
        </is>
      </c>
      <c r="R412" s="8" t="inlineStr">
        <is>
          <t>PCAP</t>
        </is>
      </c>
      <c r="S412" s="9" t="n">
        <v>46321</v>
      </c>
      <c r="T412" s="3" t="n">
        <v>46321.57166666666</v>
      </c>
      <c r="U412" s="2" t="n"/>
    </row>
    <row r="413">
      <c r="A413" s="2" t="inlineStr">
        <is>
          <t>Resuelta</t>
        </is>
      </c>
      <c r="B413" s="3" t="n"/>
      <c r="C413" s="5" t="n">
        <v>1211003.74</v>
      </c>
      <c r="D413" s="5" t="n">
        <v>1465314.53</v>
      </c>
      <c r="E413" s="2" t="inlineStr">
        <is>
          <t>Andalucía</t>
        </is>
      </c>
      <c r="F413" s="2" t="inlineStr">
        <is>
          <t>Granada</t>
        </is>
      </c>
      <c r="G413" s="2" t="n"/>
      <c r="H413" s="2" t="inlineStr">
        <is>
          <t>Demarcación de Carreteras del Estado en Andalucía Oriental</t>
        </is>
      </c>
      <c r="I413" s="2" t="inlineStr">
        <is>
          <t>obras Estabilización de los taludes situados en la carretera N-340 en el P.K. 297+500 M.D, T.M. Nerja ,provincia de málaga. LOTE 1- EM38-MA-260002.L1</t>
        </is>
      </c>
      <c r="J413" s="2" t="inlineStr">
        <is>
          <t>EM38-MA-260002.L1</t>
        </is>
      </c>
      <c r="K413" s="2" t="inlineStr">
        <is>
          <t>Negociado sin publicidad</t>
        </is>
      </c>
      <c r="L413" s="6" t="n">
        <v>6</v>
      </c>
      <c r="M413" s="2" t="n"/>
      <c r="N413" s="7" t="n"/>
      <c r="O413" s="4" t="n"/>
      <c r="P413" s="2" t="inlineStr">
        <is>
          <t>45000000</t>
        </is>
      </c>
      <c r="Q413" s="8" t="inlineStr">
        <is>
          <t>Ver</t>
        </is>
      </c>
      <c r="R413" s="2" t="n"/>
      <c r="S413" s="9" t="n">
        <v>46322</v>
      </c>
      <c r="T413" s="3" t="n">
        <v>46321.57042824074</v>
      </c>
      <c r="U413" s="2" t="n"/>
    </row>
    <row r="414">
      <c r="A414" s="2" t="inlineStr">
        <is>
          <t>Resuelta</t>
        </is>
      </c>
      <c r="B414" s="3" t="n">
        <v>46293.375</v>
      </c>
      <c r="C414" s="5" t="n">
        <v>79818.53999999999</v>
      </c>
      <c r="D414" s="5" t="n">
        <v>79818.53999999999</v>
      </c>
      <c r="E414" s="2" t="inlineStr">
        <is>
          <t>Andalucía</t>
        </is>
      </c>
      <c r="F414" s="2" t="inlineStr">
        <is>
          <t>Cádiz</t>
        </is>
      </c>
      <c r="G414" s="2" t="n"/>
      <c r="H414" s="2" t="inlineStr">
        <is>
          <t>Intendente de San Fernando</t>
        </is>
      </c>
      <c r="I414" s="2" t="inlineStr">
        <is>
          <t>Reparación y adecuación del vallado exterior de la JUEF.</t>
        </is>
      </c>
      <c r="J414" s="2" t="inlineStr">
        <is>
          <t>2026/AR43U/00002230E</t>
        </is>
      </c>
      <c r="K414" s="2" t="inlineStr">
        <is>
          <t>Abierto simplificado</t>
        </is>
      </c>
      <c r="L414" s="6" t="n">
        <v>1.7</v>
      </c>
      <c r="M414" s="2" t="n"/>
      <c r="N414" s="7" t="n">
        <v>0</v>
      </c>
      <c r="O414" s="4" t="n"/>
      <c r="P414" s="2" t="inlineStr">
        <is>
          <t>45421160</t>
        </is>
      </c>
      <c r="Q414" s="8" t="inlineStr">
        <is>
          <t>Ver</t>
        </is>
      </c>
      <c r="R414" s="8" t="inlineStr">
        <is>
          <t>PCAP</t>
        </is>
      </c>
      <c r="S414" s="9" t="n">
        <v>46315</v>
      </c>
      <c r="T414" s="3" t="n">
        <v>46321.56966435185</v>
      </c>
      <c r="U414" s="2" t="inlineStr">
        <is>
          <t>2026-10-27: estado ADJ → RES</t>
        </is>
      </c>
    </row>
    <row r="415">
      <c r="A415" s="2" t="inlineStr">
        <is>
          <t>Adjudicada</t>
        </is>
      </c>
      <c r="B415" s="3" t="n">
        <v>46315.99930555555</v>
      </c>
      <c r="C415" s="5" t="n">
        <v>49229.93</v>
      </c>
      <c r="D415" s="5" t="n">
        <v>42229.93</v>
      </c>
      <c r="E415" s="2" t="inlineStr">
        <is>
          <t>Andalucía</t>
        </is>
      </c>
      <c r="F415" s="2" t="inlineStr">
        <is>
          <t>Huelva</t>
        </is>
      </c>
      <c r="G415" s="2" t="inlineStr">
        <is>
          <t>Alosno</t>
        </is>
      </c>
      <c r="H415" s="2" t="inlineStr">
        <is>
          <t>Alcaldía del Ayuntamiento de Alosno</t>
        </is>
      </c>
      <c r="I415" s="2" t="inlineStr">
        <is>
          <t>El contrato tiene por objeto las obras de asfaltado en la calle Los Molinos, que es una vía pública situada en Suelo urbano. La calzada presenta una capa de rodadura constituida por una capa de aglomerado asfaltico sobre subbase de zahorra artificial.</t>
        </is>
      </c>
      <c r="J415" s="2" t="inlineStr">
        <is>
          <t>887/2026</t>
        </is>
      </c>
      <c r="K415" s="2" t="inlineStr">
        <is>
          <t>Abierto simplificado</t>
        </is>
      </c>
      <c r="L415" s="6" t="n">
        <v>1</v>
      </c>
      <c r="M415" s="2" t="n"/>
      <c r="N415" s="7" t="n">
        <v>0</v>
      </c>
      <c r="O415" s="4" t="n"/>
      <c r="P415" s="2" t="inlineStr">
        <is>
          <t>45233222</t>
        </is>
      </c>
      <c r="Q415" s="8" t="inlineStr">
        <is>
          <t>Ver</t>
        </is>
      </c>
      <c r="R415" s="8" t="inlineStr">
        <is>
          <t>PCAP</t>
        </is>
      </c>
      <c r="S415" s="9" t="n">
        <v>46317</v>
      </c>
      <c r="T415" s="3" t="n">
        <v>46321.56841435185</v>
      </c>
      <c r="U415" s="2" t="inlineStr">
        <is>
          <t>2026-10-27: estado EV → ADJ</t>
        </is>
      </c>
    </row>
    <row r="416">
      <c r="A416" s="2" t="inlineStr">
        <is>
          <t>En plazo</t>
        </is>
      </c>
      <c r="B416" s="3" t="n">
        <v>46336.58333333334</v>
      </c>
      <c r="C416" s="5" t="n">
        <v>59504.13</v>
      </c>
      <c r="D416" s="5" t="n">
        <v>72000</v>
      </c>
      <c r="E416" s="2" t="inlineStr">
        <is>
          <t>Andalucía</t>
        </is>
      </c>
      <c r="F416" s="2" t="inlineStr">
        <is>
          <t>Cádiz</t>
        </is>
      </c>
      <c r="G416" s="2" t="inlineStr">
        <is>
          <t>ELA DE LA BARCA DE LA FLORIDA</t>
        </is>
      </c>
      <c r="H416" s="2" t="inlineStr">
        <is>
          <t>Presidencia de la Entidad Local Autónoma La Barca de la Florida</t>
        </is>
      </c>
      <c r="I416" s="2" t="inlineStr">
        <is>
          <t>obras de mejora en local multiusos sito en calle cooperativa en la barca de la florida</t>
        </is>
      </c>
      <c r="J416" s="2" t="inlineStr">
        <is>
          <t>2026/2</t>
        </is>
      </c>
      <c r="K416" s="2" t="inlineStr">
        <is>
          <t>Abierto</t>
        </is>
      </c>
      <c r="L416" s="6" t="n">
        <v>3</v>
      </c>
      <c r="M416" s="2" t="n"/>
      <c r="N416" s="7" t="n">
        <v>0</v>
      </c>
      <c r="O416" s="4" t="n"/>
      <c r="P416" s="2" t="inlineStr">
        <is>
          <t>45454100</t>
        </is>
      </c>
      <c r="Q416" s="8" t="inlineStr">
        <is>
          <t>Ver</t>
        </is>
      </c>
      <c r="R416" s="8" t="inlineStr">
        <is>
          <t>PCAP</t>
        </is>
      </c>
      <c r="S416" s="9" t="n">
        <v>46322</v>
      </c>
      <c r="T416" s="3" t="n">
        <v>46321.56538194444</v>
      </c>
      <c r="U416" s="2" t="n"/>
    </row>
    <row r="417">
      <c r="A417" s="2" t="inlineStr">
        <is>
          <t>En plazo</t>
        </is>
      </c>
      <c r="B417" s="3" t="n">
        <v>46336.99930555555</v>
      </c>
      <c r="C417" s="5" t="n">
        <v>66115.69</v>
      </c>
      <c r="D417" s="5" t="n">
        <v>72727.25999999999</v>
      </c>
      <c r="E417" s="2" t="inlineStr">
        <is>
          <t>Comunitat Valenciana</t>
        </is>
      </c>
      <c r="F417" s="2" t="inlineStr">
        <is>
          <t>Valencia</t>
        </is>
      </c>
      <c r="G417" s="2" t="n"/>
      <c r="H417" s="2" t="inlineStr">
        <is>
          <t>Alcaldía del Ayuntamiento de Picassent</t>
        </is>
      </c>
      <c r="I417" s="2" t="inlineStr">
        <is>
          <t>Obras de realización de un correcan y zona de agility en la parcela de titularidad municipal sita en la C/ Alfarp nº 4</t>
        </is>
      </c>
      <c r="J417" s="2" t="inlineStr">
        <is>
          <t>3037714Y</t>
        </is>
      </c>
      <c r="K417" s="2" t="inlineStr">
        <is>
          <t>Abierto simplificado</t>
        </is>
      </c>
      <c r="L417" s="6" t="n">
        <v>3</v>
      </c>
      <c r="M417" s="2" t="n"/>
      <c r="N417" s="7" t="n">
        <v>0</v>
      </c>
      <c r="O417" s="4" t="n"/>
      <c r="P417" s="2" t="inlineStr">
        <is>
          <t>45000000; 43325000</t>
        </is>
      </c>
      <c r="Q417" s="8" t="inlineStr">
        <is>
          <t>Ver</t>
        </is>
      </c>
      <c r="R417" s="8" t="inlineStr">
        <is>
          <t>PCAP</t>
        </is>
      </c>
      <c r="S417" s="9" t="n">
        <v>46317</v>
      </c>
      <c r="T417" s="3" t="n">
        <v>46321.55922453704</v>
      </c>
      <c r="U417" s="2" t="n"/>
    </row>
    <row r="418">
      <c r="A418" s="2" t="inlineStr">
        <is>
          <t>Resuelta</t>
        </is>
      </c>
      <c r="B418" s="3" t="n">
        <v>46279.99930555555</v>
      </c>
      <c r="C418" s="5" t="n">
        <v>227752.73</v>
      </c>
      <c r="D418" s="5" t="n">
        <v>227752.73</v>
      </c>
      <c r="E418" s="2" t="inlineStr">
        <is>
          <t>Andalucía</t>
        </is>
      </c>
      <c r="F418" s="2" t="inlineStr">
        <is>
          <t>Cádiz</t>
        </is>
      </c>
      <c r="G418" s="2" t="n"/>
      <c r="H418" s="2" t="inlineStr">
        <is>
          <t>Alcaldía de Ayuntamiento de Barbate</t>
        </is>
      </c>
      <c r="I418" s="2" t="inlineStr">
        <is>
          <t>Obras para la ejecución del proyecto de mejora del firme de diversas vías públicas del municipio de Barbate (Plan + Inversión Cádiz 2026)</t>
        </is>
      </c>
      <c r="J418" s="2" t="inlineStr">
        <is>
          <t>8954/2026</t>
        </is>
      </c>
      <c r="K418" s="2" t="inlineStr">
        <is>
          <t>Abierto simplificado</t>
        </is>
      </c>
      <c r="L418" s="6" t="n">
        <v>2</v>
      </c>
      <c r="M418" s="2" t="n"/>
      <c r="N418" s="7" t="n">
        <v>0</v>
      </c>
      <c r="O418" s="4" t="n"/>
      <c r="P418" s="2" t="inlineStr">
        <is>
          <t>45233222; 45233223; 45233142; 45233252</t>
        </is>
      </c>
      <c r="Q418" s="8" t="inlineStr">
        <is>
          <t>Ver</t>
        </is>
      </c>
      <c r="R418" s="8" t="inlineStr">
        <is>
          <t>PCAP</t>
        </is>
      </c>
      <c r="S418" s="9" t="n">
        <v>46322</v>
      </c>
      <c r="T418" s="3" t="n">
        <v>46321.55773148148</v>
      </c>
      <c r="U418" s="2" t="n"/>
    </row>
    <row r="419">
      <c r="A419" s="2" t="inlineStr">
        <is>
          <t>Resuelta</t>
        </is>
      </c>
      <c r="B419" s="3" t="n">
        <v>46274.99930555555</v>
      </c>
      <c r="C419" s="5" t="n">
        <v>95041.32000000001</v>
      </c>
      <c r="D419" s="5" t="n">
        <v>95041.32000000001</v>
      </c>
      <c r="E419" s="2" t="inlineStr">
        <is>
          <t>Andalucía</t>
        </is>
      </c>
      <c r="F419" s="2" t="inlineStr">
        <is>
          <t>Almería</t>
        </is>
      </c>
      <c r="G419" s="2" t="n"/>
      <c r="H419" s="2" t="inlineStr">
        <is>
          <t>Junta de Gobierno de la Diputación Provincial de Almería</t>
        </is>
      </c>
      <c r="I419" s="2" t="inlineStr">
        <is>
          <t>Rehabilitación Del Firme Camino Gacia Alto-royo Morera. Tt.mm. De Sorbas Y Turre 57PG2025</t>
        </is>
      </c>
      <c r="J419" s="2" t="inlineStr">
        <is>
          <t>2026/D31000/006-013/00028</t>
        </is>
      </c>
      <c r="K419" s="2" t="inlineStr">
        <is>
          <t>Abierto simplificado</t>
        </is>
      </c>
      <c r="L419" s="6" t="n">
        <v>2</v>
      </c>
      <c r="M419" s="2" t="n"/>
      <c r="N419" s="7" t="n">
        <v>0.25</v>
      </c>
      <c r="O419" s="4" t="n"/>
      <c r="P419" s="2" t="inlineStr">
        <is>
          <t>45233220</t>
        </is>
      </c>
      <c r="Q419" s="8" t="inlineStr">
        <is>
          <t>Ver</t>
        </is>
      </c>
      <c r="R419" s="8" t="inlineStr">
        <is>
          <t>PCAP</t>
        </is>
      </c>
      <c r="S419" s="9" t="n">
        <v>46310</v>
      </c>
      <c r="T419" s="3" t="n">
        <v>46321.55702546296</v>
      </c>
      <c r="U419" s="2" t="inlineStr">
        <is>
          <t>2026-10-27: estado ADJ → RES</t>
        </is>
      </c>
    </row>
    <row r="420">
      <c r="A420" s="2" t="inlineStr">
        <is>
          <t>Plazo vencido</t>
        </is>
      </c>
      <c r="B420" s="3" t="n">
        <v>46323.99930555555</v>
      </c>
      <c r="C420" s="5" t="n">
        <v>812294</v>
      </c>
      <c r="D420" s="5" t="n">
        <v>812294</v>
      </c>
      <c r="E420" s="2" t="inlineStr">
        <is>
          <t>Comunitat Valenciana</t>
        </is>
      </c>
      <c r="F420" s="2" t="inlineStr">
        <is>
          <t>Valencia</t>
        </is>
      </c>
      <c r="G420" s="2" t="inlineStr">
        <is>
          <t>el Genovés</t>
        </is>
      </c>
      <c r="H420" s="2" t="inlineStr">
        <is>
          <t>Pleno del Ayuntamiento de Genovés</t>
        </is>
      </c>
      <c r="I420" s="2" t="inlineStr">
        <is>
          <t>Construcción de un edificio de nueva planta, destinado a la población joven de la localidad, emplazado en calle Maestro Serrano nº 4 de El Genovés.</t>
        </is>
      </c>
      <c r="J420" s="2" t="inlineStr">
        <is>
          <t>2222/2026</t>
        </is>
      </c>
      <c r="K420" s="2" t="inlineStr">
        <is>
          <t>Abierto simplificado</t>
        </is>
      </c>
      <c r="L420" s="6" t="n">
        <v>10</v>
      </c>
      <c r="M420" s="2" t="inlineStr">
        <is>
          <t>C*-3</t>
        </is>
      </c>
      <c r="N420" s="7" t="n">
        <v>0</v>
      </c>
      <c r="O420" s="4" t="n"/>
      <c r="P420" s="2" t="inlineStr">
        <is>
          <t>45000000; 45220000; 45200000</t>
        </is>
      </c>
      <c r="Q420" s="8" t="inlineStr">
        <is>
          <t>Ver</t>
        </is>
      </c>
      <c r="R420" s="8" t="inlineStr">
        <is>
          <t>PCAP</t>
        </is>
      </c>
      <c r="S420" s="9" t="n">
        <v>46310</v>
      </c>
      <c r="T420" s="3" t="n">
        <v>46321.55586805556</v>
      </c>
      <c r="U420" s="2" t="n"/>
    </row>
    <row r="421">
      <c r="A421" s="2" t="inlineStr">
        <is>
          <t>En plazo</t>
        </is>
      </c>
      <c r="B421" s="3" t="n">
        <v>46332.99930555555</v>
      </c>
      <c r="C421" s="5" t="n">
        <v>28660.05</v>
      </c>
      <c r="D421" s="5" t="n">
        <v>34392.06</v>
      </c>
      <c r="E421" s="2" t="inlineStr">
        <is>
          <t>Andalucía</t>
        </is>
      </c>
      <c r="F421" s="2" t="inlineStr">
        <is>
          <t>Almería</t>
        </is>
      </c>
      <c r="G421" s="2" t="n"/>
      <c r="H421" s="2" t="inlineStr">
        <is>
          <t>Alcaldía del Ayuntamiento de El Ejido</t>
        </is>
      </c>
      <c r="I421" s="2" t="inlineStr">
        <is>
          <t>Es objeto de la presente licitación por el procedimiento abierto simplificado, la contratación de la ejecución del proyecto de obras denominado infraestructura de seguridad ciudadana, fase II, El Ejido (Almería), conforme a las especificaciones y características expuestas en el presente pliego y en el proyecto técnico.</t>
        </is>
      </c>
      <c r="J421" s="2" t="inlineStr">
        <is>
          <t>2026 1553</t>
        </is>
      </c>
      <c r="K421" s="2" t="inlineStr">
        <is>
          <t>Abierto simplificado</t>
        </is>
      </c>
      <c r="L421" s="6" t="n">
        <v>3</v>
      </c>
      <c r="M421" s="2" t="n"/>
      <c r="N421" s="7" t="n">
        <v>0</v>
      </c>
      <c r="O421" s="4" t="n"/>
      <c r="P421" s="2" t="inlineStr">
        <is>
          <t>45233252; 44162200</t>
        </is>
      </c>
      <c r="Q421" s="8" t="inlineStr">
        <is>
          <t>Ver</t>
        </is>
      </c>
      <c r="R421" s="8" t="inlineStr">
        <is>
          <t>PCAP</t>
        </is>
      </c>
      <c r="S421" s="9" t="n">
        <v>46318</v>
      </c>
      <c r="T421" s="3" t="n">
        <v>46321.55556712963</v>
      </c>
      <c r="U421" s="2" t="n"/>
    </row>
    <row r="422">
      <c r="A422" s="2" t="inlineStr">
        <is>
          <t>Resuelta</t>
        </is>
      </c>
      <c r="B422" s="3" t="n">
        <v>46260.99930555555</v>
      </c>
      <c r="C422" s="5" t="n">
        <v>66115.7</v>
      </c>
      <c r="D422" s="5" t="n">
        <v>66115.7</v>
      </c>
      <c r="E422" s="2" t="inlineStr">
        <is>
          <t>Andalucía</t>
        </is>
      </c>
      <c r="F422" s="2" t="inlineStr">
        <is>
          <t>Almería</t>
        </is>
      </c>
      <c r="G422" s="2" t="n"/>
      <c r="H422" s="2" t="inlineStr">
        <is>
          <t>Junta de Gobierno de la Diputación Provincial de Almería</t>
        </is>
      </c>
      <c r="I422" s="2" t="inlineStr">
        <is>
          <t>Caminos Municipales, Benahadux 22PCAM24-27BII</t>
        </is>
      </c>
      <c r="J422" s="2" t="inlineStr">
        <is>
          <t>2026/D31000/006-013/00072</t>
        </is>
      </c>
      <c r="K422" s="2" t="inlineStr">
        <is>
          <t>Abierto simplificado</t>
        </is>
      </c>
      <c r="L422" s="6" t="n">
        <v>2</v>
      </c>
      <c r="M422" s="2" t="n"/>
      <c r="N422" s="7" t="n">
        <v>0.25</v>
      </c>
      <c r="O422" s="4" t="n"/>
      <c r="P422" s="2" t="inlineStr">
        <is>
          <t>45233222</t>
        </is>
      </c>
      <c r="Q422" s="8" t="inlineStr">
        <is>
          <t>Ver</t>
        </is>
      </c>
      <c r="R422" s="8" t="inlineStr">
        <is>
          <t>PCAP</t>
        </is>
      </c>
      <c r="S422" s="9" t="n">
        <v>46322</v>
      </c>
      <c r="T422" s="3" t="n">
        <v>46321.55457175926</v>
      </c>
      <c r="U422" s="2" t="n"/>
    </row>
    <row r="423">
      <c r="A423" s="2" t="inlineStr">
        <is>
          <t>Resuelta</t>
        </is>
      </c>
      <c r="B423" s="3" t="n">
        <v>46216.99930555555</v>
      </c>
      <c r="C423" s="5" t="n">
        <v>214876.03</v>
      </c>
      <c r="D423" s="5" t="n">
        <v>214876.03</v>
      </c>
      <c r="E423" s="2" t="inlineStr">
        <is>
          <t>Andalucía</t>
        </is>
      </c>
      <c r="F423" s="2" t="inlineStr">
        <is>
          <t>Almería</t>
        </is>
      </c>
      <c r="G423" s="2" t="n"/>
      <c r="H423" s="2" t="inlineStr">
        <is>
          <t>Junta de Gobierno de la Diputación Provincial de Almería</t>
        </is>
      </c>
      <c r="I423" s="2" t="inlineStr">
        <is>
          <t>Rehabilitación Y Mejora Del Firme En C.p. Al-6107, De La A-1100 En Albanchez A La A-1101 En Rambla Aljibe De Lubrín Por Los Molinas 34RVP2025-2026</t>
        </is>
      </c>
      <c r="J423" s="2" t="inlineStr">
        <is>
          <t>2026/D31000/006-013/00032</t>
        </is>
      </c>
      <c r="K423" s="2" t="inlineStr">
        <is>
          <t>Abierto simplificado</t>
        </is>
      </c>
      <c r="L423" s="6" t="n">
        <v>3</v>
      </c>
      <c r="M423" s="2" t="n"/>
      <c r="N423" s="7" t="n">
        <v>0.25</v>
      </c>
      <c r="O423" s="4" t="n"/>
      <c r="P423" s="2" t="inlineStr">
        <is>
          <t>45233220</t>
        </is>
      </c>
      <c r="Q423" s="8" t="inlineStr">
        <is>
          <t>Ver</t>
        </is>
      </c>
      <c r="R423" s="8" t="inlineStr">
        <is>
          <t>PCAP</t>
        </is>
      </c>
      <c r="S423" s="9" t="n">
        <v>46310</v>
      </c>
      <c r="T423" s="3" t="n">
        <v>46321.55188657407</v>
      </c>
      <c r="U423" s="2" t="inlineStr">
        <is>
          <t>2026-10-27: estado ADJ → RES</t>
        </is>
      </c>
    </row>
    <row r="424">
      <c r="A424" s="2" t="inlineStr">
        <is>
          <t>En plazo</t>
        </is>
      </c>
      <c r="B424" s="3" t="n">
        <v>46349.99930555555</v>
      </c>
      <c r="C424" s="5" t="n">
        <v>2207259.38</v>
      </c>
      <c r="D424" s="5" t="n">
        <v>2207259.38</v>
      </c>
      <c r="E424" s="2" t="inlineStr">
        <is>
          <t>Andalucía</t>
        </is>
      </c>
      <c r="F424" s="2" t="inlineStr">
        <is>
          <t>Cádiz</t>
        </is>
      </c>
      <c r="G424" s="2" t="n"/>
      <c r="H424" s="2" t="inlineStr">
        <is>
          <t>Junta de Gobierno Local del Ayuntamiento de Jerez</t>
        </is>
      </c>
      <c r="I424" s="2" t="inlineStr">
        <is>
          <t>Reasfaltado de diversas calles de Jerez Urbano, zona - 3</t>
        </is>
      </c>
      <c r="J424" s="2" t="inlineStr">
        <is>
          <t>61/2026</t>
        </is>
      </c>
      <c r="K424" s="2" t="inlineStr">
        <is>
          <t>Abierto</t>
        </is>
      </c>
      <c r="L424" s="6" t="n">
        <v>5</v>
      </c>
      <c r="M424" s="2" t="n"/>
      <c r="N424" s="7" t="n">
        <v>0</v>
      </c>
      <c r="O424" s="4" t="n"/>
      <c r="P424" s="2" t="inlineStr">
        <is>
          <t>45220000</t>
        </is>
      </c>
      <c r="Q424" s="8" t="inlineStr">
        <is>
          <t>Ver</t>
        </is>
      </c>
      <c r="R424" s="8" t="inlineStr">
        <is>
          <t>PCAP</t>
        </is>
      </c>
      <c r="S424" s="9" t="n">
        <v>46322</v>
      </c>
      <c r="T424" s="3" t="n">
        <v>46321.5515625</v>
      </c>
      <c r="U424" s="2" t="n"/>
    </row>
    <row r="425">
      <c r="A425" s="2" t="inlineStr">
        <is>
          <t>En plazo</t>
        </is>
      </c>
      <c r="B425" s="3" t="n">
        <v>46342.70833333334</v>
      </c>
      <c r="C425" s="5" t="n">
        <v>1373863.48</v>
      </c>
      <c r="D425" s="5" t="n">
        <v>1648636.17</v>
      </c>
      <c r="E425" s="2" t="inlineStr">
        <is>
          <t>Comunitat Valenciana</t>
        </is>
      </c>
      <c r="F425" s="2" t="inlineStr">
        <is>
          <t>Alicante</t>
        </is>
      </c>
      <c r="G425" s="2" t="inlineStr">
        <is>
          <t>Alicante (Alacant)</t>
        </is>
      </c>
      <c r="H425" s="2" t="inlineStr">
        <is>
          <t>Alcaldía del Ayuntamiento de Santa Pola</t>
        </is>
      </c>
      <c r="I425" s="2" t="inlineStr">
        <is>
          <t>Obras de Urbanización del bulevar de la Avenida Salamanca, entre Calle Rojales y Avenida Virgen del Pilar, susceptible de ser cofinanciado por la UE a través del</t>
        </is>
      </c>
      <c r="J425" s="2" t="inlineStr">
        <is>
          <t>18222/2026</t>
        </is>
      </c>
      <c r="K425" s="2" t="inlineStr">
        <is>
          <t>Abierto simplificado</t>
        </is>
      </c>
      <c r="L425" s="6" t="n">
        <v>10</v>
      </c>
      <c r="M425" s="2" t="inlineStr">
        <is>
          <t>K6-1; C6-2</t>
        </is>
      </c>
      <c r="N425" s="7" t="n">
        <v>0.45</v>
      </c>
      <c r="O425" s="4" t="n"/>
      <c r="P425" s="2" t="inlineStr">
        <is>
          <t>45112700; 45233294; 45233270; 45233262; 45233291; 45233200; 45233290; 45233293</t>
        </is>
      </c>
      <c r="Q425" s="8" t="inlineStr">
        <is>
          <t>Ver</t>
        </is>
      </c>
      <c r="R425" s="8" t="inlineStr">
        <is>
          <t>PCAP</t>
        </is>
      </c>
      <c r="S425" s="9" t="n">
        <v>46322</v>
      </c>
      <c r="T425" s="3" t="n">
        <v>46321.54957175926</v>
      </c>
      <c r="U425" s="2" t="n"/>
    </row>
    <row r="426">
      <c r="A426" s="2" t="inlineStr">
        <is>
          <t>Adjudicada</t>
        </is>
      </c>
      <c r="B426" s="3" t="n">
        <v>46266.99930555555</v>
      </c>
      <c r="C426" s="5" t="n">
        <v>909090.91</v>
      </c>
      <c r="D426" s="5" t="n">
        <v>1090909.09</v>
      </c>
      <c r="E426" s="2" t="inlineStr">
        <is>
          <t>Andalucía</t>
        </is>
      </c>
      <c r="F426" s="2" t="inlineStr">
        <is>
          <t>Almería</t>
        </is>
      </c>
      <c r="G426" s="2" t="n"/>
      <c r="H426" s="2" t="inlineStr">
        <is>
          <t>Junta de Gobierno Local del Ayuntamiento de El Ejido</t>
        </is>
      </c>
      <c r="I426"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426" s="2" t="inlineStr">
        <is>
          <t>2026 1020</t>
        </is>
      </c>
      <c r="K426" s="2" t="inlineStr">
        <is>
          <t>Abierto simplificado</t>
        </is>
      </c>
      <c r="L426" s="6" t="n">
        <v>8</v>
      </c>
      <c r="M426" s="2" t="n"/>
      <c r="N426" s="7" t="n">
        <v>0.25</v>
      </c>
      <c r="O426" s="4" t="n"/>
      <c r="P426" s="2" t="inlineStr">
        <is>
          <t>45100000; 45232410</t>
        </is>
      </c>
      <c r="Q426" s="8" t="inlineStr">
        <is>
          <t>Ver</t>
        </is>
      </c>
      <c r="R426" s="8" t="inlineStr">
        <is>
          <t>PCAP</t>
        </is>
      </c>
      <c r="S426" s="9" t="n">
        <v>46310</v>
      </c>
      <c r="T426" s="3" t="n">
        <v>46321.54942129629</v>
      </c>
      <c r="U426" s="2" t="inlineStr">
        <is>
          <t>2026-10-27: estado EV → ADJ</t>
        </is>
      </c>
    </row>
    <row r="427">
      <c r="A427" s="2" t="inlineStr">
        <is>
          <t>Adjudicada</t>
        </is>
      </c>
      <c r="B427" s="3" t="n">
        <v>46237.99930555555</v>
      </c>
      <c r="C427" s="5" t="n">
        <v>92434.46000000001</v>
      </c>
      <c r="D427" s="5" t="n">
        <v>92434.46000000001</v>
      </c>
      <c r="E427" s="2" t="inlineStr">
        <is>
          <t>Andalucía</t>
        </is>
      </c>
      <c r="F427" s="2" t="inlineStr">
        <is>
          <t>Córdoba</t>
        </is>
      </c>
      <c r="G427" s="2" t="n"/>
      <c r="H427" s="2" t="inlineStr">
        <is>
          <t>Junta de Gobierno del Ayuntamiento de Córdoba</t>
        </is>
      </c>
      <c r="I427" s="2" t="inlineStr">
        <is>
          <t>Obras de instalación de alumbrado público en aparcamiento calle Deán Francisco Javier de Córdoba</t>
        </is>
      </c>
      <c r="J427" s="2" t="inlineStr">
        <is>
          <t>2026/045</t>
        </is>
      </c>
      <c r="K427" s="2" t="inlineStr">
        <is>
          <t>Abierto</t>
        </is>
      </c>
      <c r="L427" s="6" t="n">
        <v>3</v>
      </c>
      <c r="M427" s="2" t="n"/>
      <c r="N427" s="7" t="n">
        <v>0</v>
      </c>
      <c r="O427" s="4" t="n"/>
      <c r="P427" s="2" t="inlineStr">
        <is>
          <t>45232200; 45316100; 45233222; 45316000</t>
        </is>
      </c>
      <c r="Q427" s="8" t="inlineStr">
        <is>
          <t>Ver</t>
        </is>
      </c>
      <c r="R427" s="8" t="inlineStr">
        <is>
          <t>PCAP</t>
        </is>
      </c>
      <c r="S427" s="9" t="n">
        <v>46310</v>
      </c>
      <c r="T427" s="3" t="n">
        <v>46321.54930555556</v>
      </c>
      <c r="U427" s="2" t="inlineStr">
        <is>
          <t>2026-10-27: estado EV → ADJ</t>
        </is>
      </c>
    </row>
    <row r="428">
      <c r="A428" s="2" t="inlineStr">
        <is>
          <t>Resuelta</t>
        </is>
      </c>
      <c r="B428" s="3" t="n"/>
      <c r="C428" s="5" t="n">
        <v>358351.82</v>
      </c>
      <c r="D428" s="5" t="n">
        <v>433605.7</v>
      </c>
      <c r="E428" s="2" t="inlineStr">
        <is>
          <t>Andalucía</t>
        </is>
      </c>
      <c r="F428" s="2" t="inlineStr">
        <is>
          <t>Granada</t>
        </is>
      </c>
      <c r="G428" s="2" t="n"/>
      <c r="H428" s="2" t="inlineStr">
        <is>
          <t>Demarcación de Carreteras del Estado en Andalucía Oriental</t>
        </is>
      </c>
      <c r="I428" s="2" t="inlineStr">
        <is>
          <t>Rehabilitación del firme en la carretera N-432 entre los PP.KK. 416+100 y 417+100 para garantizar la seguridad viaria. Provincia de Granada</t>
        </is>
      </c>
      <c r="J428" s="2" t="inlineStr">
        <is>
          <t>EM32-GR-260004</t>
        </is>
      </c>
      <c r="K428" s="2" t="inlineStr">
        <is>
          <t>Negociado sin publicidad</t>
        </is>
      </c>
      <c r="L428" s="6" t="n">
        <v>7</v>
      </c>
      <c r="M428" s="2" t="n"/>
      <c r="N428" s="7" t="n"/>
      <c r="O428" s="4" t="n"/>
      <c r="P428" s="2" t="inlineStr">
        <is>
          <t>45000000</t>
        </is>
      </c>
      <c r="Q428" s="8" t="inlineStr">
        <is>
          <t>Ver</t>
        </is>
      </c>
      <c r="R428" s="2" t="n"/>
      <c r="S428" s="9" t="n">
        <v>46322</v>
      </c>
      <c r="T428" s="3" t="n">
        <v>46321.54385416667</v>
      </c>
      <c r="U428" s="2" t="n"/>
    </row>
    <row r="429">
      <c r="A429" s="2" t="inlineStr">
        <is>
          <t>Pendiente de adjudicación</t>
        </is>
      </c>
      <c r="B429" s="3" t="n">
        <v>46283.83333333334</v>
      </c>
      <c r="C429" s="5" t="n">
        <v>533572.55</v>
      </c>
      <c r="D429" s="5" t="n">
        <v>533572.55</v>
      </c>
      <c r="E429" s="2" t="inlineStr">
        <is>
          <t>Andalucía</t>
        </is>
      </c>
      <c r="F429" s="2" t="inlineStr">
        <is>
          <t>Granada</t>
        </is>
      </c>
      <c r="G429" s="2" t="inlineStr">
        <is>
          <t>Atarfe (Granada)</t>
        </is>
      </c>
      <c r="H429" s="2" t="inlineStr">
        <is>
          <t>Dirección Gerente de Aguas Vega Sierra Elvira, S.A.</t>
        </is>
      </c>
      <c r="I429" s="2" t="inlineStr">
        <is>
          <t>Renovación de redes de calle jaén y calle marbella Maracena (Granada)</t>
        </is>
      </c>
      <c r="J429" s="2" t="inlineStr">
        <is>
          <t>Obras 13/2026</t>
        </is>
      </c>
      <c r="K429" s="2" t="inlineStr">
        <is>
          <t>Abierto</t>
        </is>
      </c>
      <c r="L429" s="6" t="n">
        <v>6</v>
      </c>
      <c r="M429" s="2" t="n"/>
      <c r="N429" s="7" t="n">
        <v>0.4</v>
      </c>
      <c r="O429" s="4" t="n"/>
      <c r="P429" s="2" t="inlineStr">
        <is>
          <t>45200000; 45231100; 45232100; 45220000; 44160000</t>
        </is>
      </c>
      <c r="Q429" s="8" t="inlineStr">
        <is>
          <t>Ver</t>
        </is>
      </c>
      <c r="R429" s="8" t="inlineStr">
        <is>
          <t>PCAP</t>
        </is>
      </c>
      <c r="S429" s="9" t="n">
        <v>46315</v>
      </c>
      <c r="T429" s="3" t="n">
        <v>46321.54341435185</v>
      </c>
      <c r="U429" s="2" t="n"/>
    </row>
    <row r="430">
      <c r="A430" s="2" t="inlineStr">
        <is>
          <t>Adjudicada</t>
        </is>
      </c>
      <c r="B430" s="3" t="n">
        <v>46253.99930555555</v>
      </c>
      <c r="C430" s="5" t="n">
        <v>352496.23</v>
      </c>
      <c r="D430" s="5" t="n">
        <v>352496.23</v>
      </c>
      <c r="E430" s="2" t="inlineStr">
        <is>
          <t>Andalucía</t>
        </is>
      </c>
      <c r="F430" s="2" t="inlineStr">
        <is>
          <t>Sevilla</t>
        </is>
      </c>
      <c r="G430" s="2" t="inlineStr">
        <is>
          <t>Mairena del Aljarafe</t>
        </is>
      </c>
      <c r="H430" s="2" t="inlineStr">
        <is>
          <t>Consejo de Gobierno de la Gerencia Municipal de Urbanismo del Ayuntamiento de Mairena del Aljarafe</t>
        </is>
      </c>
      <c r="I430" s="2" t="inlineStr">
        <is>
          <t>Adecuación de oficinas municipales en edificio Aljarafe Center</t>
        </is>
      </c>
      <c r="J430" s="2" t="inlineStr">
        <is>
          <t>732/2026</t>
        </is>
      </c>
      <c r="K430" s="2" t="inlineStr">
        <is>
          <t>Abierto simplificado</t>
        </is>
      </c>
      <c r="L430" s="6" t="n">
        <v>4</v>
      </c>
      <c r="M430" s="2" t="n"/>
      <c r="N430" s="7" t="n">
        <v>0.25</v>
      </c>
      <c r="O430" s="4" t="n"/>
      <c r="P430" s="2" t="inlineStr">
        <is>
          <t>45000000</t>
        </is>
      </c>
      <c r="Q430" s="8" t="inlineStr">
        <is>
          <t>Ver</t>
        </is>
      </c>
      <c r="R430" s="8" t="inlineStr">
        <is>
          <t>PCAP</t>
        </is>
      </c>
      <c r="S430" s="9" t="n">
        <v>46310</v>
      </c>
      <c r="T430" s="3" t="n">
        <v>46321.54210648148</v>
      </c>
      <c r="U430" s="2" t="inlineStr">
        <is>
          <t>2026-10-27: estado EV → ADJ</t>
        </is>
      </c>
    </row>
    <row r="431">
      <c r="A431" s="2" t="inlineStr">
        <is>
          <t>Resuelta</t>
        </is>
      </c>
      <c r="B431" s="3" t="n">
        <v>45504.99930555555</v>
      </c>
      <c r="C431" s="5" t="n">
        <v>435241</v>
      </c>
      <c r="D431" s="5" t="n">
        <v>435241</v>
      </c>
      <c r="E431" s="2" t="inlineStr">
        <is>
          <t>Comunitat Valenciana</t>
        </is>
      </c>
      <c r="F431" s="2" t="inlineStr">
        <is>
          <t>Alicante</t>
        </is>
      </c>
      <c r="G431" s="2" t="inlineStr">
        <is>
          <t>Alicante / Alacant</t>
        </is>
      </c>
      <c r="H431" s="2" t="inlineStr">
        <is>
          <t>Aena. Dirección del Aeropuerto de Alicante-Elche</t>
        </is>
      </c>
      <c r="I431" s="2" t="inlineStr">
        <is>
          <t>Ampliación De Aseos Del Núcleo 4 En Sala De Embarque</t>
        </is>
      </c>
      <c r="J431" s="2" t="inlineStr">
        <is>
          <t>ALC-45/2024</t>
        </is>
      </c>
      <c r="K431" s="2" t="inlineStr">
        <is>
          <t>Abierto simplificado</t>
        </is>
      </c>
      <c r="L431" s="6" t="n"/>
      <c r="M431" s="2" t="n"/>
      <c r="N431" s="7" t="n">
        <v>0</v>
      </c>
      <c r="O431" s="4" t="n"/>
      <c r="P431" s="2" t="inlineStr">
        <is>
          <t>45215500</t>
        </is>
      </c>
      <c r="Q431" s="8" t="inlineStr">
        <is>
          <t>Ver</t>
        </is>
      </c>
      <c r="R431" s="8" t="inlineStr">
        <is>
          <t>PCAP</t>
        </is>
      </c>
      <c r="S431" s="9" t="n">
        <v>46322</v>
      </c>
      <c r="T431" s="3" t="n">
        <v>46321.54107638889</v>
      </c>
      <c r="U431" s="2" t="n"/>
    </row>
    <row r="432">
      <c r="A432" s="2" t="inlineStr">
        <is>
          <t>Pendiente de adjudicación</t>
        </is>
      </c>
      <c r="B432" s="3" t="n">
        <v>46300.99930555555</v>
      </c>
      <c r="C432" s="5" t="n">
        <v>330578.51</v>
      </c>
      <c r="D432" s="5" t="n">
        <v>330578.51</v>
      </c>
      <c r="E432" s="2" t="inlineStr">
        <is>
          <t>Comunitat Valenciana</t>
        </is>
      </c>
      <c r="F432" s="2" t="inlineStr">
        <is>
          <t>Valencia</t>
        </is>
      </c>
      <c r="G432" s="2" t="n"/>
      <c r="H432" s="2" t="inlineStr">
        <is>
          <t>Junta de Gobierno del Ayuntamiento de Alzira</t>
        </is>
      </c>
      <c r="I432" s="2" t="inlineStr">
        <is>
          <t>Restauración lienzo de la Muralla Almohade en Alzira</t>
        </is>
      </c>
      <c r="J432" s="2" t="inlineStr">
        <is>
          <t>OC-7112/26</t>
        </is>
      </c>
      <c r="K432" s="2" t="inlineStr">
        <is>
          <t>Abierto simplificado</t>
        </is>
      </c>
      <c r="L432" s="6" t="n">
        <v>10</v>
      </c>
      <c r="M432" s="2" t="n"/>
      <c r="N432" s="7" t="n">
        <v>0</v>
      </c>
      <c r="O432" s="4" t="n"/>
      <c r="P432" s="2" t="inlineStr">
        <is>
          <t>45212350; 45454100; 45112450</t>
        </is>
      </c>
      <c r="Q432" s="8" t="inlineStr">
        <is>
          <t>Ver</t>
        </is>
      </c>
      <c r="R432" s="8" t="inlineStr">
        <is>
          <t>PCAP</t>
        </is>
      </c>
      <c r="S432" s="9" t="n">
        <v>46310</v>
      </c>
      <c r="T432" s="3" t="n">
        <v>46321.54100694445</v>
      </c>
      <c r="U432" s="2" t="n"/>
    </row>
    <row r="433">
      <c r="A433" s="2" t="inlineStr">
        <is>
          <t>Resuelta</t>
        </is>
      </c>
      <c r="B433" s="3" t="n">
        <v>46281.99930555555</v>
      </c>
      <c r="C433" s="5" t="n">
        <v>112300.66</v>
      </c>
      <c r="D433" s="5" t="n">
        <v>112300.66</v>
      </c>
      <c r="E433" s="2" t="inlineStr">
        <is>
          <t>Comunitat Valenciana</t>
        </is>
      </c>
      <c r="F433" s="2" t="inlineStr">
        <is>
          <t>Valencia</t>
        </is>
      </c>
      <c r="G433" s="2" t="inlineStr">
        <is>
          <t>Xàtiva</t>
        </is>
      </c>
      <c r="H433" s="2" t="inlineStr">
        <is>
          <t>Alcaldía del Ayuntamiento de Xàtiva</t>
        </is>
      </c>
      <c r="I433" s="2" t="inlineStr">
        <is>
          <t>Ejecución de las obras de mejora de la accesibilidad en el entorno de la Plaza Pintor Tudela de Xàtiva.</t>
        </is>
      </c>
      <c r="J433" s="2" t="inlineStr">
        <is>
          <t>10433/2026</t>
        </is>
      </c>
      <c r="K433" s="2" t="inlineStr">
        <is>
          <t>Abierto simplificado</t>
        </is>
      </c>
      <c r="L433" s="6" t="n">
        <v>4</v>
      </c>
      <c r="M433" s="2" t="n"/>
      <c r="N433" s="7" t="n">
        <v>0</v>
      </c>
      <c r="O433" s="4" t="n"/>
      <c r="P433" s="2" t="inlineStr">
        <is>
          <t>45233252; 45232150; 45232121; 45233262</t>
        </is>
      </c>
      <c r="Q433" s="8" t="inlineStr">
        <is>
          <t>Ver</t>
        </is>
      </c>
      <c r="R433" s="8" t="inlineStr">
        <is>
          <t>PCAP</t>
        </is>
      </c>
      <c r="S433" s="9" t="n">
        <v>46322</v>
      </c>
      <c r="T433" s="3" t="n">
        <v>46321.53893518518</v>
      </c>
      <c r="U433" s="2" t="n"/>
    </row>
    <row r="434">
      <c r="A434" s="2" t="inlineStr">
        <is>
          <t>Resuelta</t>
        </is>
      </c>
      <c r="B434" s="3" t="n">
        <v>46308.375</v>
      </c>
      <c r="C434" s="5" t="n">
        <v>62580.17</v>
      </c>
      <c r="D434" s="5" t="n">
        <v>62580.17</v>
      </c>
      <c r="E434" s="2" t="inlineStr">
        <is>
          <t>Andalucía</t>
        </is>
      </c>
      <c r="F434" s="2" t="inlineStr">
        <is>
          <t>Cádiz</t>
        </is>
      </c>
      <c r="G434" s="2" t="n"/>
      <c r="H434" s="2" t="inlineStr">
        <is>
          <t>Intendente de San Fernando</t>
        </is>
      </c>
      <c r="I434" s="2" t="inlineStr">
        <is>
          <t>INFRA26-061 CB Rehabilitación de firmes en el Tercio Armada. lote 1</t>
        </is>
      </c>
      <c r="J434" s="2" t="inlineStr">
        <is>
          <t>2026/AR43U/00002622E</t>
        </is>
      </c>
      <c r="K434" s="2" t="inlineStr">
        <is>
          <t>Abierto</t>
        </is>
      </c>
      <c r="L434" s="6" t="n">
        <v>2</v>
      </c>
      <c r="M434" s="2" t="n"/>
      <c r="N434" s="7" t="n">
        <v>0</v>
      </c>
      <c r="O434" s="4" t="n"/>
      <c r="P434" s="2" t="inlineStr">
        <is>
          <t>45000000</t>
        </is>
      </c>
      <c r="Q434" s="8" t="inlineStr">
        <is>
          <t>Ver</t>
        </is>
      </c>
      <c r="R434" s="8" t="inlineStr">
        <is>
          <t>PCAP</t>
        </is>
      </c>
      <c r="S434" s="9" t="n">
        <v>46322</v>
      </c>
      <c r="T434" s="3" t="n">
        <v>46321.53820601852</v>
      </c>
      <c r="U434" s="2" t="n"/>
    </row>
    <row r="435">
      <c r="A435" s="2" t="inlineStr">
        <is>
          <t>Adjudicada</t>
        </is>
      </c>
      <c r="B435" s="3" t="n">
        <v>46288.99930555555</v>
      </c>
      <c r="C435" s="5" t="n">
        <v>651775.63</v>
      </c>
      <c r="D435" s="5" t="n">
        <v>651775.63</v>
      </c>
      <c r="E435" s="2" t="inlineStr">
        <is>
          <t>Comunitat Valenciana</t>
        </is>
      </c>
      <c r="F435" s="2" t="inlineStr">
        <is>
          <t>Valencia</t>
        </is>
      </c>
      <c r="G435" s="2" t="inlineStr">
        <is>
          <t>Xàtiva</t>
        </is>
      </c>
      <c r="H435" s="2" t="inlineStr">
        <is>
          <t>Alcaldía del Ayuntamiento de Xàtiva</t>
        </is>
      </c>
      <c r="I435" s="2" t="inlineStr">
        <is>
          <t>Contrato de obras para la ejecución del carril bici en el núcleo urbano de Xàtiva</t>
        </is>
      </c>
      <c r="J435" s="2" t="inlineStr">
        <is>
          <t>10416/2026</t>
        </is>
      </c>
      <c r="K435" s="2" t="inlineStr">
        <is>
          <t>Abierto simplificado</t>
        </is>
      </c>
      <c r="L435" s="6" t="n">
        <v>6</v>
      </c>
      <c r="M435" s="2" t="n"/>
      <c r="N435" s="7" t="n">
        <v>0</v>
      </c>
      <c r="O435" s="4" t="n"/>
      <c r="P435" s="2" t="inlineStr">
        <is>
          <t>45233162; 45233161; 45233222; 34992200; 45233221; 45316212</t>
        </is>
      </c>
      <c r="Q435" s="8" t="inlineStr">
        <is>
          <t>Ver</t>
        </is>
      </c>
      <c r="R435" s="8" t="inlineStr">
        <is>
          <t>PCAP</t>
        </is>
      </c>
      <c r="S435" s="9" t="n">
        <v>46322</v>
      </c>
      <c r="T435" s="3" t="n">
        <v>46321.53554398148</v>
      </c>
      <c r="U435" s="2" t="n"/>
    </row>
    <row r="436">
      <c r="A436" s="2" t="inlineStr">
        <is>
          <t>Resuelta</t>
        </is>
      </c>
      <c r="B436" s="3" t="n">
        <v>45859.58333333334</v>
      </c>
      <c r="C436" s="5" t="n">
        <v>239355.89</v>
      </c>
      <c r="D436" s="5" t="n">
        <v>239355.89</v>
      </c>
      <c r="E436" s="2" t="inlineStr">
        <is>
          <t>Andalucía</t>
        </is>
      </c>
      <c r="F436" s="2" t="inlineStr">
        <is>
          <t>Cádiz</t>
        </is>
      </c>
      <c r="G436" s="2" t="inlineStr">
        <is>
          <t>CÁDIZ</t>
        </is>
      </c>
      <c r="H436" s="2" t="inlineStr">
        <is>
          <t>Presidencia de la Autoridad Portuaria de la Bahía de Cádiz</t>
        </is>
      </c>
      <c r="I436" s="2" t="inlineStr">
        <is>
          <t>Pavimentación de parcela destinada a aparcamiento de vehículos pesados, situada en el muelle de Levante en la anterior ubicación de los locales 200, en el recinto portuario de Cádiz (CA-034-25)</t>
        </is>
      </c>
      <c r="J436" s="2" t="inlineStr">
        <is>
          <t>493/2025</t>
        </is>
      </c>
      <c r="K436" s="2" t="inlineStr">
        <is>
          <t>Abierto simplificado</t>
        </is>
      </c>
      <c r="L436" s="6" t="n">
        <v>3</v>
      </c>
      <c r="M436" s="2" t="inlineStr">
        <is>
          <t>G6-2</t>
        </is>
      </c>
      <c r="N436" s="7" t="n">
        <v>0.25</v>
      </c>
      <c r="O436" s="4" t="n"/>
      <c r="P436" s="2" t="inlineStr">
        <is>
          <t>45233222; 45262520; 45233221; 45262300; 45232130; 45316100</t>
        </is>
      </c>
      <c r="Q436" s="8" t="inlineStr">
        <is>
          <t>Ver</t>
        </is>
      </c>
      <c r="R436" s="8" t="inlineStr">
        <is>
          <t>PCAP</t>
        </is>
      </c>
      <c r="S436" s="9" t="n">
        <v>46322</v>
      </c>
      <c r="T436" s="3" t="n">
        <v>46321.53108796296</v>
      </c>
      <c r="U436" s="2" t="n"/>
    </row>
    <row r="437">
      <c r="A437" s="2" t="inlineStr">
        <is>
          <t>En plazo</t>
        </is>
      </c>
      <c r="B437" s="3" t="n">
        <v>46335.99930555555</v>
      </c>
      <c r="C437" s="5" t="n">
        <v>41669.83</v>
      </c>
      <c r="D437" s="5" t="n">
        <v>41669.83</v>
      </c>
      <c r="E437" s="2" t="inlineStr">
        <is>
          <t>Andalucía</t>
        </is>
      </c>
      <c r="F437" s="2" t="inlineStr">
        <is>
          <t>Sevilla</t>
        </is>
      </c>
      <c r="G437" s="2" t="n"/>
      <c r="H437" s="2" t="inlineStr">
        <is>
          <t>Alcaldía del Ayuntamiento de Castilleja de Guzmán</t>
        </is>
      </c>
      <c r="I437" s="2" t="inlineStr">
        <is>
          <t>Ejecución de obras para acceso y zona verde Campo de fútbol municipal de Castilleja de Guzmán.</t>
        </is>
      </c>
      <c r="J437" s="2" t="inlineStr">
        <is>
          <t>P4102800B-2026/000143-PAAB</t>
        </is>
      </c>
      <c r="K437" s="2" t="inlineStr">
        <is>
          <t>Abierto simplificado</t>
        </is>
      </c>
      <c r="L437" s="6" t="n">
        <v>2</v>
      </c>
      <c r="M437" s="2" t="n"/>
      <c r="N437" s="7" t="n">
        <v>0</v>
      </c>
      <c r="O437" s="4" t="n"/>
      <c r="P437" s="2" t="inlineStr">
        <is>
          <t>45000000</t>
        </is>
      </c>
      <c r="Q437" s="8" t="inlineStr">
        <is>
          <t>Ver</t>
        </is>
      </c>
      <c r="R437" s="8" t="inlineStr">
        <is>
          <t>PCAP</t>
        </is>
      </c>
      <c r="S437" s="9" t="n">
        <v>46322</v>
      </c>
      <c r="T437" s="3" t="n">
        <v>46321.53072916667</v>
      </c>
      <c r="U437" s="2" t="n"/>
    </row>
    <row r="438">
      <c r="A438" s="2" t="inlineStr">
        <is>
          <t>En plazo</t>
        </is>
      </c>
      <c r="B438" s="3" t="n">
        <v>46335.99930555555</v>
      </c>
      <c r="C438" s="5" t="n">
        <v>78380.96000000001</v>
      </c>
      <c r="D438" s="5" t="n">
        <v>78380.96000000001</v>
      </c>
      <c r="E438" s="2" t="inlineStr">
        <is>
          <t>Andalucía</t>
        </is>
      </c>
      <c r="F438" s="2" t="inlineStr">
        <is>
          <t>Granada</t>
        </is>
      </c>
      <c r="G438" s="2" t="inlineStr">
        <is>
          <t>Valderrubio</t>
        </is>
      </c>
      <c r="H438" s="2" t="inlineStr">
        <is>
          <t>Alcaldía del Ayuntamiento de Valderrubio</t>
        </is>
      </c>
      <c r="I438" s="2" t="inlineStr">
        <is>
          <t>Instalación de ventilación de la pista polideportiva cubierta de Valderrubio, perteneciente a la Fase 2 del Proyecto de instalaciones y actividad de pista deportiva cubierta en dos fases.</t>
        </is>
      </c>
      <c r="J438" s="2" t="inlineStr">
        <is>
          <t>1446/2026</t>
        </is>
      </c>
      <c r="K438" s="2" t="inlineStr">
        <is>
          <t>Abierto simplificado</t>
        </is>
      </c>
      <c r="L438" s="6" t="n">
        <v>1</v>
      </c>
      <c r="M438" s="2" t="n"/>
      <c r="N438" s="7" t="n">
        <v>0</v>
      </c>
      <c r="O438" s="4" t="n"/>
      <c r="P438" s="2" t="inlineStr">
        <is>
          <t>45212100; 45212200</t>
        </is>
      </c>
      <c r="Q438" s="8" t="inlineStr">
        <is>
          <t>Ver</t>
        </is>
      </c>
      <c r="R438" s="8" t="inlineStr">
        <is>
          <t>PCAP</t>
        </is>
      </c>
      <c r="S438" s="9" t="n">
        <v>46317</v>
      </c>
      <c r="T438" s="3" t="n">
        <v>46321.53027777778</v>
      </c>
      <c r="U438" s="2" t="n"/>
    </row>
    <row r="439">
      <c r="A439" s="2" t="inlineStr">
        <is>
          <t>Pendiente de adjudicación</t>
        </is>
      </c>
      <c r="B439" s="3" t="n">
        <v>46308.99930555555</v>
      </c>
      <c r="C439" s="5" t="n">
        <v>85289.25</v>
      </c>
      <c r="D439" s="5" t="n">
        <v>85289.25</v>
      </c>
      <c r="E439" s="2" t="inlineStr">
        <is>
          <t>Andalucía</t>
        </is>
      </c>
      <c r="F439" s="2" t="inlineStr">
        <is>
          <t>Granada</t>
        </is>
      </c>
      <c r="G439" s="2" t="inlineStr">
        <is>
          <t>Huétor de Santillán</t>
        </is>
      </c>
      <c r="H439" s="2" t="inlineStr">
        <is>
          <t>Alcaldía del Ayuntamiento Huétor Santillán</t>
        </is>
      </c>
      <c r="I439" s="2" t="inlineStr">
        <is>
          <t>Obras de «Pavimentación y mejora en un tramo de la Avenida Puente nuevo»,</t>
        </is>
      </c>
      <c r="J439" s="2" t="inlineStr">
        <is>
          <t>145/2026/1</t>
        </is>
      </c>
      <c r="K439" s="2" t="inlineStr">
        <is>
          <t>Abierto simplificado</t>
        </is>
      </c>
      <c r="L439" s="6" t="n">
        <v>3</v>
      </c>
      <c r="M439" s="2" t="n"/>
      <c r="N439" s="7" t="n">
        <v>0</v>
      </c>
      <c r="O439" s="4" t="n"/>
      <c r="P439" s="2" t="inlineStr">
        <is>
          <t>45233222; 45231300; 45232151; 45232150</t>
        </is>
      </c>
      <c r="Q439" s="8" t="inlineStr">
        <is>
          <t>Ver</t>
        </is>
      </c>
      <c r="R439" s="8" t="inlineStr">
        <is>
          <t>PCAP</t>
        </is>
      </c>
      <c r="S439" s="9" t="n">
        <v>46322</v>
      </c>
      <c r="T439" s="3" t="n">
        <v>46321.52921296296</v>
      </c>
      <c r="U439" s="2" t="n"/>
    </row>
    <row r="440">
      <c r="A440" s="2" t="inlineStr">
        <is>
          <t>En plazo</t>
        </is>
      </c>
      <c r="B440" s="3" t="n">
        <v>46342.41666666666</v>
      </c>
      <c r="C440" s="5" t="n">
        <v>538193.71</v>
      </c>
      <c r="D440" s="5" t="n">
        <v>538193.71</v>
      </c>
      <c r="E440" s="2" t="inlineStr">
        <is>
          <t>Andalucía</t>
        </is>
      </c>
      <c r="F440" s="2" t="inlineStr">
        <is>
          <t>Cádiz</t>
        </is>
      </c>
      <c r="G440" s="2" t="inlineStr">
        <is>
          <t>Cádiz</t>
        </is>
      </c>
      <c r="H440" s="2" t="inlineStr">
        <is>
          <t>Junta de Gobierno del Ayuntamiento de Cádiz</t>
        </is>
      </c>
      <c r="I440" s="2" t="inlineStr">
        <is>
          <t>Urbanización calle Juan de la Cierva, Dársena y Fernández Cossío, a implementar en el PAI de Cádiz, Europa transforma nuestros barrios, cofinanciado por la unión europea a través del fondo europeo de desarrollo regional FEDER en el marco del programa plurirregional de España 2021-2027</t>
        </is>
      </c>
      <c r="J440" s="2" t="inlineStr">
        <is>
          <t>2026/143</t>
        </is>
      </c>
      <c r="K440" s="2" t="inlineStr">
        <is>
          <t>Abierto simplificado</t>
        </is>
      </c>
      <c r="L440" s="6" t="n">
        <v>5</v>
      </c>
      <c r="M440" s="2" t="inlineStr">
        <is>
          <t>G6-3</t>
        </is>
      </c>
      <c r="N440" s="7" t="n">
        <v>0</v>
      </c>
      <c r="O440" s="4" t="n"/>
      <c r="P440" s="2" t="inlineStr">
        <is>
          <t>45233140; 45232400</t>
        </is>
      </c>
      <c r="Q440" s="8" t="inlineStr">
        <is>
          <t>Ver</t>
        </is>
      </c>
      <c r="R440" s="8" t="inlineStr">
        <is>
          <t>PCAP</t>
        </is>
      </c>
      <c r="S440" s="9" t="n">
        <v>46321</v>
      </c>
      <c r="T440" s="3" t="n">
        <v>46321.52765046297</v>
      </c>
      <c r="U440" s="2" t="inlineStr">
        <is>
          <t>2026-10-27: plazo 2026-11-13 10:00 → 2026-11-16 10:00</t>
        </is>
      </c>
    </row>
    <row r="441">
      <c r="A441" s="2" t="inlineStr">
        <is>
          <t>Resuelta</t>
        </is>
      </c>
      <c r="B441" s="3" t="n">
        <v>45509.58333333334</v>
      </c>
      <c r="C441" s="5" t="n">
        <v>86769.77</v>
      </c>
      <c r="D441" s="5" t="n">
        <v>86769.77</v>
      </c>
      <c r="E441" s="2" t="inlineStr">
        <is>
          <t>Andalucía</t>
        </is>
      </c>
      <c r="F441" s="2" t="inlineStr">
        <is>
          <t>Sevilla</t>
        </is>
      </c>
      <c r="G441" s="2" t="n"/>
      <c r="H441" s="2" t="inlineStr">
        <is>
          <t>Órganos Directivos del Ayuntamiento de Sevilla</t>
        </is>
      </c>
      <c r="I441" s="2" t="inlineStr">
        <is>
          <t>Proyecto de mejora de espacio libre entre las calles Telémaco, Antinoo, Argos y Laerte.</t>
        </is>
      </c>
      <c r="J441" s="2" t="inlineStr">
        <is>
          <t>2023/001132</t>
        </is>
      </c>
      <c r="K441" s="2" t="inlineStr">
        <is>
          <t>Abierto simplificado</t>
        </is>
      </c>
      <c r="L441" s="6" t="n">
        <v>2</v>
      </c>
      <c r="M441" s="2" t="n"/>
      <c r="N441" s="7" t="n">
        <v>0</v>
      </c>
      <c r="O441" s="4" t="n"/>
      <c r="P441" s="2" t="inlineStr">
        <is>
          <t>45212140; 45233200; 45111000</t>
        </is>
      </c>
      <c r="Q441" s="8" t="inlineStr">
        <is>
          <t>Ver</t>
        </is>
      </c>
      <c r="R441" s="8" t="inlineStr">
        <is>
          <t>PCAP</t>
        </is>
      </c>
      <c r="S441" s="9" t="n">
        <v>46322</v>
      </c>
      <c r="T441" s="3" t="n">
        <v>46321.5269675926</v>
      </c>
      <c r="U441" s="2" t="n"/>
    </row>
    <row r="442">
      <c r="A442" s="2" t="inlineStr">
        <is>
          <t>Pendiente de adjudicación</t>
        </is>
      </c>
      <c r="B442" s="3" t="n">
        <v>46349.99930555555</v>
      </c>
      <c r="C442" s="5" t="n">
        <v>132231.41</v>
      </c>
      <c r="D442" s="5" t="n">
        <v>132231.41</v>
      </c>
      <c r="E442" s="2" t="inlineStr">
        <is>
          <t>Andalucía</t>
        </is>
      </c>
      <c r="F442" s="2" t="inlineStr">
        <is>
          <t>Málaga</t>
        </is>
      </c>
      <c r="G442" s="2" t="n"/>
      <c r="H442" s="2" t="inlineStr">
        <is>
          <t>Alcaldía del Ayuntamiento de Ronda</t>
        </is>
      </c>
      <c r="I442" s="2" t="inlineStr">
        <is>
          <t>C. Obras. Modificado de Proyecto de Mejora, Adecuación Integral y puesta en valor de los jardines anexos al patio mudéjar del Palacio de Mondragón.</t>
        </is>
      </c>
      <c r="J442" s="2" t="inlineStr">
        <is>
          <t>18317/2026</t>
        </is>
      </c>
      <c r="K442" s="2" t="inlineStr">
        <is>
          <t>Negociado sin publicidad</t>
        </is>
      </c>
      <c r="L442" s="6" t="n">
        <v>4</v>
      </c>
      <c r="M442" s="2" t="inlineStr">
        <is>
          <t>K7-1</t>
        </is>
      </c>
      <c r="N442" s="7" t="n">
        <v>0</v>
      </c>
      <c r="O442" s="4" t="n"/>
      <c r="P442" s="2" t="inlineStr">
        <is>
          <t>45000000; 45454000; 45454100</t>
        </is>
      </c>
      <c r="Q442" s="8" t="inlineStr">
        <is>
          <t>Ver</t>
        </is>
      </c>
      <c r="R442" s="8" t="inlineStr">
        <is>
          <t>PCAP</t>
        </is>
      </c>
      <c r="S442" s="9" t="n">
        <v>46322</v>
      </c>
      <c r="T442" s="3" t="n">
        <v>46321.52460648148</v>
      </c>
      <c r="U442" s="2" t="n"/>
    </row>
    <row r="443">
      <c r="A443" s="2" t="inlineStr">
        <is>
          <t>Resuelta</t>
        </is>
      </c>
      <c r="B443" s="3" t="n">
        <v>46252.41666666666</v>
      </c>
      <c r="C443" s="5" t="n">
        <v>370195.86</v>
      </c>
      <c r="D443" s="5" t="n">
        <v>370195.86</v>
      </c>
      <c r="E443" s="2" t="inlineStr">
        <is>
          <t>Andalucía</t>
        </is>
      </c>
      <c r="F443" s="2" t="inlineStr">
        <is>
          <t>Cádiz</t>
        </is>
      </c>
      <c r="G443" s="2" t="inlineStr">
        <is>
          <t>Cádiz</t>
        </is>
      </c>
      <c r="H443" s="2" t="inlineStr">
        <is>
          <t>Junta de Gobierno del Ayuntamiento de Cádiz</t>
        </is>
      </c>
      <c r="I443" s="2" t="inlineStr">
        <is>
          <t>Señalización Horizontal en la Ciudad de Cádiz.</t>
        </is>
      </c>
      <c r="J443" s="2" t="inlineStr">
        <is>
          <t>2026/087</t>
        </is>
      </c>
      <c r="K443" s="2" t="inlineStr">
        <is>
          <t>Abierto simplificado</t>
        </is>
      </c>
      <c r="L443" s="6" t="n">
        <v>6</v>
      </c>
      <c r="M443" s="2" t="n"/>
      <c r="N443" s="7" t="n">
        <v>0</v>
      </c>
      <c r="O443" s="4" t="n"/>
      <c r="P443" s="2" t="inlineStr">
        <is>
          <t>45233221</t>
        </is>
      </c>
      <c r="Q443" s="8" t="inlineStr">
        <is>
          <t>Ver</t>
        </is>
      </c>
      <c r="R443" s="8" t="inlineStr">
        <is>
          <t>PCAP</t>
        </is>
      </c>
      <c r="S443" s="9" t="n">
        <v>46310</v>
      </c>
      <c r="T443" s="3" t="n">
        <v>46321.51872685185</v>
      </c>
      <c r="U443" s="2" t="inlineStr">
        <is>
          <t>2026-10-27: estado ADJ → RES</t>
        </is>
      </c>
    </row>
    <row r="444">
      <c r="A444" s="2" t="inlineStr">
        <is>
          <t>Resuelta</t>
        </is>
      </c>
      <c r="B444" s="3" t="n">
        <v>45607.99930555555</v>
      </c>
      <c r="C444" s="5" t="n">
        <v>179174.31</v>
      </c>
      <c r="D444" s="5" t="n">
        <v>179174.31</v>
      </c>
      <c r="E444" s="2" t="inlineStr">
        <is>
          <t>Andalucía</t>
        </is>
      </c>
      <c r="F444" s="2" t="inlineStr">
        <is>
          <t>Sevilla</t>
        </is>
      </c>
      <c r="G444" s="2" t="inlineStr">
        <is>
          <t>Sevilla</t>
        </is>
      </c>
      <c r="H444" s="2" t="inlineStr">
        <is>
          <t>Junta de Gobierno del Ayuntamiento de Sevilla</t>
        </is>
      </c>
      <c r="I444" s="2" t="inlineStr">
        <is>
          <t>Proyecto de mejoras en el espacio existente entre las calles Ontur y Jesús del Divino Perdón en el Distrito Este-Alcosa-Torreblanca</t>
        </is>
      </c>
      <c r="J444" s="2" t="inlineStr">
        <is>
          <t>2024/000830</t>
        </is>
      </c>
      <c r="K444" s="2" t="inlineStr">
        <is>
          <t>Abierto simplificado</t>
        </is>
      </c>
      <c r="L444" s="6" t="n">
        <v>24</v>
      </c>
      <c r="M444" s="2" t="n"/>
      <c r="N444" s="7" t="n">
        <v>0</v>
      </c>
      <c r="O444" s="4" t="n"/>
      <c r="P444" s="2" t="inlineStr">
        <is>
          <t>45111000; 45233200; 45212172</t>
        </is>
      </c>
      <c r="Q444" s="8" t="inlineStr">
        <is>
          <t>Ver</t>
        </is>
      </c>
      <c r="R444" s="8" t="inlineStr">
        <is>
          <t>PCAP</t>
        </is>
      </c>
      <c r="S444" s="9" t="n">
        <v>46322</v>
      </c>
      <c r="T444" s="3" t="n">
        <v>46321.51710648148</v>
      </c>
      <c r="U444" s="2" t="n"/>
    </row>
    <row r="445">
      <c r="A445" s="2" t="inlineStr">
        <is>
          <t>Resuelta</t>
        </is>
      </c>
      <c r="B445" s="3" t="n">
        <v>46197.99930555555</v>
      </c>
      <c r="C445" s="5" t="n">
        <v>712760.24</v>
      </c>
      <c r="D445" s="5" t="n">
        <v>712760.24</v>
      </c>
      <c r="E445" s="2" t="inlineStr">
        <is>
          <t>Andalucía</t>
        </is>
      </c>
      <c r="F445" s="2" t="inlineStr">
        <is>
          <t>Sevilla</t>
        </is>
      </c>
      <c r="G445" s="2" t="n"/>
      <c r="H445" s="2" t="inlineStr">
        <is>
          <t>Junta de Gobierno del Ayuntamiento de Villamanrique de la Condesa</t>
        </is>
      </c>
      <c r="I445" s="2" t="inlineStr">
        <is>
          <t>Renovación y Mejora del Complejo Polideportivo Municipal.</t>
        </is>
      </c>
      <c r="J445" s="2" t="inlineStr">
        <is>
          <t>624/2026</t>
        </is>
      </c>
      <c r="K445" s="2" t="inlineStr">
        <is>
          <t>Abierto simplificado</t>
        </is>
      </c>
      <c r="L445" s="6" t="n">
        <v>6</v>
      </c>
      <c r="M445" s="2" t="n"/>
      <c r="N445" s="7" t="n">
        <v>0</v>
      </c>
      <c r="O445" s="4" t="n">
        <v>3</v>
      </c>
      <c r="P445" s="2" t="inlineStr">
        <is>
          <t>45212220; 45200000</t>
        </is>
      </c>
      <c r="Q445" s="8" t="inlineStr">
        <is>
          <t>Ver</t>
        </is>
      </c>
      <c r="R445" s="8" t="inlineStr">
        <is>
          <t>PCAP</t>
        </is>
      </c>
      <c r="S445" s="9" t="n">
        <v>46310</v>
      </c>
      <c r="T445" s="3" t="n">
        <v>46321.51658564815</v>
      </c>
      <c r="U445" s="2" t="inlineStr">
        <is>
          <t>2026-10-27: estado ADJ → RES</t>
        </is>
      </c>
    </row>
    <row r="446">
      <c r="A446" s="2" t="inlineStr">
        <is>
          <t>Pendiente de adjudicación</t>
        </is>
      </c>
      <c r="B446" s="3" t="n">
        <v>46318.99930555555</v>
      </c>
      <c r="C446" s="5" t="n">
        <v>3018964.07</v>
      </c>
      <c r="D446" s="5" t="n">
        <v>3924653.29</v>
      </c>
      <c r="E446" s="2" t="inlineStr">
        <is>
          <t>Comunitat Valenciana</t>
        </is>
      </c>
      <c r="F446" s="2" t="inlineStr">
        <is>
          <t>Alicante</t>
        </is>
      </c>
      <c r="G446" s="2" t="inlineStr">
        <is>
          <t>ELCHE</t>
        </is>
      </c>
      <c r="H446" s="2" t="inlineStr">
        <is>
          <t>Departamento de Salud de Elche. Dirección Económica-Gerencia</t>
        </is>
      </c>
      <c r="I446" s="2" t="inlineStr">
        <is>
          <t>Obras de reforma integral de la Unidad de Cuidados Intensivos (Uci) del Hospital General Universitario de Elche</t>
        </is>
      </c>
      <c r="J446" s="2" t="inlineStr">
        <is>
          <t>PA 428/2026</t>
        </is>
      </c>
      <c r="K446" s="2" t="inlineStr">
        <is>
          <t>Abierto</t>
        </is>
      </c>
      <c r="L446" s="6" t="n">
        <v>16</v>
      </c>
      <c r="M446" s="2" t="inlineStr">
        <is>
          <t>J2-4</t>
        </is>
      </c>
      <c r="N446" s="7" t="n">
        <v>0</v>
      </c>
      <c r="O446" s="4" t="n"/>
      <c r="P446" s="2" t="inlineStr">
        <is>
          <t>45215140; 45215142</t>
        </is>
      </c>
      <c r="Q446" s="8" t="inlineStr">
        <is>
          <t>Ver</t>
        </is>
      </c>
      <c r="R446" s="8" t="inlineStr">
        <is>
          <t>PCAP</t>
        </is>
      </c>
      <c r="S446" s="9" t="n">
        <v>46310</v>
      </c>
      <c r="T446" s="3" t="n">
        <v>46321.51640046296</v>
      </c>
      <c r="U446" s="2" t="inlineStr">
        <is>
          <t>2026-10-27: estado PUB → EV</t>
        </is>
      </c>
    </row>
    <row r="447">
      <c r="A447" s="2" t="inlineStr">
        <is>
          <t>Resuelta</t>
        </is>
      </c>
      <c r="B447" s="3" t="n">
        <v>46302.99930555555</v>
      </c>
      <c r="C447" s="5" t="n">
        <v>104499.78</v>
      </c>
      <c r="D447" s="5" t="n">
        <v>1044499.78</v>
      </c>
      <c r="E447" s="2" t="inlineStr">
        <is>
          <t>Comunitat Valenciana</t>
        </is>
      </c>
      <c r="F447" s="2" t="inlineStr">
        <is>
          <t>Valencia</t>
        </is>
      </c>
      <c r="G447" s="2" t="inlineStr">
        <is>
          <t>Yátova</t>
        </is>
      </c>
      <c r="H447" s="2" t="inlineStr">
        <is>
          <t>Alcaldía del Ayuntamiento de Yátova</t>
        </is>
      </c>
      <c r="I447" s="2" t="inlineStr">
        <is>
          <t>Obras de reforma de los acabados dañados por la DANA en el interior de las viviendas municipales situadas en calle German Burriel de Yátova</t>
        </is>
      </c>
      <c r="J447" s="2" t="inlineStr">
        <is>
          <t>681/2026</t>
        </is>
      </c>
      <c r="K447" s="2" t="inlineStr">
        <is>
          <t>Negociado sin publicidad</t>
        </is>
      </c>
      <c r="L447" s="6" t="n">
        <v>3</v>
      </c>
      <c r="M447" s="2" t="n"/>
      <c r="N447" s="7" t="n"/>
      <c r="O447" s="4" t="n"/>
      <c r="P447" s="2" t="inlineStr">
        <is>
          <t>45262520; 45211000</t>
        </is>
      </c>
      <c r="Q447" s="8" t="inlineStr">
        <is>
          <t>Ver</t>
        </is>
      </c>
      <c r="R447" s="8" t="inlineStr">
        <is>
          <t>PCAP</t>
        </is>
      </c>
      <c r="S447" s="9" t="n">
        <v>46322</v>
      </c>
      <c r="T447" s="3" t="n">
        <v>46321.5128125</v>
      </c>
      <c r="U447" s="2" t="n"/>
    </row>
    <row r="448">
      <c r="A448" s="2" t="inlineStr">
        <is>
          <t>Pendiente de adjudicación</t>
        </is>
      </c>
      <c r="B448" s="3" t="n">
        <v>46260.75</v>
      </c>
      <c r="C448" s="5" t="n">
        <v>937784.38</v>
      </c>
      <c r="D448" s="5" t="n">
        <v>937784.38</v>
      </c>
      <c r="E448" s="2" t="inlineStr">
        <is>
          <t>Andalucía</t>
        </is>
      </c>
      <c r="F448" s="2" t="inlineStr">
        <is>
          <t>Córdoba</t>
        </is>
      </c>
      <c r="G448" s="2" t="inlineStr">
        <is>
          <t>Córdoba</t>
        </is>
      </c>
      <c r="H448" s="2" t="inlineStr">
        <is>
          <t>Presidencia del Consejo de Administración de la Empresa Provincial de Aguas de Córdoba S.A.</t>
        </is>
      </c>
      <c r="I448" s="2" t="inlineStr">
        <is>
          <t>Obra para la Reparación y Adecuación de Depósitos de Abastecimiento de Agua en Zona Norte</t>
        </is>
      </c>
      <c r="J448" s="2" t="inlineStr">
        <is>
          <t>CC 47/2026</t>
        </is>
      </c>
      <c r="K448" s="2" t="inlineStr">
        <is>
          <t>Abierto</t>
        </is>
      </c>
      <c r="L448" s="6" t="n">
        <v>12</v>
      </c>
      <c r="M448" s="2" t="inlineStr">
        <is>
          <t>E1-4</t>
        </is>
      </c>
      <c r="N448" s="7" t="n">
        <v>0.5</v>
      </c>
      <c r="O448" s="4" t="n"/>
      <c r="P448" s="2" t="inlineStr">
        <is>
          <t>45240000</t>
        </is>
      </c>
      <c r="Q448" s="8" t="inlineStr">
        <is>
          <t>Ver</t>
        </is>
      </c>
      <c r="R448" s="8" t="inlineStr">
        <is>
          <t>PCAP</t>
        </is>
      </c>
      <c r="S448" s="9" t="n">
        <v>46318</v>
      </c>
      <c r="T448" s="3" t="n">
        <v>46321.50795138889</v>
      </c>
      <c r="U448" s="2" t="n"/>
    </row>
    <row r="449">
      <c r="A449" s="2" t="inlineStr">
        <is>
          <t>Resuelta</t>
        </is>
      </c>
      <c r="B449" s="3" t="n">
        <v>46276.99930555555</v>
      </c>
      <c r="C449" s="5" t="n">
        <v>177700</v>
      </c>
      <c r="D449" s="5" t="n">
        <v>177700</v>
      </c>
      <c r="E449" s="2" t="inlineStr">
        <is>
          <t>Andalucía</t>
        </is>
      </c>
      <c r="F449" s="2" t="inlineStr">
        <is>
          <t>Granada</t>
        </is>
      </c>
      <c r="G449" s="2" t="inlineStr">
        <is>
          <t>GOR (Granada).</t>
        </is>
      </c>
      <c r="H449" s="2" t="inlineStr">
        <is>
          <t>Alcaldía del Ayuntamiento de Gor</t>
        </is>
      </c>
      <c r="I449" s="2" t="inlineStr">
        <is>
          <t>Asfaltado del Camino Vereda de los Balcones, en el término municipal de GOR (Granada)</t>
        </is>
      </c>
      <c r="J449" s="2" t="inlineStr">
        <is>
          <t>50/2026 II</t>
        </is>
      </c>
      <c r="K449" s="2" t="inlineStr">
        <is>
          <t>Abierto</t>
        </is>
      </c>
      <c r="L449" s="6" t="n">
        <v>3</v>
      </c>
      <c r="M449" s="2" t="n"/>
      <c r="N449" s="7" t="n">
        <v>0</v>
      </c>
      <c r="O449" s="4" t="n"/>
      <c r="P449" s="2" t="inlineStr">
        <is>
          <t>45233222; 44113620</t>
        </is>
      </c>
      <c r="Q449" s="8" t="inlineStr">
        <is>
          <t>Ver</t>
        </is>
      </c>
      <c r="R449" s="8" t="inlineStr">
        <is>
          <t>PCAP</t>
        </is>
      </c>
      <c r="S449" s="9" t="n">
        <v>46322</v>
      </c>
      <c r="T449" s="3" t="n">
        <v>46321.50755787037</v>
      </c>
      <c r="U449" s="2" t="n"/>
    </row>
    <row r="450">
      <c r="A450" s="2" t="inlineStr">
        <is>
          <t>Adjudicada</t>
        </is>
      </c>
      <c r="B450" s="3" t="n">
        <v>46289.41666666666</v>
      </c>
      <c r="C450" s="5" t="n">
        <v>68340.03</v>
      </c>
      <c r="D450" s="5" t="n">
        <v>68340.03</v>
      </c>
      <c r="E450" s="2" t="inlineStr">
        <is>
          <t>Andalucía</t>
        </is>
      </c>
      <c r="F450" s="2" t="inlineStr">
        <is>
          <t>Cádiz</t>
        </is>
      </c>
      <c r="G450" s="2" t="inlineStr">
        <is>
          <t>Cádiz</t>
        </is>
      </c>
      <c r="H450" s="2" t="inlineStr">
        <is>
          <t>Junta de Gobierno del Ayuntamiento de Cádiz</t>
        </is>
      </c>
      <c r="I450" s="2" t="inlineStr">
        <is>
          <t>Reformado nº 1 Proyecto de incorporación de protección solar en el CEIP Celestino Mutis</t>
        </is>
      </c>
      <c r="J450" s="2" t="inlineStr">
        <is>
          <t>2026/058</t>
        </is>
      </c>
      <c r="K450" s="2" t="inlineStr">
        <is>
          <t>Abierto simplificado</t>
        </is>
      </c>
      <c r="L450" s="6" t="n">
        <v>3</v>
      </c>
      <c r="M450" s="2" t="n"/>
      <c r="N450" s="7" t="n">
        <v>0</v>
      </c>
      <c r="O450" s="4" t="n"/>
      <c r="P450" s="2" t="inlineStr">
        <is>
          <t>45421143; 44115700</t>
        </is>
      </c>
      <c r="Q450" s="8" t="inlineStr">
        <is>
          <t>Ver</t>
        </is>
      </c>
      <c r="R450" s="8" t="inlineStr">
        <is>
          <t>PCAP</t>
        </is>
      </c>
      <c r="S450" s="9" t="n">
        <v>46322</v>
      </c>
      <c r="T450" s="3" t="n">
        <v>46321.50539351852</v>
      </c>
      <c r="U450" s="2" t="n"/>
    </row>
    <row r="451">
      <c r="A451" s="2" t="inlineStr">
        <is>
          <t>Pendiente de adjudicación</t>
        </is>
      </c>
      <c r="B451" s="3" t="n">
        <v>46268.99930555555</v>
      </c>
      <c r="C451" s="5" t="n">
        <v>231194.41</v>
      </c>
      <c r="D451" s="5" t="n">
        <v>231194.41</v>
      </c>
      <c r="E451" s="2" t="inlineStr">
        <is>
          <t>Andalucía</t>
        </is>
      </c>
      <c r="F451" s="2" t="inlineStr">
        <is>
          <t>Cádiz</t>
        </is>
      </c>
      <c r="G451" s="2" t="inlineStr">
        <is>
          <t>Los BArrios</t>
        </is>
      </c>
      <c r="H451" s="2" t="inlineStr">
        <is>
          <t>Alcaldía del Ayuntamiento de Los Barrios (Cádiz)</t>
        </is>
      </c>
      <c r="I451"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451" s="2" t="inlineStr">
        <is>
          <t>58/26</t>
        </is>
      </c>
      <c r="K451" s="2" t="inlineStr">
        <is>
          <t>Abierto simplificado</t>
        </is>
      </c>
      <c r="L451" s="6" t="n">
        <v>4</v>
      </c>
      <c r="M451" s="2" t="n"/>
      <c r="N451" s="7" t="n">
        <v>0</v>
      </c>
      <c r="O451" s="4" t="n">
        <v>3</v>
      </c>
      <c r="P451" s="2" t="inlineStr">
        <is>
          <t>45233140</t>
        </is>
      </c>
      <c r="Q451" s="8" t="inlineStr">
        <is>
          <t>Ver</t>
        </is>
      </c>
      <c r="R451" s="8" t="inlineStr">
        <is>
          <t>PCAP</t>
        </is>
      </c>
      <c r="S451" s="9" t="n">
        <v>46310</v>
      </c>
      <c r="T451" s="3" t="n">
        <v>46321.50390046297</v>
      </c>
      <c r="U451" s="2" t="n"/>
    </row>
    <row r="452">
      <c r="A452" s="2" t="inlineStr">
        <is>
          <t>Resuelta</t>
        </is>
      </c>
      <c r="B452" s="3" t="n">
        <v>45853.99930555555</v>
      </c>
      <c r="C452" s="5" t="n">
        <v>2376558.92</v>
      </c>
      <c r="D452" s="5" t="n">
        <v>2376558.92</v>
      </c>
      <c r="E452" s="2" t="inlineStr">
        <is>
          <t>Comunitat Valenciana</t>
        </is>
      </c>
      <c r="F452" s="2" t="inlineStr">
        <is>
          <t>Valencia</t>
        </is>
      </c>
      <c r="G452" s="2" t="n"/>
      <c r="H452" s="2" t="inlineStr">
        <is>
          <t>Alcaldia del Ayuntamiento de Ontinyent</t>
        </is>
      </c>
      <c r="I452" s="2" t="inlineStr">
        <is>
          <t>Contratación de las obras de "Reforma y ampliación del CEIP Vicente Gironés Mora de Ontinyent en el marco del Plan Edificant"</t>
        </is>
      </c>
      <c r="J452" s="2" t="inlineStr">
        <is>
          <t>2005463Q</t>
        </is>
      </c>
      <c r="K452" s="2" t="inlineStr">
        <is>
          <t>Abierto</t>
        </is>
      </c>
      <c r="L452" s="6" t="n">
        <v>12</v>
      </c>
      <c r="M452" s="2" t="inlineStr">
        <is>
          <t>C2-4; C3-4</t>
        </is>
      </c>
      <c r="N452" s="7" t="n">
        <v>0.25</v>
      </c>
      <c r="O452" s="4" t="n"/>
      <c r="P452" s="2" t="inlineStr">
        <is>
          <t>45000000; 45214000</t>
        </is>
      </c>
      <c r="Q452" s="8" t="inlineStr">
        <is>
          <t>Ver</t>
        </is>
      </c>
      <c r="R452" s="8" t="inlineStr">
        <is>
          <t>PCAP</t>
        </is>
      </c>
      <c r="S452" s="9" t="n">
        <v>46322</v>
      </c>
      <c r="T452" s="3" t="n">
        <v>46321.50226851852</v>
      </c>
      <c r="U452" s="2" t="n"/>
    </row>
    <row r="453">
      <c r="A453" s="2" t="inlineStr">
        <is>
          <t>En plazo</t>
        </is>
      </c>
      <c r="B453" s="3" t="n">
        <v>46336.625</v>
      </c>
      <c r="C453" s="5" t="n">
        <v>64462.81</v>
      </c>
      <c r="D453" s="5" t="n">
        <v>78000</v>
      </c>
      <c r="E453" s="2" t="inlineStr">
        <is>
          <t>Andalucía</t>
        </is>
      </c>
      <c r="F453" s="2" t="inlineStr">
        <is>
          <t>Cádiz</t>
        </is>
      </c>
      <c r="G453" s="2" t="inlineStr">
        <is>
          <t>ELA DE LA BARCA DE LA FLORIDA</t>
        </is>
      </c>
      <c r="H453" s="2" t="inlineStr">
        <is>
          <t>Presidencia de la Entidad Local Autónoma La Barca de la Florida</t>
        </is>
      </c>
      <c r="I453" s="2" t="inlineStr">
        <is>
          <t>El objeto del presente expediente de contratación es formalizar la contratación de las obras reseñadas en el proyecto ASFALTADO DE LA PLAZA JOSÉ LUIS EL PRACTICANTE - ELA LA BARCA DE LA FLORIDA</t>
        </is>
      </c>
      <c r="J453" s="2" t="inlineStr">
        <is>
          <t>2026/1</t>
        </is>
      </c>
      <c r="K453" s="2" t="inlineStr">
        <is>
          <t>Abierto</t>
        </is>
      </c>
      <c r="L453" s="6" t="n">
        <v>1</v>
      </c>
      <c r="M453" s="2" t="n"/>
      <c r="N453" s="7" t="n">
        <v>0</v>
      </c>
      <c r="O453" s="4" t="n"/>
      <c r="P453" s="2" t="inlineStr">
        <is>
          <t>45233223</t>
        </is>
      </c>
      <c r="Q453" s="8" t="inlineStr">
        <is>
          <t>Ver</t>
        </is>
      </c>
      <c r="R453" s="8" t="inlineStr">
        <is>
          <t>PCAP</t>
        </is>
      </c>
      <c r="S453" s="9" t="n">
        <v>46322</v>
      </c>
      <c r="T453" s="3" t="n">
        <v>46321.50092592592</v>
      </c>
      <c r="U453" s="2" t="n"/>
    </row>
    <row r="454">
      <c r="A454" s="2" t="inlineStr">
        <is>
          <t>Resuelta</t>
        </is>
      </c>
      <c r="B454" s="3" t="n">
        <v>46294.99930555555</v>
      </c>
      <c r="C454" s="5" t="n">
        <v>29981.19</v>
      </c>
      <c r="D454" s="5" t="n">
        <v>32979.31</v>
      </c>
      <c r="E454" s="2" t="inlineStr">
        <is>
          <t>Comunitat Valenciana</t>
        </is>
      </c>
      <c r="F454" s="2" t="inlineStr">
        <is>
          <t>Castellón</t>
        </is>
      </c>
      <c r="G454" s="2" t="inlineStr">
        <is>
          <t>Castelló de la Plana</t>
        </is>
      </c>
      <c r="H454" s="2" t="inlineStr">
        <is>
          <t>Dirección Económica del Consorcio Hospitalario Provincial de Castellón</t>
        </is>
      </c>
      <c r="I454"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454" s="2" t="inlineStr">
        <is>
          <t>CMAYOR/2026/HPC00/0737</t>
        </is>
      </c>
      <c r="K454" s="2" t="inlineStr">
        <is>
          <t>Abierto simplificado</t>
        </is>
      </c>
      <c r="L454" s="6" t="n">
        <v>2</v>
      </c>
      <c r="M454" s="2" t="n"/>
      <c r="N454" s="7" t="n">
        <v>0</v>
      </c>
      <c r="O454" s="4" t="n"/>
      <c r="P454" s="2" t="inlineStr">
        <is>
          <t>45000000; 45215140</t>
        </is>
      </c>
      <c r="Q454" s="8" t="inlineStr">
        <is>
          <t>Ver</t>
        </is>
      </c>
      <c r="R454" s="8" t="inlineStr">
        <is>
          <t>PCAP</t>
        </is>
      </c>
      <c r="S454" s="9" t="n">
        <v>46311</v>
      </c>
      <c r="T454" s="3" t="n">
        <v>46321.49725694444</v>
      </c>
      <c r="U454" s="2" t="inlineStr">
        <is>
          <t>2026-10-26: estado ADJ → RES</t>
        </is>
      </c>
    </row>
    <row r="455">
      <c r="A455" s="2" t="inlineStr">
        <is>
          <t>Pendiente de adjudicación</t>
        </is>
      </c>
      <c r="B455" s="3" t="n">
        <v>46283.99930555555</v>
      </c>
      <c r="C455" s="5" t="n">
        <v>315000</v>
      </c>
      <c r="D455" s="5" t="n">
        <v>315000</v>
      </c>
      <c r="E455" s="2" t="inlineStr">
        <is>
          <t>Andalucía</t>
        </is>
      </c>
      <c r="F455" s="2" t="inlineStr">
        <is>
          <t>Málaga</t>
        </is>
      </c>
      <c r="G455" s="2" t="inlineStr">
        <is>
          <t>Benalmádena (Málaga).</t>
        </is>
      </c>
      <c r="H455" s="2" t="inlineStr">
        <is>
          <t>Consejería delegada de ACOSOL, S.A.U.</t>
        </is>
      </c>
      <c r="I455" s="2" t="inlineStr">
        <is>
          <t>Contratación de la Obra de adecuación de las instalaciones de almacenamiento de productos químicos (APQ) de la EDAR Arroyo de la Miel, en Benalmádena (Málaga)</t>
        </is>
      </c>
      <c r="J455" s="2" t="inlineStr">
        <is>
          <t>R-18-26 (5003)</t>
        </is>
      </c>
      <c r="K455" s="2" t="inlineStr">
        <is>
          <t>Abierto</t>
        </is>
      </c>
      <c r="L455" s="6" t="n">
        <v>6</v>
      </c>
      <c r="M455" s="2" t="n"/>
      <c r="N455" s="7" t="n">
        <v>0.42</v>
      </c>
      <c r="O455" s="4" t="n"/>
      <c r="P455" s="2" t="inlineStr">
        <is>
          <t>45252100; 45252000</t>
        </is>
      </c>
      <c r="Q455" s="8" t="inlineStr">
        <is>
          <t>Ver</t>
        </is>
      </c>
      <c r="R455" s="8" t="inlineStr">
        <is>
          <t>PCAP</t>
        </is>
      </c>
      <c r="S455" s="9" t="n">
        <v>46318</v>
      </c>
      <c r="T455" s="3" t="n">
        <v>46321.49335648148</v>
      </c>
      <c r="U455" s="2" t="n"/>
    </row>
    <row r="456">
      <c r="A456" s="2" t="inlineStr">
        <is>
          <t>En plazo</t>
        </is>
      </c>
      <c r="B456" s="3" t="n">
        <v>46331.99930555555</v>
      </c>
      <c r="C456" s="5" t="n">
        <v>24793.39</v>
      </c>
      <c r="D456" s="5" t="n">
        <v>24793.39</v>
      </c>
      <c r="E456" s="2" t="inlineStr">
        <is>
          <t>Andalucía</t>
        </is>
      </c>
      <c r="F456" s="2" t="inlineStr">
        <is>
          <t>Granada</t>
        </is>
      </c>
      <c r="G456" s="2" t="n"/>
      <c r="H456" s="2" t="inlineStr">
        <is>
          <t>Alcaldía del Ayuntamiento de Atarfe</t>
        </is>
      </c>
      <c r="I456" s="2" t="inlineStr">
        <is>
          <t>Obra para la ejecución de trabajos de pintura horizontal vial.</t>
        </is>
      </c>
      <c r="J456" s="2" t="inlineStr">
        <is>
          <t>7981/2026</t>
        </is>
      </c>
      <c r="K456" s="2" t="inlineStr">
        <is>
          <t>Abierto simplificado</t>
        </is>
      </c>
      <c r="L456" s="6" t="n">
        <v>1</v>
      </c>
      <c r="M456" s="2" t="n"/>
      <c r="N456" s="7" t="n">
        <v>0</v>
      </c>
      <c r="O456" s="4" t="n"/>
      <c r="P456" s="2" t="inlineStr">
        <is>
          <t>45233221; 44811000</t>
        </is>
      </c>
      <c r="Q456" s="8" t="inlineStr">
        <is>
          <t>Ver</t>
        </is>
      </c>
      <c r="R456" s="8" t="inlineStr">
        <is>
          <t>PCAP</t>
        </is>
      </c>
      <c r="S456" s="9" t="n">
        <v>46322</v>
      </c>
      <c r="T456" s="3" t="n">
        <v>46321.49070601852</v>
      </c>
      <c r="U456" s="2" t="n"/>
    </row>
    <row r="457">
      <c r="A457" s="2" t="inlineStr">
        <is>
          <t>En plazo</t>
        </is>
      </c>
      <c r="B457" s="3" t="n">
        <v>46335.99930555555</v>
      </c>
      <c r="C457" s="5" t="n">
        <v>19421.49</v>
      </c>
      <c r="D457" s="5" t="n">
        <v>19421.49</v>
      </c>
      <c r="E457" s="2" t="inlineStr">
        <is>
          <t>Comunitat Valenciana</t>
        </is>
      </c>
      <c r="F457" s="2" t="inlineStr">
        <is>
          <t>Alicante</t>
        </is>
      </c>
      <c r="G457" s="2" t="n"/>
      <c r="H457" s="2" t="inlineStr">
        <is>
          <t>Presidencia de la Diputación Provincial de Alicante</t>
        </is>
      </c>
      <c r="I457" s="2" t="inlineStr">
        <is>
          <t>Obras de restauración de zona degradada por vertido incontrolado de residuos en parcela Avd. Llometes, TM de Tibi (Alicante)</t>
        </is>
      </c>
      <c r="J457" s="2" t="inlineStr">
        <is>
          <t>O4SS-152/2026</t>
        </is>
      </c>
      <c r="K457" s="2" t="inlineStr">
        <is>
          <t>Abierto simplificado</t>
        </is>
      </c>
      <c r="L457" s="6" t="n">
        <v>1</v>
      </c>
      <c r="M457" s="2" t="n"/>
      <c r="N457" s="7" t="n">
        <v>0</v>
      </c>
      <c r="O457" s="4" t="n"/>
      <c r="P457" s="2" t="inlineStr">
        <is>
          <t>45111213</t>
        </is>
      </c>
      <c r="Q457" s="8" t="inlineStr">
        <is>
          <t>Ver</t>
        </is>
      </c>
      <c r="R457" s="8" t="inlineStr">
        <is>
          <t>PCAP</t>
        </is>
      </c>
      <c r="S457" s="9" t="n">
        <v>46322</v>
      </c>
      <c r="T457" s="3" t="n">
        <v>46321.4891087963</v>
      </c>
      <c r="U457" s="2" t="n"/>
    </row>
    <row r="458">
      <c r="A458" s="2" t="inlineStr">
        <is>
          <t>Pendiente de adjudicación</t>
        </is>
      </c>
      <c r="B458" s="3" t="n">
        <v>46308.99930555555</v>
      </c>
      <c r="C458" s="5" t="n">
        <v>225128.95</v>
      </c>
      <c r="D458" s="5" t="n">
        <v>247641.85</v>
      </c>
      <c r="E458" s="2" t="inlineStr">
        <is>
          <t>Comunitat Valenciana</t>
        </is>
      </c>
      <c r="F458" s="2" t="inlineStr">
        <is>
          <t>Valencia</t>
        </is>
      </c>
      <c r="G458" s="2" t="inlineStr">
        <is>
          <t>Valencia</t>
        </is>
      </c>
      <c r="H458" s="2" t="inlineStr">
        <is>
          <t>Departamento de Salud Valencia Dr. Peset. Dirección Económica-Gerencia</t>
        </is>
      </c>
      <c r="I458" s="2" t="inlineStr">
        <is>
          <t>Obras para el Departamento de Salud Valencia Doctor Peset, con condiciones especiales de ejecución de carácter ambiental. 2 Lotes.</t>
        </is>
      </c>
      <c r="J458" s="2" t="inlineStr">
        <is>
          <t>PAS 1099/2026</t>
        </is>
      </c>
      <c r="K458" s="2" t="inlineStr">
        <is>
          <t>Abierto simplificado</t>
        </is>
      </c>
      <c r="L458" s="6" t="n">
        <v>3</v>
      </c>
      <c r="M458" s="2" t="n"/>
      <c r="N458" s="7" t="n">
        <v>0.25</v>
      </c>
      <c r="O458" s="4" t="n">
        <v>2</v>
      </c>
      <c r="P458" s="2" t="inlineStr">
        <is>
          <t>45215100; 45215140; 45331200; 45330000</t>
        </is>
      </c>
      <c r="Q458" s="8" t="inlineStr">
        <is>
          <t>Ver</t>
        </is>
      </c>
      <c r="R458" s="8" t="inlineStr">
        <is>
          <t>PCAP</t>
        </is>
      </c>
      <c r="S458" s="9" t="n">
        <v>46310</v>
      </c>
      <c r="T458" s="3" t="n">
        <v>46321.48858796297</v>
      </c>
      <c r="U458" s="2" t="inlineStr">
        <is>
          <t>2026-10-27: estado PUB → EV</t>
        </is>
      </c>
    </row>
    <row r="459">
      <c r="A459" s="2" t="inlineStr">
        <is>
          <t>Resuelta</t>
        </is>
      </c>
      <c r="B459" s="3" t="n">
        <v>46300.45833333334</v>
      </c>
      <c r="C459" s="5" t="n">
        <v>38933.88</v>
      </c>
      <c r="D459" s="5" t="n">
        <v>38933.88</v>
      </c>
      <c r="E459" s="2" t="inlineStr">
        <is>
          <t>Comunitat Valenciana</t>
        </is>
      </c>
      <c r="F459" s="2" t="inlineStr">
        <is>
          <t>Castellón</t>
        </is>
      </c>
      <c r="G459" s="2" t="inlineStr">
        <is>
          <t>Grao de Castellón</t>
        </is>
      </c>
      <c r="H459" s="2" t="inlineStr">
        <is>
          <t>Jefatura de Intendencia de Asuntos Económicos Este</t>
        </is>
      </c>
      <c r="I459" s="2" t="inlineStr">
        <is>
          <t>Repavimentación de la zona de juegos del jardín en la RM. La Plana - Castellón</t>
        </is>
      </c>
      <c r="J459" s="2" t="inlineStr">
        <is>
          <t>2026/ETSAE0327/00006240E</t>
        </is>
      </c>
      <c r="K459" s="2" t="inlineStr">
        <is>
          <t>Abierto</t>
        </is>
      </c>
      <c r="L459" s="6" t="n">
        <v>1</v>
      </c>
      <c r="M459" s="2" t="n"/>
      <c r="N459" s="7" t="n">
        <v>0</v>
      </c>
      <c r="O459" s="4" t="n"/>
      <c r="P459" s="2" t="inlineStr">
        <is>
          <t>45212290</t>
        </is>
      </c>
      <c r="Q459" s="8" t="inlineStr">
        <is>
          <t>Ver</t>
        </is>
      </c>
      <c r="R459" s="8" t="inlineStr">
        <is>
          <t>PCAP</t>
        </is>
      </c>
      <c r="S459" s="9" t="n">
        <v>46322</v>
      </c>
      <c r="T459" s="3" t="n">
        <v>46321.48831018519</v>
      </c>
      <c r="U459" s="2" t="n"/>
    </row>
    <row r="460">
      <c r="A460" s="2" t="inlineStr">
        <is>
          <t>Resuelta</t>
        </is>
      </c>
      <c r="B460" s="3" t="n"/>
      <c r="C460" s="5" t="n">
        <v>373278.66</v>
      </c>
      <c r="D460" s="5" t="n">
        <v>451667.19</v>
      </c>
      <c r="E460" s="2" t="inlineStr">
        <is>
          <t>Andalucía</t>
        </is>
      </c>
      <c r="F460" s="2" t="inlineStr">
        <is>
          <t>Granada</t>
        </is>
      </c>
      <c r="G460" s="2" t="n"/>
      <c r="H460" s="2" t="inlineStr">
        <is>
          <t>Demarcación de Carreteras del Estado en Andalucía Oriental</t>
        </is>
      </c>
      <c r="I460" s="2" t="inlineStr">
        <is>
          <t>trabajos de Contención de la ladera en la carretera N-340a en eL P.K. 357+0,50, T.M. de Rubite, provincia de Granada-LOTE 2 EM38-GR-260009.L2</t>
        </is>
      </c>
      <c r="J460" s="2" t="inlineStr">
        <is>
          <t>EM38-GR-260009.L2</t>
        </is>
      </c>
      <c r="K460" s="2" t="inlineStr">
        <is>
          <t>Negociado sin publicidad</t>
        </is>
      </c>
      <c r="L460" s="6" t="n">
        <v>6</v>
      </c>
      <c r="M460" s="2" t="n"/>
      <c r="N460" s="7" t="n"/>
      <c r="O460" s="4" t="n"/>
      <c r="P460" s="2" t="inlineStr">
        <is>
          <t>45000000</t>
        </is>
      </c>
      <c r="Q460" s="8" t="inlineStr">
        <is>
          <t>Ver</t>
        </is>
      </c>
      <c r="R460" s="2" t="n"/>
      <c r="S460" s="9" t="n">
        <v>46322</v>
      </c>
      <c r="T460" s="3" t="n">
        <v>46321.48677083333</v>
      </c>
      <c r="U460" s="2" t="n"/>
    </row>
    <row r="461">
      <c r="A461" s="2" t="inlineStr">
        <is>
          <t>En plazo</t>
        </is>
      </c>
      <c r="B461" s="3" t="n">
        <v>46335.99930555555</v>
      </c>
      <c r="C461" s="5" t="n">
        <v>181000.01</v>
      </c>
      <c r="D461" s="5" t="n">
        <v>181000.01</v>
      </c>
      <c r="E461" s="2" t="inlineStr">
        <is>
          <t>Andalucía</t>
        </is>
      </c>
      <c r="F461" s="2" t="inlineStr">
        <is>
          <t>Jaén</t>
        </is>
      </c>
      <c r="G461" s="2" t="n"/>
      <c r="H461" s="2" t="inlineStr">
        <is>
          <t>Fundación para la Investigación Biosanitaria de Andalucía Oriental - Alejandro Otero (FIBAO)</t>
        </is>
      </c>
      <c r="I461" s="2" t="inlineStr">
        <is>
          <t>Obra para la adaptación funcional del área de oncología del Hospital Médico - Quirúrgico de Jaén.</t>
        </is>
      </c>
      <c r="J461" s="2" t="inlineStr">
        <is>
          <t>027_2026</t>
        </is>
      </c>
      <c r="K461" s="2" t="inlineStr">
        <is>
          <t>Abierto simplificado</t>
        </is>
      </c>
      <c r="L461" s="6" t="n">
        <v>3</v>
      </c>
      <c r="M461" s="2" t="n"/>
      <c r="N461" s="7" t="n">
        <v>0</v>
      </c>
      <c r="O461" s="4" t="n"/>
      <c r="P461" s="2" t="inlineStr">
        <is>
          <t>45453100</t>
        </is>
      </c>
      <c r="Q461" s="8" t="inlineStr">
        <is>
          <t>Ver</t>
        </is>
      </c>
      <c r="R461" s="8" t="inlineStr">
        <is>
          <t>PCAP</t>
        </is>
      </c>
      <c r="S461" s="9" t="n">
        <v>46321</v>
      </c>
      <c r="T461" s="3" t="n">
        <v>46321.48638888889</v>
      </c>
      <c r="U461" s="2" t="n"/>
    </row>
    <row r="462">
      <c r="A462" s="2" t="inlineStr">
        <is>
          <t>Resuelta</t>
        </is>
      </c>
      <c r="B462" s="3" t="n">
        <v>46301.41666666666</v>
      </c>
      <c r="C462" s="5" t="n">
        <v>382729</v>
      </c>
      <c r="D462" s="5" t="n">
        <v>382729</v>
      </c>
      <c r="E462" s="2" t="inlineStr">
        <is>
          <t>Comunitat Valenciana</t>
        </is>
      </c>
      <c r="F462" s="2" t="inlineStr">
        <is>
          <t>Valencia</t>
        </is>
      </c>
      <c r="G462" s="2" t="inlineStr">
        <is>
          <t>Términos municipales (Valencia).</t>
        </is>
      </c>
      <c r="H462" s="2" t="inlineStr">
        <is>
          <t>Empresa de Transformación Agraria S.A.,S.M.E., M.P., (TRAGSA)</t>
        </is>
      </c>
      <c r="I462"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Construcción de losas de Hormigón en TM de Valencia.</t>
        </is>
      </c>
      <c r="J462" s="2" t="inlineStr">
        <is>
          <t>TSA0079986-077</t>
        </is>
      </c>
      <c r="K462" s="2" t="inlineStr">
        <is>
          <t>Abierto</t>
        </is>
      </c>
      <c r="L462" s="6" t="n">
        <v>2</v>
      </c>
      <c r="M462" s="2" t="n"/>
      <c r="N462" s="7" t="n">
        <v>0</v>
      </c>
      <c r="O462" s="4" t="n"/>
      <c r="P462" s="2" t="inlineStr">
        <is>
          <t>45233200</t>
        </is>
      </c>
      <c r="Q462" s="8" t="inlineStr">
        <is>
          <t>Ver</t>
        </is>
      </c>
      <c r="R462" s="8" t="inlineStr">
        <is>
          <t>PCAP</t>
        </is>
      </c>
      <c r="S462" s="9" t="n">
        <v>46315</v>
      </c>
      <c r="T462" s="3" t="n">
        <v>46321.48181712963</v>
      </c>
      <c r="U462" s="2" t="n"/>
    </row>
    <row r="463">
      <c r="A463" s="2" t="inlineStr">
        <is>
          <t>En plazo</t>
        </is>
      </c>
      <c r="B463" s="3" t="n">
        <v>46335.99930555555</v>
      </c>
      <c r="C463" s="5" t="n">
        <v>47052.24</v>
      </c>
      <c r="D463" s="5" t="n">
        <v>47052.24</v>
      </c>
      <c r="E463" s="2" t="inlineStr">
        <is>
          <t>Comunitat Valenciana</t>
        </is>
      </c>
      <c r="F463" s="2" t="inlineStr">
        <is>
          <t>Valencia</t>
        </is>
      </c>
      <c r="G463" s="2" t="n"/>
      <c r="H463" s="2" t="inlineStr">
        <is>
          <t>Junta de Gobierno del Ayuntamiento de Alzira</t>
        </is>
      </c>
      <c r="I463" s="2" t="inlineStr">
        <is>
          <t>Sustitución de tuberías, válvulas y accesorios de la sala de máquinas de calefacción de la Casa de la Cultura</t>
        </is>
      </c>
      <c r="J463" s="2" t="inlineStr">
        <is>
          <t>OC-7847/26</t>
        </is>
      </c>
      <c r="K463" s="2" t="inlineStr">
        <is>
          <t>Abierto simplificado</t>
        </is>
      </c>
      <c r="L463" s="6" t="n">
        <v>2</v>
      </c>
      <c r="M463" s="2" t="n"/>
      <c r="N463" s="7" t="n">
        <v>0</v>
      </c>
      <c r="O463" s="4" t="n"/>
      <c r="P463" s="2" t="inlineStr">
        <is>
          <t>45330000</t>
        </is>
      </c>
      <c r="Q463" s="8" t="inlineStr">
        <is>
          <t>Ver</t>
        </is>
      </c>
      <c r="R463" s="8" t="inlineStr">
        <is>
          <t>PCAP</t>
        </is>
      </c>
      <c r="S463" s="9" t="n">
        <v>46322</v>
      </c>
      <c r="T463" s="3" t="n">
        <v>46321.48125</v>
      </c>
      <c r="U463" s="2" t="n"/>
    </row>
    <row r="464">
      <c r="A464" s="2" t="inlineStr">
        <is>
          <t>Pendiente de adjudicación</t>
        </is>
      </c>
      <c r="B464" s="3" t="n">
        <v>46318.99930555555</v>
      </c>
      <c r="C464" s="5" t="n">
        <v>57851.24</v>
      </c>
      <c r="D464" s="5" t="n">
        <v>57851.24</v>
      </c>
      <c r="E464" s="2" t="inlineStr">
        <is>
          <t>Andalucía</t>
        </is>
      </c>
      <c r="F464" s="2" t="inlineStr">
        <is>
          <t>Jaén</t>
        </is>
      </c>
      <c r="G464" s="2" t="inlineStr">
        <is>
          <t>Pozo Alcon</t>
        </is>
      </c>
      <c r="H464" s="2" t="inlineStr">
        <is>
          <t>Alcaldía del Ayuntamiento de Pozo Alcón</t>
        </is>
      </c>
      <c r="I464" s="2" t="inlineStr">
        <is>
          <t>El objeto del contrato al que se refiere el presente pliego es la renovación y/o reposición del pavimento y acerado de varias calles del término municipal de Pozo Alcón.</t>
        </is>
      </c>
      <c r="J464" s="2" t="inlineStr">
        <is>
          <t>REPARACIÓN PAVIMENTACIÓN Y ACERADO</t>
        </is>
      </c>
      <c r="K464" s="2" t="inlineStr">
        <is>
          <t>Abierto simplificado</t>
        </is>
      </c>
      <c r="L464" s="6" t="n">
        <v>4</v>
      </c>
      <c r="M464" s="2" t="inlineStr">
        <is>
          <t>G6-1</t>
        </is>
      </c>
      <c r="N464" s="7" t="n">
        <v>0</v>
      </c>
      <c r="O464" s="4" t="n"/>
      <c r="P464" s="2" t="inlineStr">
        <is>
          <t>45000000</t>
        </is>
      </c>
      <c r="Q464" s="8" t="inlineStr">
        <is>
          <t>Ver</t>
        </is>
      </c>
      <c r="R464" s="8" t="inlineStr">
        <is>
          <t>PCAP</t>
        </is>
      </c>
      <c r="S464" s="9" t="n">
        <v>46322</v>
      </c>
      <c r="T464" s="3" t="n">
        <v>46321.48050925926</v>
      </c>
      <c r="U464" s="2" t="n"/>
    </row>
    <row r="465">
      <c r="A465" s="2" t="inlineStr">
        <is>
          <t>Resuelta</t>
        </is>
      </c>
      <c r="B465" s="3" t="n">
        <v>46293.45833333334</v>
      </c>
      <c r="C465" s="5" t="n">
        <v>39256.2</v>
      </c>
      <c r="D465" s="5" t="n">
        <v>39256.2</v>
      </c>
      <c r="E465" s="2" t="inlineStr">
        <is>
          <t>Comunitat Valenciana</t>
        </is>
      </c>
      <c r="F465" s="2" t="inlineStr">
        <is>
          <t>Castellón</t>
        </is>
      </c>
      <c r="G465" s="2" t="inlineStr">
        <is>
          <t>Grao de Castellón</t>
        </is>
      </c>
      <c r="H465" s="2" t="inlineStr">
        <is>
          <t>Jefatura de Intendencia de Asuntos Económicos Este</t>
        </is>
      </c>
      <c r="I465" s="2" t="inlineStr">
        <is>
          <t>Adquisición e Instalación de aires acondicionados para la RM. La Plana-Castellón</t>
        </is>
      </c>
      <c r="J465" s="2" t="inlineStr">
        <is>
          <t>2026/ETSAE0327/00006227E</t>
        </is>
      </c>
      <c r="K465" s="2" t="inlineStr">
        <is>
          <t>Abierto</t>
        </is>
      </c>
      <c r="L465" s="6" t="n">
        <v>1</v>
      </c>
      <c r="M465" s="2" t="n"/>
      <c r="N465" s="7" t="n">
        <v>0</v>
      </c>
      <c r="O465" s="4" t="n"/>
      <c r="P465" s="2" t="inlineStr">
        <is>
          <t>45331220</t>
        </is>
      </c>
      <c r="Q465" s="8" t="inlineStr">
        <is>
          <t>Ver</t>
        </is>
      </c>
      <c r="R465" s="8" t="inlineStr">
        <is>
          <t>PCAP</t>
        </is>
      </c>
      <c r="S465" s="9" t="n">
        <v>46322</v>
      </c>
      <c r="T465" s="3" t="n">
        <v>46321.48038194444</v>
      </c>
      <c r="U465" s="2" t="n"/>
    </row>
    <row r="466">
      <c r="A466" s="2" t="inlineStr">
        <is>
          <t>Adjudicada</t>
        </is>
      </c>
      <c r="B466" s="3" t="n">
        <v>46286.99930555555</v>
      </c>
      <c r="C466" s="5" t="n">
        <v>60050.26</v>
      </c>
      <c r="D466" s="5" t="n">
        <v>60050.26</v>
      </c>
      <c r="E466" s="2" t="inlineStr">
        <is>
          <t>Comunitat Valenciana</t>
        </is>
      </c>
      <c r="F466" s="2" t="inlineStr">
        <is>
          <t>Alicante</t>
        </is>
      </c>
      <c r="G466" s="2" t="n"/>
      <c r="H466" s="2" t="inlineStr">
        <is>
          <t>Presidencia de la Diputación Provincial de Alicante</t>
        </is>
      </c>
      <c r="I466" s="2" t="inlineStr">
        <is>
          <t>Obras de reposición y prolongación de la red de abastecimiento del camino Ribes y de la red de suministro del Calvari en Benifallim.</t>
        </is>
      </c>
      <c r="J466" s="2" t="inlineStr">
        <is>
          <t>O4SS-160/2026</t>
        </is>
      </c>
      <c r="K466" s="2" t="inlineStr">
        <is>
          <t>Abierto simplificado</t>
        </is>
      </c>
      <c r="L466" s="6" t="n">
        <v>3</v>
      </c>
      <c r="M466" s="2" t="n"/>
      <c r="N466" s="7" t="n">
        <v>0</v>
      </c>
      <c r="O466" s="4" t="n"/>
      <c r="P466" s="2" t="inlineStr">
        <is>
          <t>45232150</t>
        </is>
      </c>
      <c r="Q466" s="8" t="inlineStr">
        <is>
          <t>Ver</t>
        </is>
      </c>
      <c r="R466" s="8" t="inlineStr">
        <is>
          <t>PCAP</t>
        </is>
      </c>
      <c r="S466" s="9" t="n">
        <v>46322</v>
      </c>
      <c r="T466" s="3" t="n">
        <v>46321.47910879629</v>
      </c>
      <c r="U466" s="2" t="n"/>
    </row>
    <row r="467">
      <c r="A467" s="2" t="inlineStr">
        <is>
          <t>Pendiente de adjudicación</t>
        </is>
      </c>
      <c r="B467" s="3" t="n">
        <v>46301.99930555555</v>
      </c>
      <c r="C467" s="5" t="n">
        <v>250000</v>
      </c>
      <c r="D467" s="5" t="n">
        <v>250000</v>
      </c>
      <c r="E467" s="2" t="inlineStr">
        <is>
          <t>Andalucía</t>
        </is>
      </c>
      <c r="F467" s="2" t="inlineStr">
        <is>
          <t>Córdoba</t>
        </is>
      </c>
      <c r="G467" s="2" t="n"/>
      <c r="H467" s="2" t="inlineStr">
        <is>
          <t>Diputado delegado de Infraestructuras, Sostenibilidad y Agricultura</t>
        </is>
      </c>
      <c r="I467" s="2" t="inlineStr">
        <is>
          <t>Contratación de las obras de Reparación del camino provincial CP-71, Del Galván, en Córdoba.</t>
        </is>
      </c>
      <c r="J467" s="2" t="inlineStr">
        <is>
          <t>752/26</t>
        </is>
      </c>
      <c r="K467" s="2" t="inlineStr">
        <is>
          <t>Abierto</t>
        </is>
      </c>
      <c r="L467" s="6" t="n">
        <v>4</v>
      </c>
      <c r="M467" s="2" t="n"/>
      <c r="N467" s="7" t="n">
        <v>0.4</v>
      </c>
      <c r="O467" s="4" t="n"/>
      <c r="P467" s="2" t="inlineStr">
        <is>
          <t>45233160</t>
        </is>
      </c>
      <c r="Q467" s="8" t="inlineStr">
        <is>
          <t>Ver</t>
        </is>
      </c>
      <c r="R467" s="8" t="inlineStr">
        <is>
          <t>PCAP</t>
        </is>
      </c>
      <c r="S467" s="9" t="n">
        <v>46310</v>
      </c>
      <c r="T467" s="3" t="n">
        <v>46321.47800925926</v>
      </c>
      <c r="U467" s="2" t="n"/>
    </row>
    <row r="468">
      <c r="A468" s="2" t="inlineStr">
        <is>
          <t>Adjudicada</t>
        </is>
      </c>
      <c r="B468" s="3" t="n">
        <v>46300.99930555555</v>
      </c>
      <c r="C468" s="5" t="n">
        <v>141586.5</v>
      </c>
      <c r="D468" s="5" t="n">
        <v>141586.5</v>
      </c>
      <c r="E468" s="2" t="inlineStr">
        <is>
          <t>Andalucía</t>
        </is>
      </c>
      <c r="F468" s="2" t="inlineStr">
        <is>
          <t>Sevilla</t>
        </is>
      </c>
      <c r="G468" s="2" t="n"/>
      <c r="H468" s="2" t="inlineStr">
        <is>
          <t>Alcaldía del Ayuntamiento de Espartinas</t>
        </is>
      </c>
      <c r="I468" s="2" t="inlineStr">
        <is>
          <t>Suministro e instalación de pérgolas bioclimáticas en Parque Nuestra Señora del Rocío - Plaza del Avión en Espartinas, conforme a lo previsto en el Proyecto Técnico que establece las características de la actuación.</t>
        </is>
      </c>
      <c r="J468" s="2" t="inlineStr">
        <is>
          <t>1969/2026</t>
        </is>
      </c>
      <c r="K468" s="2" t="inlineStr">
        <is>
          <t>Abierto simplificado</t>
        </is>
      </c>
      <c r="L468" s="6" t="n">
        <v>1</v>
      </c>
      <c r="M468" s="2" t="n"/>
      <c r="N468" s="7" t="n">
        <v>0</v>
      </c>
      <c r="O468" s="4" t="n"/>
      <c r="P468" s="2" t="inlineStr">
        <is>
          <t>45223000; 45223110</t>
        </is>
      </c>
      <c r="Q468" s="8" t="inlineStr">
        <is>
          <t>Ver</t>
        </is>
      </c>
      <c r="R468" s="8" t="inlineStr">
        <is>
          <t>PCAP</t>
        </is>
      </c>
      <c r="S468" s="9" t="n">
        <v>46310</v>
      </c>
      <c r="T468" s="3" t="n">
        <v>46321.47784722222</v>
      </c>
      <c r="U468" s="2" t="inlineStr">
        <is>
          <t>2026-10-27: estado EV → ADJ</t>
        </is>
      </c>
    </row>
    <row r="469">
      <c r="A469" s="2" t="inlineStr">
        <is>
          <t>En plazo</t>
        </is>
      </c>
      <c r="B469" s="3" t="n">
        <v>46342.33333333334</v>
      </c>
      <c r="C469" s="5" t="n">
        <v>324070.88</v>
      </c>
      <c r="D469" s="5" t="n">
        <v>324070.88</v>
      </c>
      <c r="E469" s="2" t="inlineStr">
        <is>
          <t>Andalucía</t>
        </is>
      </c>
      <c r="F469" s="2" t="inlineStr">
        <is>
          <t>Almería</t>
        </is>
      </c>
      <c r="G469" s="2" t="inlineStr">
        <is>
          <t>Albox</t>
        </is>
      </c>
      <c r="H469" s="2" t="inlineStr">
        <is>
          <t>Alcaldía del Ayuntamiento de Albox</t>
        </is>
      </c>
      <c r="I469" s="2" t="inlineStr">
        <is>
          <t>OBRAS para Arreglo de daños por roturas y arrastres en vario scaminos de titularidad municipal por temporal 2026(Subvención FMA 2026).</t>
        </is>
      </c>
      <c r="J469" s="2" t="inlineStr">
        <is>
          <t>37/2026-G2214</t>
        </is>
      </c>
      <c r="K469" s="2" t="inlineStr">
        <is>
          <t>Abierto simplificado</t>
        </is>
      </c>
      <c r="L469" s="6" t="n">
        <v>1</v>
      </c>
      <c r="M469" s="2" t="n"/>
      <c r="N469" s="7" t="n">
        <v>0.25</v>
      </c>
      <c r="O469" s="4" t="n"/>
      <c r="P469" s="2" t="inlineStr">
        <is>
          <t>45233222</t>
        </is>
      </c>
      <c r="Q469" s="8" t="inlineStr">
        <is>
          <t>Ver</t>
        </is>
      </c>
      <c r="R469" s="8" t="inlineStr">
        <is>
          <t>PCAP</t>
        </is>
      </c>
      <c r="S469" s="9" t="n">
        <v>46322</v>
      </c>
      <c r="T469" s="3" t="n">
        <v>46321.47605324074</v>
      </c>
      <c r="U469" s="2" t="n"/>
    </row>
    <row r="470">
      <c r="A470" s="2" t="inlineStr">
        <is>
          <t>Resuelta</t>
        </is>
      </c>
      <c r="B470" s="3" t="n">
        <v>46181.41666666666</v>
      </c>
      <c r="C470" s="5" t="n">
        <v>120341.87</v>
      </c>
      <c r="D470" s="5" t="n">
        <v>120341.87</v>
      </c>
      <c r="E470" s="2" t="inlineStr">
        <is>
          <t>Comunitat Valenciana</t>
        </is>
      </c>
      <c r="F470" s="2" t="inlineStr">
        <is>
          <t>Alicante</t>
        </is>
      </c>
      <c r="G470" s="2" t="n"/>
      <c r="H470" s="2" t="inlineStr">
        <is>
          <t>Alcaldía del Ajuntament de Calp</t>
        </is>
      </c>
      <c r="I470" s="2" t="inlineStr">
        <is>
          <t>Obras de renovación del alumbrado público para la mejora de la eficiencia energética del casco antiguo de Calp (Alicante)</t>
        </is>
      </c>
      <c r="J470" s="2" t="inlineStr">
        <is>
          <t>OB 06/2026</t>
        </is>
      </c>
      <c r="K470" s="2" t="inlineStr">
        <is>
          <t>Abierto</t>
        </is>
      </c>
      <c r="L470" s="6" t="n">
        <v>1</v>
      </c>
      <c r="M470" s="2" t="inlineStr">
        <is>
          <t>I1-1</t>
        </is>
      </c>
      <c r="N470" s="7" t="n">
        <v>0</v>
      </c>
      <c r="O470" s="4" t="n"/>
      <c r="P470" s="2" t="inlineStr">
        <is>
          <t>45316100; 45233251</t>
        </is>
      </c>
      <c r="Q470" s="8" t="inlineStr">
        <is>
          <t>Ver</t>
        </is>
      </c>
      <c r="R470" s="8" t="inlineStr">
        <is>
          <t>PCAP</t>
        </is>
      </c>
      <c r="S470" s="9" t="n">
        <v>46322</v>
      </c>
      <c r="T470" s="3" t="n">
        <v>46321.47475694444</v>
      </c>
      <c r="U470" s="2" t="n"/>
    </row>
    <row r="471">
      <c r="A471" s="2" t="inlineStr">
        <is>
          <t>Resuelta</t>
        </is>
      </c>
      <c r="B471" s="3" t="n">
        <v>46281.99930555555</v>
      </c>
      <c r="C471" s="5" t="n">
        <v>10598.74</v>
      </c>
      <c r="D471" s="5" t="n">
        <v>10598.74</v>
      </c>
      <c r="E471" s="2" t="inlineStr">
        <is>
          <t>Andalucía</t>
        </is>
      </c>
      <c r="F471" s="2" t="inlineStr">
        <is>
          <t>Córdoba</t>
        </is>
      </c>
      <c r="G471" s="2" t="inlineStr">
        <is>
          <t>Peñarroya-Pueblonuevo</t>
        </is>
      </c>
      <c r="H471" s="2" t="inlineStr">
        <is>
          <t>Diputada delegada de Presidencia, Gobierno Interior y Vivienda</t>
        </is>
      </c>
      <c r="I471" s="2" t="inlineStr">
        <is>
          <t>Contratación de las obras de Acondicinamiento de la oficina SAU Guadiato en Peñarroya-Pueblonuevo (Córdoba)</t>
        </is>
      </c>
      <c r="J471" s="2" t="inlineStr">
        <is>
          <t>297/26</t>
        </is>
      </c>
      <c r="K471" s="2" t="inlineStr">
        <is>
          <t>Abierto simplificado</t>
        </is>
      </c>
      <c r="L471" s="6" t="n">
        <v>1</v>
      </c>
      <c r="M471" s="2" t="n"/>
      <c r="N471" s="7" t="n">
        <v>0</v>
      </c>
      <c r="O471" s="4" t="n"/>
      <c r="P471" s="2" t="inlineStr">
        <is>
          <t>45300000; 45400000</t>
        </is>
      </c>
      <c r="Q471" s="8" t="inlineStr">
        <is>
          <t>Ver</t>
        </is>
      </c>
      <c r="R471" s="8" t="inlineStr">
        <is>
          <t>PCAP</t>
        </is>
      </c>
      <c r="S471" s="9" t="n">
        <v>46318</v>
      </c>
      <c r="T471" s="3" t="n">
        <v>46321.46554398148</v>
      </c>
      <c r="U471" s="2" t="inlineStr">
        <is>
          <t>2026-10-27: estado ADJ → RES</t>
        </is>
      </c>
    </row>
    <row r="472">
      <c r="A472" s="2" t="inlineStr">
        <is>
          <t>En plazo</t>
        </is>
      </c>
      <c r="B472" s="3" t="n">
        <v>46342.99930555555</v>
      </c>
      <c r="C472" s="5" t="n">
        <v>90819.11</v>
      </c>
      <c r="D472" s="5" t="n">
        <v>90819.11</v>
      </c>
      <c r="E472" s="2" t="inlineStr">
        <is>
          <t>Comunitat Valenciana</t>
        </is>
      </c>
      <c r="F472" s="2" t="inlineStr">
        <is>
          <t>Castellón</t>
        </is>
      </c>
      <c r="G472" s="2" t="inlineStr">
        <is>
          <t>Albocàsser</t>
        </is>
      </c>
      <c r="H472" s="2" t="inlineStr">
        <is>
          <t>Alcaldía del Ayuntamiento de Albocàsser</t>
        </is>
      </c>
      <c r="I472" s="2" t="inlineStr">
        <is>
          <t>Ejecución de las obras de «Adecuación calle en Proyecto C», en el término municipal de Albocàsser, incluyendo la urbanización del vial, movimiento de tierras, redes de abastecimiento de agua potable y saneamiento, alumbrado público, baja tensión, muros y cerramientos, firmes y pavimentación, así como la gestión de residuos y las medidas de seguridad y salud.</t>
        </is>
      </c>
      <c r="J472" s="2" t="inlineStr">
        <is>
          <t>998/2026</t>
        </is>
      </c>
      <c r="K472" s="2" t="inlineStr">
        <is>
          <t>Abierto simplificado</t>
        </is>
      </c>
      <c r="L472" s="6" t="n">
        <v>3</v>
      </c>
      <c r="M472" s="2" t="n"/>
      <c r="N472" s="7" t="n">
        <v>0.25</v>
      </c>
      <c r="O472" s="4" t="n"/>
      <c r="P472" s="2" t="inlineStr">
        <is>
          <t>45233252</t>
        </is>
      </c>
      <c r="Q472" s="8" t="inlineStr">
        <is>
          <t>Ver</t>
        </is>
      </c>
      <c r="R472" s="8" t="inlineStr">
        <is>
          <t>PCAP</t>
        </is>
      </c>
      <c r="S472" s="9" t="n">
        <v>46322</v>
      </c>
      <c r="T472" s="3" t="n">
        <v>46321.46554398148</v>
      </c>
      <c r="U472" s="2" t="n"/>
    </row>
    <row r="473">
      <c r="A473" s="2" t="inlineStr">
        <is>
          <t>Pendiente de adjudicación</t>
        </is>
      </c>
      <c r="B473" s="3" t="n">
        <v>46091.79166666666</v>
      </c>
      <c r="C473" s="5" t="n">
        <v>37238547.18</v>
      </c>
      <c r="D473" s="5" t="n">
        <v>37238547.18</v>
      </c>
      <c r="E473" s="2" t="inlineStr">
        <is>
          <t>Andalucía</t>
        </is>
      </c>
      <c r="F473" s="2" t="inlineStr">
        <is>
          <t>Sevilla</t>
        </is>
      </c>
      <c r="G473" s="2" t="n"/>
      <c r="H473" s="2" t="inlineStr">
        <is>
          <t>Dirección General de Carreteras</t>
        </is>
      </c>
      <c r="I473" s="2" t="inlineStr">
        <is>
          <t>14-SE-5130.A; 54.1121/25 Autovía SE-40. Tramo: Dos Hermanas (Enlace A-4 Sur) – Enlace del Copero. Provincia Sevilla</t>
        </is>
      </c>
      <c r="J473" s="2" t="inlineStr">
        <is>
          <t>B54254151301</t>
        </is>
      </c>
      <c r="K473" s="2" t="inlineStr">
        <is>
          <t>Abierto</t>
        </is>
      </c>
      <c r="L473" s="6" t="n">
        <v>52</v>
      </c>
      <c r="M473" s="2" t="inlineStr">
        <is>
          <t>G4-6; B2-5; A2-5</t>
        </is>
      </c>
      <c r="N473" s="7" t="n">
        <v>0.4</v>
      </c>
      <c r="O473" s="4" t="n"/>
      <c r="P473" s="2" t="inlineStr">
        <is>
          <t>45233000</t>
        </is>
      </c>
      <c r="Q473" s="8" t="inlineStr">
        <is>
          <t>Ver</t>
        </is>
      </c>
      <c r="R473" s="8" t="inlineStr">
        <is>
          <t>PCAP</t>
        </is>
      </c>
      <c r="S473" s="9" t="n">
        <v>46322</v>
      </c>
      <c r="T473" s="3" t="n">
        <v>46321.4609375</v>
      </c>
      <c r="U473" s="2" t="n"/>
    </row>
    <row r="474">
      <c r="A474" s="2" t="inlineStr">
        <is>
          <t>Adjudicada</t>
        </is>
      </c>
      <c r="B474" s="3" t="n">
        <v>46238.99930555555</v>
      </c>
      <c r="C474" s="5" t="n">
        <v>107023.34</v>
      </c>
      <c r="D474" s="5" t="n">
        <v>107023.34</v>
      </c>
      <c r="E474" s="2" t="inlineStr">
        <is>
          <t>Andalucía</t>
        </is>
      </c>
      <c r="F474" s="2" t="inlineStr">
        <is>
          <t>Málaga</t>
        </is>
      </c>
      <c r="G474" s="2" t="n"/>
      <c r="H474" s="2" t="inlineStr">
        <is>
          <t>Junta de Gobierno del Ayuntamiento de Vélez-Málaga</t>
        </is>
      </c>
      <c r="I474" s="2" t="inlineStr">
        <is>
          <t>Obras de restauración y adecuación a uso turístico de la torre de Lagos.</t>
        </is>
      </c>
      <c r="J474" s="2" t="inlineStr">
        <is>
          <t>AVM.OBR-2026000010</t>
        </is>
      </c>
      <c r="K474" s="2" t="inlineStr">
        <is>
          <t>Abierto simplificado</t>
        </is>
      </c>
      <c r="L474" s="6" t="n">
        <v>4</v>
      </c>
      <c r="M474" s="2" t="inlineStr">
        <is>
          <t>K7-1</t>
        </is>
      </c>
      <c r="N474" s="7" t="n">
        <v>0.25</v>
      </c>
      <c r="O474" s="4" t="n"/>
      <c r="P474" s="2" t="inlineStr">
        <is>
          <t>45212350; 45454100</t>
        </is>
      </c>
      <c r="Q474" s="8" t="inlineStr">
        <is>
          <t>Ver</t>
        </is>
      </c>
      <c r="R474" s="8" t="inlineStr">
        <is>
          <t>PCAP</t>
        </is>
      </c>
      <c r="S474" s="9" t="n">
        <v>46322</v>
      </c>
      <c r="T474" s="3" t="n">
        <v>46321.46003472222</v>
      </c>
      <c r="U474" s="2" t="n"/>
    </row>
    <row r="475">
      <c r="A475" s="2" t="inlineStr">
        <is>
          <t>Resuelta</t>
        </is>
      </c>
      <c r="B475" s="3" t="n">
        <v>46289.99930555555</v>
      </c>
      <c r="C475" s="5" t="n">
        <v>183051.18</v>
      </c>
      <c r="D475" s="5" t="n">
        <v>183051.18</v>
      </c>
      <c r="E475" s="2" t="inlineStr">
        <is>
          <t>Andalucía</t>
        </is>
      </c>
      <c r="F475" s="2" t="inlineStr">
        <is>
          <t>Almería</t>
        </is>
      </c>
      <c r="G475" s="2" t="inlineStr">
        <is>
          <t>Albox</t>
        </is>
      </c>
      <c r="H475" s="2" t="inlineStr">
        <is>
          <t>Alcaldía del Ayuntamiento de Albox</t>
        </is>
      </c>
      <c r="I475" s="2" t="inlineStr">
        <is>
          <t>Obras de Saneamiento y pavimentacion para reparacion de daños por roturas y arrastres en varias calles por temporal 2026, varios lotes. (Subvencion FMA 2026)</t>
        </is>
      </c>
      <c r="J475" s="2" t="inlineStr">
        <is>
          <t>29/2026-G1815</t>
        </is>
      </c>
      <c r="K475" s="2" t="inlineStr">
        <is>
          <t>Abierto simplificado</t>
        </is>
      </c>
      <c r="L475" s="6" t="n">
        <v>3</v>
      </c>
      <c r="M475" s="2" t="n"/>
      <c r="N475" s="7" t="n">
        <v>0.25</v>
      </c>
      <c r="O475" s="4" t="n">
        <v>3</v>
      </c>
      <c r="P475" s="2" t="inlineStr">
        <is>
          <t>45232410; 45233252</t>
        </is>
      </c>
      <c r="Q475" s="8" t="inlineStr">
        <is>
          <t>Ver</t>
        </is>
      </c>
      <c r="R475" s="8" t="inlineStr">
        <is>
          <t>PCAP</t>
        </is>
      </c>
      <c r="S475" s="9" t="n">
        <v>46314</v>
      </c>
      <c r="T475" s="3" t="n">
        <v>46321.45881944444</v>
      </c>
      <c r="U475" s="2" t="inlineStr">
        <is>
          <t>2026-10-27: estado ADJ → RES</t>
        </is>
      </c>
    </row>
    <row r="476">
      <c r="A476" s="2" t="inlineStr">
        <is>
          <t>En plazo</t>
        </is>
      </c>
      <c r="B476" s="3" t="n">
        <v>46337.99930555555</v>
      </c>
      <c r="C476" s="5" t="n">
        <v>364829.96</v>
      </c>
      <c r="D476" s="5" t="n">
        <v>364829.96</v>
      </c>
      <c r="E476" s="2" t="inlineStr">
        <is>
          <t>Comunitat Valenciana</t>
        </is>
      </c>
      <c r="F476" s="2" t="inlineStr">
        <is>
          <t>Alicante</t>
        </is>
      </c>
      <c r="G476" s="2" t="n"/>
      <c r="H476" s="2" t="inlineStr">
        <is>
          <t>Alcaldía del Ayuntamiento de Crevillent</t>
        </is>
      </c>
      <c r="I476" s="2" t="inlineStr">
        <is>
          <t>Contrato de las obras de construcción de 544 nichos en el Cementerio Municipal</t>
        </is>
      </c>
      <c r="J476" s="2" t="inlineStr">
        <is>
          <t>1849005N/2026</t>
        </is>
      </c>
      <c r="K476" s="2" t="inlineStr">
        <is>
          <t>Abierto simplificado</t>
        </is>
      </c>
      <c r="L476" s="6" t="n">
        <v>3</v>
      </c>
      <c r="M476" s="2" t="n"/>
      <c r="N476" s="7" t="n">
        <v>0</v>
      </c>
      <c r="O476" s="4" t="n"/>
      <c r="P476" s="2" t="inlineStr">
        <is>
          <t>45215400; 45223800</t>
        </is>
      </c>
      <c r="Q476" s="8" t="inlineStr">
        <is>
          <t>Ver</t>
        </is>
      </c>
      <c r="R476" s="8" t="inlineStr">
        <is>
          <t>PCAP</t>
        </is>
      </c>
      <c r="S476" s="9" t="n">
        <v>46318</v>
      </c>
      <c r="T476" s="3" t="n">
        <v>46321.45413194445</v>
      </c>
      <c r="U476" s="2" t="n"/>
    </row>
    <row r="477">
      <c r="A477" s="2" t="inlineStr">
        <is>
          <t>Pendiente de adjudicación</t>
        </is>
      </c>
      <c r="B477" s="3" t="n">
        <v>46297.45833333334</v>
      </c>
      <c r="C477" s="5" t="n">
        <v>678300</v>
      </c>
      <c r="D477" s="5" t="n">
        <v>678300</v>
      </c>
      <c r="E477" s="2" t="inlineStr">
        <is>
          <t>Andalucía</t>
        </is>
      </c>
      <c r="F477" s="2" t="inlineStr">
        <is>
          <t>Granada</t>
        </is>
      </c>
      <c r="G477" s="2" t="n"/>
      <c r="H477" s="2" t="inlineStr">
        <is>
          <t>Alcaldía del Ayuntamiento de Almuñécar</t>
        </is>
      </c>
      <c r="I477" s="2" t="inlineStr">
        <is>
          <t>Obras de construcción de un parque de neurodivergencia en Almuñécar, en base al Proyecto del Arquitecto Francisco Javier Navarro Suárez.</t>
        </is>
      </c>
      <c r="J477" s="2" t="inlineStr">
        <is>
          <t>90/2026 (Gest 6946/2026)</t>
        </is>
      </c>
      <c r="K477" s="2" t="inlineStr">
        <is>
          <t>Abierto simplificado</t>
        </is>
      </c>
      <c r="L477" s="6" t="n">
        <v>6</v>
      </c>
      <c r="M477" s="2" t="n"/>
      <c r="N477" s="7" t="n">
        <v>0</v>
      </c>
      <c r="O477" s="4" t="n"/>
      <c r="P477" s="2" t="inlineStr">
        <is>
          <t>45212140; 45233293</t>
        </is>
      </c>
      <c r="Q477" s="8" t="inlineStr">
        <is>
          <t>Ver</t>
        </is>
      </c>
      <c r="R477" s="8" t="inlineStr">
        <is>
          <t>PCAP</t>
        </is>
      </c>
      <c r="S477" s="9" t="n">
        <v>46310</v>
      </c>
      <c r="T477" s="3" t="n">
        <v>46321.45314814815</v>
      </c>
      <c r="U477" s="2" t="n"/>
    </row>
    <row r="478">
      <c r="A478" s="2" t="inlineStr">
        <is>
          <t>Resuelta</t>
        </is>
      </c>
      <c r="B478" s="3" t="n">
        <v>45920.99930555555</v>
      </c>
      <c r="C478" s="5" t="n">
        <v>297757.19</v>
      </c>
      <c r="D478" s="5" t="n">
        <v>297757.19</v>
      </c>
      <c r="E478" s="2" t="inlineStr">
        <is>
          <t>Andalucía</t>
        </is>
      </c>
      <c r="F478" s="2" t="inlineStr">
        <is>
          <t>Córdoba</t>
        </is>
      </c>
      <c r="G478" s="2" t="inlineStr">
        <is>
          <t>Córdoba</t>
        </is>
      </c>
      <c r="H478" s="2" t="inlineStr">
        <is>
          <t>Aena. Dirección del Aeropuerto de Córdoba</t>
        </is>
      </c>
      <c r="I478" s="2" t="inlineStr">
        <is>
          <t>Nuevos Equipos Aa En Bt</t>
        </is>
      </c>
      <c r="J478" s="2" t="inlineStr">
        <is>
          <t>ODB-20/2025</t>
        </is>
      </c>
      <c r="K478" s="2" t="inlineStr">
        <is>
          <t>Normas internas</t>
        </is>
      </c>
      <c r="L478" s="6" t="n"/>
      <c r="M478" s="2" t="n"/>
      <c r="N478" s="7" t="n">
        <v>0</v>
      </c>
      <c r="O478" s="4" t="n"/>
      <c r="P478" s="2" t="inlineStr">
        <is>
          <t>45300000</t>
        </is>
      </c>
      <c r="Q478" s="8" t="inlineStr">
        <is>
          <t>Ver</t>
        </is>
      </c>
      <c r="R478" s="8" t="inlineStr">
        <is>
          <t>PCAP</t>
        </is>
      </c>
      <c r="S478" s="9" t="n">
        <v>46322</v>
      </c>
      <c r="T478" s="3" t="n">
        <v>46321.451875</v>
      </c>
      <c r="U478" s="2" t="n"/>
    </row>
    <row r="479">
      <c r="A479" s="2" t="inlineStr">
        <is>
          <t>Pendiente de adjudicación</t>
        </is>
      </c>
      <c r="B479" s="3" t="n">
        <v>46286.99930555555</v>
      </c>
      <c r="C479" s="5" t="n">
        <v>285142.93</v>
      </c>
      <c r="D479" s="5" t="n">
        <v>285142.93</v>
      </c>
      <c r="E479" s="2" t="inlineStr">
        <is>
          <t>Andalucía</t>
        </is>
      </c>
      <c r="F479" s="2" t="inlineStr">
        <is>
          <t>Málaga</t>
        </is>
      </c>
      <c r="G479" s="2" t="inlineStr">
        <is>
          <t>Málaga</t>
        </is>
      </c>
      <c r="H479" s="2" t="inlineStr">
        <is>
          <t>Rectorado de la Universidad de Málaga</t>
        </is>
      </c>
      <c r="I479" s="2" t="inlineStr">
        <is>
          <t>Obras de ejecución para ampliación de archivos y almacenes del edificio Pabellón de Gobierno</t>
        </is>
      </c>
      <c r="J479" s="2" t="inlineStr">
        <is>
          <t>OB.03/2026PA</t>
        </is>
      </c>
      <c r="K479" s="2" t="inlineStr">
        <is>
          <t>Abierto</t>
        </is>
      </c>
      <c r="L479" s="6" t="n">
        <v>6</v>
      </c>
      <c r="M479" s="2" t="n"/>
      <c r="N479" s="7" t="n">
        <v>0.5</v>
      </c>
      <c r="O479" s="4" t="n"/>
      <c r="P479" s="2" t="inlineStr">
        <is>
          <t>45454000</t>
        </is>
      </c>
      <c r="Q479" s="8" t="inlineStr">
        <is>
          <t>Ver</t>
        </is>
      </c>
      <c r="R479" s="8" t="inlineStr">
        <is>
          <t>PCAP</t>
        </is>
      </c>
      <c r="S479" s="9" t="n">
        <v>46317</v>
      </c>
      <c r="T479" s="3" t="n">
        <v>46321.45152777778</v>
      </c>
      <c r="U479" s="2" t="n"/>
    </row>
    <row r="480">
      <c r="A480" s="2" t="inlineStr">
        <is>
          <t>En plazo</t>
        </is>
      </c>
      <c r="B480" s="3" t="n">
        <v>46324.99930555555</v>
      </c>
      <c r="C480" s="5" t="n">
        <v>568417.8100000001</v>
      </c>
      <c r="D480" s="5" t="n">
        <v>568417.8100000001</v>
      </c>
      <c r="E480" s="2" t="inlineStr">
        <is>
          <t>Andalucía</t>
        </is>
      </c>
      <c r="F480" s="2" t="inlineStr">
        <is>
          <t>Huelva</t>
        </is>
      </c>
      <c r="G480" s="2" t="inlineStr">
        <is>
          <t>BONARES</t>
        </is>
      </c>
      <c r="H480" s="2" t="inlineStr">
        <is>
          <t>Alcaldia del Ayuntamiento de Bonares</t>
        </is>
      </c>
      <c r="I480" s="2" t="inlineStr">
        <is>
          <t>Creación de aparcamiento y plaza pública ajardinada en Avda. Nuestra Señora del Rocío nº 3 de Bonares (Huelva</t>
        </is>
      </c>
      <c r="J480" s="2" t="inlineStr">
        <is>
          <t>4654/2026</t>
        </is>
      </c>
      <c r="K480" s="2" t="inlineStr">
        <is>
          <t>Abierto simplificado</t>
        </is>
      </c>
      <c r="L480" s="6" t="n">
        <v>12</v>
      </c>
      <c r="M480" s="2" t="inlineStr">
        <is>
          <t>C*-3</t>
        </is>
      </c>
      <c r="N480" s="7" t="n">
        <v>0</v>
      </c>
      <c r="O480" s="4" t="n"/>
      <c r="P480" s="2" t="inlineStr">
        <is>
          <t>45220000; 45223000; 45000000</t>
        </is>
      </c>
      <c r="Q480" s="8" t="inlineStr">
        <is>
          <t>Ver</t>
        </is>
      </c>
      <c r="R480" s="8" t="inlineStr">
        <is>
          <t>PCAP</t>
        </is>
      </c>
      <c r="S480" s="9" t="n">
        <v>46310</v>
      </c>
      <c r="T480" s="3" t="n">
        <v>46321.44403935185</v>
      </c>
      <c r="U480" s="2" t="n"/>
    </row>
    <row r="481">
      <c r="A481" s="2" t="inlineStr">
        <is>
          <t>Resuelta</t>
        </is>
      </c>
      <c r="B481" s="3" t="n"/>
      <c r="C481" s="5" t="n">
        <v>39950</v>
      </c>
      <c r="D481" s="5" t="n">
        <v>39950</v>
      </c>
      <c r="E481" s="2" t="inlineStr">
        <is>
          <t>Comunitat Valenciana</t>
        </is>
      </c>
      <c r="F481" s="2" t="inlineStr">
        <is>
          <t>Alicante</t>
        </is>
      </c>
      <c r="G481" s="2" t="inlineStr">
        <is>
          <t>Alicante / Alacant</t>
        </is>
      </c>
      <c r="H481" s="2" t="inlineStr">
        <is>
          <t>Aena. Dirección del Aeropuerto de Alicante-Elche</t>
        </is>
      </c>
      <c r="I481" s="2" t="inlineStr">
        <is>
          <t>Adecuación De Espacios En Los Accesos Al Control De Fronteras</t>
        </is>
      </c>
      <c r="J481" s="2" t="inlineStr">
        <is>
          <t>ALC-52/2026</t>
        </is>
      </c>
      <c r="K481" s="2" t="inlineStr">
        <is>
          <t>Normas internas</t>
        </is>
      </c>
      <c r="L481" s="6" t="n">
        <v>2</v>
      </c>
      <c r="M481" s="2" t="n"/>
      <c r="N481" s="7" t="n"/>
      <c r="O481" s="4" t="n"/>
      <c r="P481" s="2" t="inlineStr">
        <is>
          <t>45200000</t>
        </is>
      </c>
      <c r="Q481" s="8" t="inlineStr">
        <is>
          <t>Ver</t>
        </is>
      </c>
      <c r="R481" s="2" t="n"/>
      <c r="S481" s="9" t="n">
        <v>46322</v>
      </c>
      <c r="T481" s="3" t="n">
        <v>46321.43914351852</v>
      </c>
      <c r="U481" s="2" t="n"/>
    </row>
    <row r="482">
      <c r="A482" s="2" t="inlineStr">
        <is>
          <t>En plazo</t>
        </is>
      </c>
      <c r="B482" s="3" t="n">
        <v>46330.99930555555</v>
      </c>
      <c r="C482" s="5" t="n">
        <v>202467.96</v>
      </c>
      <c r="D482" s="5" t="n">
        <v>202467.96</v>
      </c>
      <c r="E482" s="2" t="inlineStr">
        <is>
          <t>Andalucía</t>
        </is>
      </c>
      <c r="F482" s="2" t="inlineStr">
        <is>
          <t>Cádiz</t>
        </is>
      </c>
      <c r="G482" s="2" t="inlineStr">
        <is>
          <t>Puerto Real (Cádiz).</t>
        </is>
      </c>
      <c r="H482" s="2" t="inlineStr">
        <is>
          <t>Rectorado de la Universidad de Cádiz</t>
        </is>
      </c>
      <c r="I482"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482" s="2" t="inlineStr">
        <is>
          <t>EXP045/2026/19</t>
        </is>
      </c>
      <c r="K482" s="2" t="inlineStr">
        <is>
          <t>Abierto simplificado</t>
        </is>
      </c>
      <c r="L482" s="6" t="n">
        <v>4</v>
      </c>
      <c r="M482" s="2" t="inlineStr">
        <is>
          <t>C*-2; J2-2; A1-2; I7-2; I6-2</t>
        </is>
      </c>
      <c r="N482" s="7" t="n">
        <v>0.25</v>
      </c>
      <c r="O482" s="4" t="n"/>
      <c r="P482" s="2" t="inlineStr">
        <is>
          <t>45214610</t>
        </is>
      </c>
      <c r="Q482" s="8" t="inlineStr">
        <is>
          <t>Ver</t>
        </is>
      </c>
      <c r="R482" s="8" t="inlineStr">
        <is>
          <t>PCAP</t>
        </is>
      </c>
      <c r="S482" s="9" t="n">
        <v>46311</v>
      </c>
      <c r="T482" s="3" t="n">
        <v>46321.43767361111</v>
      </c>
      <c r="U482" s="2" t="n"/>
    </row>
    <row r="483">
      <c r="A483" s="2" t="inlineStr">
        <is>
          <t>En plazo</t>
        </is>
      </c>
      <c r="B483" s="3" t="n">
        <v>46342.99930555555</v>
      </c>
      <c r="C483" s="5" t="n">
        <v>59609.68</v>
      </c>
      <c r="D483" s="5" t="n">
        <v>59609.68</v>
      </c>
      <c r="E483" s="2" t="inlineStr">
        <is>
          <t>Comunitat Valenciana</t>
        </is>
      </c>
      <c r="F483" s="2" t="inlineStr">
        <is>
          <t>Alicante</t>
        </is>
      </c>
      <c r="G483" s="2" t="n"/>
      <c r="H483" s="2" t="inlineStr">
        <is>
          <t>Junta de Gobierno del Ayuntamiento de Elche</t>
        </is>
      </c>
      <c r="I483" s="2" t="inlineStr">
        <is>
          <t>Obras para la instalación de dos áreas deportivas de calistenia</t>
        </is>
      </c>
      <c r="J483" s="2" t="inlineStr">
        <is>
          <t>OBR/ABR_SMPL/2026000171</t>
        </is>
      </c>
      <c r="K483" s="2" t="inlineStr">
        <is>
          <t>Abierto simplificado</t>
        </is>
      </c>
      <c r="L483" s="6" t="n">
        <v>2</v>
      </c>
      <c r="M483" s="2" t="n"/>
      <c r="N483" s="7" t="n">
        <v>0.25</v>
      </c>
      <c r="O483" s="4" t="n"/>
      <c r="P483" s="2" t="inlineStr">
        <is>
          <t>45212200</t>
        </is>
      </c>
      <c r="Q483" s="8" t="inlineStr">
        <is>
          <t>Ver</t>
        </is>
      </c>
      <c r="R483" s="8" t="inlineStr">
        <is>
          <t>PCAP</t>
        </is>
      </c>
      <c r="S483" s="9" t="n">
        <v>46322</v>
      </c>
      <c r="T483" s="3" t="n">
        <v>46321.43653935185</v>
      </c>
      <c r="U483" s="2" t="n"/>
    </row>
    <row r="484">
      <c r="A484" s="2" t="inlineStr">
        <is>
          <t>Resuelta</t>
        </is>
      </c>
      <c r="B484" s="3" t="n">
        <v>45936.99930555555</v>
      </c>
      <c r="C484" s="5" t="n">
        <v>154797.13</v>
      </c>
      <c r="D484" s="5" t="n">
        <v>154797.13</v>
      </c>
      <c r="E484" s="2" t="inlineStr">
        <is>
          <t>Andalucía</t>
        </is>
      </c>
      <c r="F484" s="2" t="inlineStr">
        <is>
          <t>Sevilla</t>
        </is>
      </c>
      <c r="G484" s="2" t="inlineStr">
        <is>
          <t>Sevilla</t>
        </is>
      </c>
      <c r="H484" s="2" t="inlineStr">
        <is>
          <t>Junta de Gobierno del Ayuntamiento de Sevilla</t>
        </is>
      </c>
      <c r="I484" s="2" t="inlineStr">
        <is>
          <t>Proyecto de zona de juegos infantiles en el Parque de la calle Faustino Gutiérrez Alviz</t>
        </is>
      </c>
      <c r="J484" s="2" t="inlineStr">
        <is>
          <t>2025/000558</t>
        </is>
      </c>
      <c r="K484" s="2" t="inlineStr">
        <is>
          <t>Abierto simplificado</t>
        </is>
      </c>
      <c r="L484" s="6" t="n">
        <v>2</v>
      </c>
      <c r="M484" s="2" t="n"/>
      <c r="N484" s="7" t="n">
        <v>0</v>
      </c>
      <c r="O484" s="4" t="n"/>
      <c r="P484" s="2" t="inlineStr">
        <is>
          <t>45212140; 45233200</t>
        </is>
      </c>
      <c r="Q484" s="8" t="inlineStr">
        <is>
          <t>Ver</t>
        </is>
      </c>
      <c r="R484" s="8" t="inlineStr">
        <is>
          <t>PCAP</t>
        </is>
      </c>
      <c r="S484" s="9" t="n">
        <v>46322</v>
      </c>
      <c r="T484" s="3" t="n">
        <v>46321.43332175926</v>
      </c>
      <c r="U484" s="2" t="n"/>
    </row>
    <row r="485">
      <c r="A485" s="2" t="inlineStr">
        <is>
          <t>Plazo vencido</t>
        </is>
      </c>
      <c r="B485" s="3" t="n">
        <v>46323.99930555555</v>
      </c>
      <c r="C485" s="5" t="n">
        <v>547041.28</v>
      </c>
      <c r="D485" s="5" t="n">
        <v>547041.28</v>
      </c>
      <c r="E485" s="2" t="inlineStr">
        <is>
          <t>Andalucía</t>
        </is>
      </c>
      <c r="F485" s="2" t="inlineStr">
        <is>
          <t>Sevilla</t>
        </is>
      </c>
      <c r="G485" s="2" t="inlineStr">
        <is>
          <t>Sevilla</t>
        </is>
      </c>
      <c r="H485" s="2" t="inlineStr">
        <is>
          <t>Consejo de Administración de la Agencia de Régimen Especial Ciclo Integral Aguas del Retortillo</t>
        </is>
      </c>
      <c r="I485" s="2" t="inlineStr">
        <is>
          <t>PAS/OBRAS/007/2026 Obras construcción EDAR Natural Puerto de la Encina</t>
        </is>
      </c>
      <c r="J485" s="2" t="inlineStr">
        <is>
          <t>1009/2026</t>
        </is>
      </c>
      <c r="K485" s="2" t="inlineStr">
        <is>
          <t>Abierto simplificado</t>
        </is>
      </c>
      <c r="L485" s="6" t="n">
        <v>6</v>
      </c>
      <c r="M485" s="2" t="inlineStr">
        <is>
          <t>E1-3</t>
        </is>
      </c>
      <c r="N485" s="7" t="n">
        <v>0</v>
      </c>
      <c r="O485" s="4" t="n"/>
      <c r="P485" s="2" t="inlineStr">
        <is>
          <t>45252100</t>
        </is>
      </c>
      <c r="Q485" s="8" t="inlineStr">
        <is>
          <t>Ver</t>
        </is>
      </c>
      <c r="R485" s="8" t="inlineStr">
        <is>
          <t>PCAP</t>
        </is>
      </c>
      <c r="S485" s="9" t="n">
        <v>46310</v>
      </c>
      <c r="T485" s="3" t="n">
        <v>46321.43309027778</v>
      </c>
      <c r="U485" s="2" t="inlineStr">
        <is>
          <t>2026-10-27: plazo 2026-10-28 00:59 → 2026-10-28 23:59</t>
        </is>
      </c>
    </row>
    <row r="486">
      <c r="A486" s="2" t="inlineStr">
        <is>
          <t>Resuelta</t>
        </is>
      </c>
      <c r="B486" s="3" t="n">
        <v>44910.58333333334</v>
      </c>
      <c r="C486" s="5" t="n">
        <v>38105.83</v>
      </c>
      <c r="D486" s="5" t="n">
        <v>38105.83</v>
      </c>
      <c r="E486" s="2" t="inlineStr">
        <is>
          <t>Andalucía</t>
        </is>
      </c>
      <c r="F486" s="2" t="inlineStr">
        <is>
          <t>Málaga</t>
        </is>
      </c>
      <c r="G486" s="2" t="n"/>
      <c r="H486" s="2" t="inlineStr">
        <is>
          <t>Alcaldía del Ayuntamiento de Estepona</t>
        </is>
      </c>
      <c r="I486" s="2" t="inlineStr">
        <is>
          <t>obras para la rehabilitación integral energética del Museo Arqueológico de Estepona (Málaga), actuación incluida en el marco del Programa Extraordinario de Sostenibilidad Turística en Destinos 2021-2023 en el eje 2 Mejora de la Eficiencia Energética del Plan Estratégico de Turismo Sostenible de Estepona 2022-2024, financiado por el plan de Recuperación, Transformación y Resiliencia-Financiado por la Unión Europea Next-Generation EU.</t>
        </is>
      </c>
      <c r="J486" s="2" t="inlineStr">
        <is>
          <t>32275/2022</t>
        </is>
      </c>
      <c r="K486" s="2" t="inlineStr">
        <is>
          <t>Abierto simplificado</t>
        </is>
      </c>
      <c r="L486" s="6" t="n">
        <v>1</v>
      </c>
      <c r="M486" s="2" t="inlineStr">
        <is>
          <t>I1-1</t>
        </is>
      </c>
      <c r="N486" s="7" t="n">
        <v>0</v>
      </c>
      <c r="O486" s="4" t="n"/>
      <c r="P486" s="2" t="inlineStr">
        <is>
          <t>45331000; 31520000; 39717200</t>
        </is>
      </c>
      <c r="Q486" s="8" t="inlineStr">
        <is>
          <t>Ver</t>
        </is>
      </c>
      <c r="R486" s="8" t="inlineStr">
        <is>
          <t>PCAP</t>
        </is>
      </c>
      <c r="S486" s="9" t="n">
        <v>46322</v>
      </c>
      <c r="T486" s="3" t="n">
        <v>46321.4325462963</v>
      </c>
      <c r="U486" s="2" t="n"/>
    </row>
    <row r="487">
      <c r="A487" s="2" t="inlineStr">
        <is>
          <t>Adjudicada</t>
        </is>
      </c>
      <c r="B487" s="3" t="n">
        <v>46259.99930555555</v>
      </c>
      <c r="C487" s="5" t="n">
        <v>184295.09</v>
      </c>
      <c r="D487" s="5" t="n">
        <v>184295.09</v>
      </c>
      <c r="E487" s="2" t="inlineStr">
        <is>
          <t>Andalucía</t>
        </is>
      </c>
      <c r="F487" s="2" t="inlineStr">
        <is>
          <t>Granada</t>
        </is>
      </c>
      <c r="G487" s="2" t="n"/>
      <c r="H487" s="2" t="inlineStr">
        <is>
          <t>Alcaldía del Ayuntamiento de Cenes de la Vega</t>
        </is>
      </c>
      <c r="I487"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487" s="2" t="inlineStr">
        <is>
          <t>1580/2026</t>
        </is>
      </c>
      <c r="K487" s="2" t="inlineStr">
        <is>
          <t>Abierto simplificado</t>
        </is>
      </c>
      <c r="L487" s="6" t="n">
        <v>4</v>
      </c>
      <c r="M487" s="2" t="n"/>
      <c r="N487" s="7" t="n">
        <v>0</v>
      </c>
      <c r="O487" s="4" t="n"/>
      <c r="P487" s="2" t="inlineStr">
        <is>
          <t>45212600</t>
        </is>
      </c>
      <c r="Q487" s="8" t="inlineStr">
        <is>
          <t>Ver</t>
        </is>
      </c>
      <c r="R487" s="8" t="inlineStr">
        <is>
          <t>PCAP</t>
        </is>
      </c>
      <c r="S487" s="9" t="n">
        <v>46310</v>
      </c>
      <c r="T487" s="3" t="n">
        <v>46321.42986111111</v>
      </c>
      <c r="U487" s="2" t="inlineStr">
        <is>
          <t>2026-10-27: estado EV → ADJ</t>
        </is>
      </c>
    </row>
    <row r="488">
      <c r="A488" s="2" t="inlineStr">
        <is>
          <t>Pendiente de adjudicación</t>
        </is>
      </c>
      <c r="B488" s="3" t="n">
        <v>46205.99930555555</v>
      </c>
      <c r="C488" s="5" t="n">
        <v>48865.76</v>
      </c>
      <c r="D488" s="5" t="n">
        <v>48865.76</v>
      </c>
      <c r="E488" s="2" t="inlineStr">
        <is>
          <t>Comunitat Valenciana</t>
        </is>
      </c>
      <c r="F488" s="2" t="inlineStr">
        <is>
          <t>Alicante</t>
        </is>
      </c>
      <c r="G488" s="2" t="n"/>
      <c r="H488" s="2" t="inlineStr">
        <is>
          <t>Teniente de Alcalde de Contratación Pública del Ayuntamiento de Elche</t>
        </is>
      </c>
      <c r="I488" s="2" t="inlineStr">
        <is>
          <t>Trabajos necesarios de instalación (sustitución, reparación y/o adaptación) de los sistemas de alarma y detección de incendios en determinados edificios municipales y colegios públicos.</t>
        </is>
      </c>
      <c r="J488" s="2" t="inlineStr">
        <is>
          <t>OBR/ABR_SP_SMPL/2026000062</t>
        </is>
      </c>
      <c r="K488" s="2" t="inlineStr">
        <is>
          <t>Abierto simplificado</t>
        </is>
      </c>
      <c r="L488" s="6" t="n">
        <v>2.3</v>
      </c>
      <c r="M488" s="2" t="n"/>
      <c r="N488" s="7" t="n">
        <v>0</v>
      </c>
      <c r="O488" s="4" t="n"/>
      <c r="P488" s="2" t="inlineStr">
        <is>
          <t>45312100; 35121700</t>
        </is>
      </c>
      <c r="Q488" s="8" t="inlineStr">
        <is>
          <t>Ver</t>
        </is>
      </c>
      <c r="R488" s="8" t="inlineStr">
        <is>
          <t>PCAP</t>
        </is>
      </c>
      <c r="S488" s="9" t="n">
        <v>46317</v>
      </c>
      <c r="T488" s="3" t="n">
        <v>46321.42935185185</v>
      </c>
      <c r="U488" s="2" t="n"/>
    </row>
    <row r="489">
      <c r="A489" s="2" t="inlineStr">
        <is>
          <t>En plazo</t>
        </is>
      </c>
      <c r="B489" s="3" t="n">
        <v>46342.99930555555</v>
      </c>
      <c r="C489" s="5" t="n">
        <v>333333.16</v>
      </c>
      <c r="D489" s="5" t="n">
        <v>333333.16</v>
      </c>
      <c r="E489" s="2" t="inlineStr">
        <is>
          <t>Andalucía</t>
        </is>
      </c>
      <c r="F489" s="2" t="inlineStr">
        <is>
          <t>Granada</t>
        </is>
      </c>
      <c r="G489" s="2" t="n"/>
      <c r="H489" s="2" t="inlineStr">
        <is>
          <t>Presidencia de la Diputación Provincial de Granada</t>
        </is>
      </c>
      <c r="I489" s="2" t="inlineStr">
        <is>
          <t>2024/4/PPCGR/1-40 "Diputación, C.P. GR-3424 de Granada (A-4006) a Cogollos Vega (Instituto). Mejora de intersección con la A-4006"</t>
        </is>
      </c>
      <c r="J489" s="2" t="inlineStr">
        <is>
          <t>OB-065/26</t>
        </is>
      </c>
      <c r="K489" s="2" t="inlineStr">
        <is>
          <t>Abierto simplificado</t>
        </is>
      </c>
      <c r="L489" s="6" t="n">
        <v>4</v>
      </c>
      <c r="M489" s="2" t="inlineStr">
        <is>
          <t>G4-2</t>
        </is>
      </c>
      <c r="N489" s="7" t="n">
        <v>0</v>
      </c>
      <c r="O489" s="4" t="n"/>
      <c r="P489" s="2" t="inlineStr">
        <is>
          <t>45233120</t>
        </is>
      </c>
      <c r="Q489" s="8" t="inlineStr">
        <is>
          <t>Ver</t>
        </is>
      </c>
      <c r="R489" s="8" t="inlineStr">
        <is>
          <t>PCAP</t>
        </is>
      </c>
      <c r="S489" s="9" t="n">
        <v>46322</v>
      </c>
      <c r="T489" s="3" t="n">
        <v>46321.42844907408</v>
      </c>
      <c r="U489" s="2" t="n"/>
    </row>
    <row r="490">
      <c r="A490" s="2" t="inlineStr">
        <is>
          <t>Adjudicada</t>
        </is>
      </c>
      <c r="B490" s="3" t="n">
        <v>46267.99930555555</v>
      </c>
      <c r="C490" s="5" t="n">
        <v>19421.49</v>
      </c>
      <c r="D490" s="5" t="n">
        <v>19421.49</v>
      </c>
      <c r="E490" s="2" t="inlineStr">
        <is>
          <t>Comunitat Valenciana</t>
        </is>
      </c>
      <c r="F490" s="2" t="inlineStr">
        <is>
          <t>Alicante</t>
        </is>
      </c>
      <c r="G490" s="2" t="n"/>
      <c r="H490" s="2" t="inlineStr">
        <is>
          <t>Presidencia de la Diputación Provincial de Alicante</t>
        </is>
      </c>
      <c r="I490" s="2" t="inlineStr">
        <is>
          <t>Obras de restauración de zona degradada por vertido incontrolado de residuos en paraje sector la serreta tm de La Nucia - Alicante.</t>
        </is>
      </c>
      <c r="J490" s="2" t="inlineStr">
        <is>
          <t>O4SS-140/2026</t>
        </is>
      </c>
      <c r="K490" s="2" t="inlineStr">
        <is>
          <t>Abierto simplificado</t>
        </is>
      </c>
      <c r="L490" s="6" t="n">
        <v>1</v>
      </c>
      <c r="M490" s="2" t="n"/>
      <c r="N490" s="7" t="n">
        <v>0</v>
      </c>
      <c r="O490" s="4" t="n"/>
      <c r="P490" s="2" t="inlineStr">
        <is>
          <t>45111213</t>
        </is>
      </c>
      <c r="Q490" s="8" t="inlineStr">
        <is>
          <t>Ver</t>
        </is>
      </c>
      <c r="R490" s="8" t="inlineStr">
        <is>
          <t>PCAP</t>
        </is>
      </c>
      <c r="S490" s="9" t="n">
        <v>46322</v>
      </c>
      <c r="T490" s="3" t="n">
        <v>46321.42225694445</v>
      </c>
      <c r="U490" s="2" t="n"/>
    </row>
    <row r="491">
      <c r="A491" s="2" t="inlineStr">
        <is>
          <t>Pendiente de adjudicación</t>
        </is>
      </c>
      <c r="B491" s="3" t="n">
        <v>46316.99930555555</v>
      </c>
      <c r="C491" s="5" t="n">
        <v>15989.98</v>
      </c>
      <c r="D491" s="5" t="n">
        <v>15989.98</v>
      </c>
      <c r="E491" s="2" t="inlineStr">
        <is>
          <t>Andalucía</t>
        </is>
      </c>
      <c r="F491" s="2" t="inlineStr">
        <is>
          <t>Córdoba</t>
        </is>
      </c>
      <c r="G491" s="2" t="n"/>
      <c r="H491" s="2" t="inlineStr">
        <is>
          <t>Diputado delegado de Infraestructuras, Sostenibilidad y Agricultura</t>
        </is>
      </c>
      <c r="I491" s="2" t="inlineStr">
        <is>
          <t>Contratación de la obra Remodelación de la instalación eléctrica del edificio "Casa de los Maestros" en la Aldea de la Cardenchosa en Fuente Obejuna. Obra incluida en el Plan de Aldeas 2024-2027.</t>
        </is>
      </c>
      <c r="J491" s="2" t="inlineStr">
        <is>
          <t>681/26</t>
        </is>
      </c>
      <c r="K491" s="2" t="inlineStr">
        <is>
          <t>Abierto simplificado</t>
        </is>
      </c>
      <c r="L491" s="6" t="n">
        <v>3</v>
      </c>
      <c r="M491" s="2" t="n"/>
      <c r="N491" s="7" t="n">
        <v>0</v>
      </c>
      <c r="O491" s="4" t="n"/>
      <c r="P491" s="2" t="inlineStr">
        <is>
          <t>45310000</t>
        </is>
      </c>
      <c r="Q491" s="8" t="inlineStr">
        <is>
          <t>Ver</t>
        </is>
      </c>
      <c r="R491" s="8" t="inlineStr">
        <is>
          <t>PCAP</t>
        </is>
      </c>
      <c r="S491" s="9" t="n">
        <v>46322</v>
      </c>
      <c r="T491" s="3" t="n">
        <v>46321.41773148148</v>
      </c>
      <c r="U491" s="2" t="n"/>
    </row>
    <row r="492">
      <c r="A492" s="2" t="inlineStr">
        <is>
          <t>Adjudicada</t>
        </is>
      </c>
      <c r="B492" s="3" t="n"/>
      <c r="C492" s="5" t="n">
        <v>740783.96</v>
      </c>
      <c r="D492" s="5" t="n">
        <v>740783.96</v>
      </c>
      <c r="E492" s="2" t="inlineStr">
        <is>
          <t>Comunitat Valenciana</t>
        </is>
      </c>
      <c r="F492" s="2" t="inlineStr">
        <is>
          <t>Alicante</t>
        </is>
      </c>
      <c r="G492" s="2" t="n"/>
      <c r="H492" s="2" t="inlineStr">
        <is>
          <t>Vicepresidencia del Consejo de Administración de la Entidad Pública de Saneamiento de Aguas Residuales de la Comunidad Valenciana</t>
        </is>
      </c>
      <c r="I492" s="2" t="inlineStr">
        <is>
          <t>Obras de emergencia para la reparación de las cámaras húmedas de las estaciones de bombeo hospital y autopista del sistema de saneamiento y depuración de la Vila Joiosa (Alicante).</t>
        </is>
      </c>
      <c r="J492" s="2" t="inlineStr">
        <is>
          <t>CMAYOR/2026/EPSAR/0184</t>
        </is>
      </c>
      <c r="K492" s="2" t="inlineStr">
        <is>
          <t>Negociado sin publicidad</t>
        </is>
      </c>
      <c r="L492" s="6" t="n">
        <v>9</v>
      </c>
      <c r="M492" s="2" t="n"/>
      <c r="N492" s="7" t="n"/>
      <c r="O492" s="4" t="n"/>
      <c r="P492" s="2" t="inlineStr">
        <is>
          <t>45232152</t>
        </is>
      </c>
      <c r="Q492" s="8" t="inlineStr">
        <is>
          <t>Ver</t>
        </is>
      </c>
      <c r="R492" s="2" t="n"/>
      <c r="S492" s="9" t="n">
        <v>46322</v>
      </c>
      <c r="T492" s="3" t="n">
        <v>46321.41635416666</v>
      </c>
      <c r="U492" s="2" t="n"/>
    </row>
    <row r="493">
      <c r="A493" s="2" t="inlineStr">
        <is>
          <t>Pendiente de adjudicación</t>
        </is>
      </c>
      <c r="B493" s="3" t="n">
        <v>46244.99930555555</v>
      </c>
      <c r="C493" s="5" t="n">
        <v>120783.78</v>
      </c>
      <c r="D493" s="5" t="n">
        <v>120783.78</v>
      </c>
      <c r="E493" s="2" t="inlineStr">
        <is>
          <t>Andalucía</t>
        </is>
      </c>
      <c r="F493" s="2" t="inlineStr">
        <is>
          <t>Cádiz</t>
        </is>
      </c>
      <c r="G493" s="2" t="n"/>
      <c r="H493" s="2" t="inlineStr">
        <is>
          <t>Alcaldía del Ayuntamiento de Bornos</t>
        </is>
      </c>
      <c r="I493" s="2" t="inlineStr">
        <is>
          <t>Actuaciones de acondicionamiento de la zona trasera e instalaciones de la Residencia de la 3ª edad y Estancia Diurna en calle Vistahermosa s/n</t>
        </is>
      </c>
      <c r="J493" s="2" t="inlineStr">
        <is>
          <t>2026_11010_COAS_00001</t>
        </is>
      </c>
      <c r="K493" s="2" t="inlineStr">
        <is>
          <t>Abierto simplificado</t>
        </is>
      </c>
      <c r="L493" s="6" t="n">
        <v>2</v>
      </c>
      <c r="M493" s="2" t="n"/>
      <c r="N493" s="7" t="n">
        <v>0</v>
      </c>
      <c r="O493" s="4" t="n"/>
      <c r="P493" s="2" t="inlineStr">
        <is>
          <t>45210000; 45450000</t>
        </is>
      </c>
      <c r="Q493" s="8" t="inlineStr">
        <is>
          <t>Ver</t>
        </is>
      </c>
      <c r="R493" s="8" t="inlineStr">
        <is>
          <t>PCAP</t>
        </is>
      </c>
      <c r="S493" s="9" t="n">
        <v>46322</v>
      </c>
      <c r="T493" s="3" t="n">
        <v>46321.41612268519</v>
      </c>
      <c r="U493" s="2" t="n"/>
    </row>
    <row r="494">
      <c r="A494" s="2" t="inlineStr">
        <is>
          <t>Pendiente de adjudicación</t>
        </is>
      </c>
      <c r="B494" s="3" t="n">
        <v>46251.99930555555</v>
      </c>
      <c r="C494" s="5" t="n">
        <v>107190.08</v>
      </c>
      <c r="D494" s="5" t="n">
        <v>107190.08</v>
      </c>
      <c r="E494" s="2" t="inlineStr">
        <is>
          <t>Andalucía</t>
        </is>
      </c>
      <c r="F494" s="2" t="inlineStr">
        <is>
          <t>Cádiz</t>
        </is>
      </c>
      <c r="G494" s="2" t="n"/>
      <c r="H494" s="2" t="inlineStr">
        <is>
          <t>Alcaldía del Ayuntamiento de Bornos</t>
        </is>
      </c>
      <c r="I494" s="2" t="inlineStr">
        <is>
          <t>Terminación y equipamiento de edificio para usos múltiples socioculturales en calle Camilo José Cela s/n</t>
        </is>
      </c>
      <c r="J494" s="2" t="inlineStr">
        <is>
          <t>2026_11010_COAS_00003</t>
        </is>
      </c>
      <c r="K494" s="2" t="inlineStr">
        <is>
          <t>Abierto simplificado</t>
        </is>
      </c>
      <c r="L494" s="6" t="n">
        <v>8</v>
      </c>
      <c r="M494" s="2" t="n"/>
      <c r="N494" s="7" t="n">
        <v>0</v>
      </c>
      <c r="O494" s="4" t="n"/>
      <c r="P494" s="2" t="inlineStr">
        <is>
          <t>45210000</t>
        </is>
      </c>
      <c r="Q494" s="8" t="inlineStr">
        <is>
          <t>Ver</t>
        </is>
      </c>
      <c r="R494" s="8" t="inlineStr">
        <is>
          <t>PCAP</t>
        </is>
      </c>
      <c r="S494" s="9" t="n">
        <v>46322</v>
      </c>
      <c r="T494" s="3" t="n">
        <v>46321.41577546296</v>
      </c>
      <c r="U494" s="2" t="n"/>
    </row>
    <row r="495">
      <c r="A495" s="2" t="inlineStr">
        <is>
          <t>Resuelta</t>
        </is>
      </c>
      <c r="B495" s="3" t="n">
        <v>46262.99930555555</v>
      </c>
      <c r="C495" s="5" t="n">
        <v>141126.3</v>
      </c>
      <c r="D495" s="5" t="n">
        <v>155238.93</v>
      </c>
      <c r="E495" s="2" t="inlineStr">
        <is>
          <t>Comunitat Valenciana</t>
        </is>
      </c>
      <c r="F495" s="2" t="inlineStr">
        <is>
          <t>Alicante</t>
        </is>
      </c>
      <c r="G495" s="2" t="n"/>
      <c r="H495" s="2" t="inlineStr">
        <is>
          <t>Alcaldía del Ayuntamiento de Villena</t>
        </is>
      </c>
      <c r="I495" s="2" t="inlineStr">
        <is>
          <t>Obras de renovación de la red de saneamiento en la Calle Maestro Guillén.</t>
        </is>
      </c>
      <c r="J495" s="2" t="inlineStr">
        <is>
          <t>1831542J</t>
        </is>
      </c>
      <c r="K495" s="2" t="inlineStr">
        <is>
          <t>Abierto simplificado</t>
        </is>
      </c>
      <c r="L495" s="6" t="n">
        <v>3</v>
      </c>
      <c r="M495" s="2" t="n"/>
      <c r="N495" s="7" t="n">
        <v>0</v>
      </c>
      <c r="O495" s="4" t="n"/>
      <c r="P495" s="2" t="inlineStr">
        <is>
          <t>45232400; 45232411; 45232410</t>
        </is>
      </c>
      <c r="Q495" s="8" t="inlineStr">
        <is>
          <t>Ver</t>
        </is>
      </c>
      <c r="R495" s="8" t="inlineStr">
        <is>
          <t>PCAP</t>
        </is>
      </c>
      <c r="S495" s="9" t="n">
        <v>46314</v>
      </c>
      <c r="T495" s="3" t="n">
        <v>46321.41270833334</v>
      </c>
      <c r="U495" s="2" t="inlineStr">
        <is>
          <t>2026-10-27: estado ADJ → RES</t>
        </is>
      </c>
    </row>
    <row r="496">
      <c r="A496" s="2" t="inlineStr">
        <is>
          <t>En plazo</t>
        </is>
      </c>
      <c r="B496" s="3" t="n">
        <v>46342.99930555555</v>
      </c>
      <c r="C496" s="5" t="n">
        <v>70687.91</v>
      </c>
      <c r="D496" s="5" t="n">
        <v>70687.91</v>
      </c>
      <c r="E496" s="2" t="inlineStr">
        <is>
          <t>Andalucía</t>
        </is>
      </c>
      <c r="F496" s="2" t="inlineStr">
        <is>
          <t>Granada</t>
        </is>
      </c>
      <c r="G496" s="2" t="inlineStr">
        <is>
          <t>MONTILLANA</t>
        </is>
      </c>
      <c r="H496" s="2" t="inlineStr">
        <is>
          <t>Presidencia de la Diputación Provincial de Granada</t>
        </is>
      </c>
      <c r="I496" s="2" t="inlineStr">
        <is>
          <t>2026/4/PPOYS-119/1 "Montillana, infraestructuras y pavimentación en C/ García Lorca"</t>
        </is>
      </c>
      <c r="J496" s="2" t="inlineStr">
        <is>
          <t>OB-064/26</t>
        </is>
      </c>
      <c r="K496" s="2" t="inlineStr">
        <is>
          <t>Abierto simplificado</t>
        </is>
      </c>
      <c r="L496" s="6" t="n">
        <v>3</v>
      </c>
      <c r="M496" s="2" t="inlineStr">
        <is>
          <t>E7-1; G6-1</t>
        </is>
      </c>
      <c r="N496" s="7" t="n">
        <v>0</v>
      </c>
      <c r="O496" s="4" t="n"/>
      <c r="P496" s="2" t="inlineStr">
        <is>
          <t>45231100; 45233252</t>
        </is>
      </c>
      <c r="Q496" s="8" t="inlineStr">
        <is>
          <t>Ver</t>
        </is>
      </c>
      <c r="R496" s="8" t="inlineStr">
        <is>
          <t>PCAP</t>
        </is>
      </c>
      <c r="S496" s="9" t="n">
        <v>46322</v>
      </c>
      <c r="T496" s="3" t="n">
        <v>46321.41046296297</v>
      </c>
      <c r="U496" s="2" t="n"/>
    </row>
    <row r="497">
      <c r="A497" s="2" t="inlineStr">
        <is>
          <t>En plazo</t>
        </is>
      </c>
      <c r="B497" s="3" t="n">
        <v>46349.58333333334</v>
      </c>
      <c r="C497" s="5" t="n">
        <v>48333.78</v>
      </c>
      <c r="D497" s="5" t="n">
        <v>48333.78</v>
      </c>
      <c r="E497" s="2" t="inlineStr">
        <is>
          <t>Andalucía</t>
        </is>
      </c>
      <c r="F497" s="2" t="inlineStr">
        <is>
          <t>Sevilla</t>
        </is>
      </c>
      <c r="G497" s="2" t="n"/>
      <c r="H497" s="2" t="inlineStr">
        <is>
          <t>Junta de Gobierno Local del Ayuntamiento de Osuna</t>
        </is>
      </c>
      <c r="I497" s="2" t="inlineStr">
        <is>
          <t>Instalación de parques infantiles, zonas de juegos inclusivas y mejora de las existentes. zona recreativa con juegos inclusivos en Avenida Estación. Plan provincial Sevilla 107. Diputación provincial de Sevilla</t>
        </is>
      </c>
      <c r="J497" s="2" t="inlineStr">
        <is>
          <t>2354/2026</t>
        </is>
      </c>
      <c r="K497" s="2" t="inlineStr">
        <is>
          <t>Abierto</t>
        </is>
      </c>
      <c r="L497" s="6" t="n">
        <v>3</v>
      </c>
      <c r="M497" s="2" t="n"/>
      <c r="N497" s="7" t="n">
        <v>0.45</v>
      </c>
      <c r="O497" s="4" t="n"/>
      <c r="P497" s="2" t="inlineStr">
        <is>
          <t>45233293; 34928400</t>
        </is>
      </c>
      <c r="Q497" s="8" t="inlineStr">
        <is>
          <t>Ver</t>
        </is>
      </c>
      <c r="R497" s="8" t="inlineStr">
        <is>
          <t>PCAP</t>
        </is>
      </c>
      <c r="S497" s="9" t="n">
        <v>46322</v>
      </c>
      <c r="T497" s="3" t="n">
        <v>46321.40310185185</v>
      </c>
      <c r="U497" s="2" t="n"/>
    </row>
    <row r="498">
      <c r="A498" s="2" t="inlineStr">
        <is>
          <t>Resuelta</t>
        </is>
      </c>
      <c r="B498" s="3" t="n">
        <v>46184.99930555555</v>
      </c>
      <c r="C498" s="5" t="n">
        <v>621945.33</v>
      </c>
      <c r="D498" s="5" t="n">
        <v>621945.33</v>
      </c>
      <c r="E498" s="2" t="inlineStr">
        <is>
          <t>Andalucía</t>
        </is>
      </c>
      <c r="F498" s="2" t="inlineStr">
        <is>
          <t>Málaga</t>
        </is>
      </c>
      <c r="G498" s="2" t="inlineStr">
        <is>
          <t>Alhaurín el Grande</t>
        </is>
      </c>
      <c r="H498" s="2" t="inlineStr">
        <is>
          <t>Alcaldía del Ayuntamiento de Alhaurín el Grande</t>
        </is>
      </c>
      <c r="I498" s="2" t="inlineStr">
        <is>
          <t>El objeto del contrato de Obras consistirá en la mejora del acabado final mediante la aplicación de capa de mezcla bituminosa en caliente y mejora de la red de abastecimiento en el camino del Bujeo, de la Trocha y Arroyo de Pontezuelas. V2</t>
        </is>
      </c>
      <c r="J498" s="2" t="inlineStr">
        <is>
          <t>11962/2026 CAMINOS RURALES</t>
        </is>
      </c>
      <c r="K498" s="2" t="inlineStr">
        <is>
          <t>Abierto simplificado</t>
        </is>
      </c>
      <c r="L498" s="6" t="n">
        <v>10</v>
      </c>
      <c r="M498" s="2" t="n"/>
      <c r="N498" s="7" t="n">
        <v>0</v>
      </c>
      <c r="O498" s="4" t="n">
        <v>3</v>
      </c>
      <c r="P498" s="2" t="inlineStr">
        <is>
          <t>45233140</t>
        </is>
      </c>
      <c r="Q498" s="8" t="inlineStr">
        <is>
          <t>Ver</t>
        </is>
      </c>
      <c r="R498" s="8" t="inlineStr">
        <is>
          <t>PCAP</t>
        </is>
      </c>
      <c r="S498" s="9" t="n">
        <v>46322</v>
      </c>
      <c r="T498" s="3" t="n">
        <v>46321.40291666667</v>
      </c>
      <c r="U498" s="2" t="n"/>
    </row>
    <row r="499">
      <c r="A499" s="2" t="inlineStr">
        <is>
          <t>Pendiente de adjudicación</t>
        </is>
      </c>
      <c r="B499" s="3" t="n">
        <v>46287.99930555555</v>
      </c>
      <c r="C499" s="5" t="n">
        <v>226775.33</v>
      </c>
      <c r="D499" s="5" t="n">
        <v>226775.33</v>
      </c>
      <c r="E499" s="2" t="inlineStr">
        <is>
          <t>Comunitat Valenciana</t>
        </is>
      </c>
      <c r="F499" s="2" t="inlineStr">
        <is>
          <t>Valencia</t>
        </is>
      </c>
      <c r="G499" s="2" t="n"/>
      <c r="H499" s="2" t="inlineStr">
        <is>
          <t>Alcaldía del Ayuntamiento de Quart de Poblet</t>
        </is>
      </c>
      <c r="I499" s="2" t="inlineStr">
        <is>
          <t>Proyecto ejecución de rotonda entre las calles Avenida de Antic Regne Jesús Morante Borrás y Pintor Mariano Cruz del municipio de Quart de Poblet, incluido dentro del Plà d´Inversions 24-27 de la Diputación Provincial de Valencia.</t>
        </is>
      </c>
      <c r="J499" s="2" t="inlineStr">
        <is>
          <t>2688344M</t>
        </is>
      </c>
      <c r="K499" s="2" t="inlineStr">
        <is>
          <t>Abierto simplificado</t>
        </is>
      </c>
      <c r="L499" s="6" t="n">
        <v>3</v>
      </c>
      <c r="M499" s="2" t="n"/>
      <c r="N499" s="7" t="n">
        <v>0.25</v>
      </c>
      <c r="O499" s="4" t="n"/>
      <c r="P499" s="2" t="inlineStr">
        <is>
          <t>45233140</t>
        </is>
      </c>
      <c r="Q499" s="8" t="inlineStr">
        <is>
          <t>Ver</t>
        </is>
      </c>
      <c r="R499" s="8" t="inlineStr">
        <is>
          <t>PCAP</t>
        </is>
      </c>
      <c r="S499" s="9" t="n">
        <v>46322</v>
      </c>
      <c r="T499" s="3" t="n">
        <v>46321.40128472223</v>
      </c>
      <c r="U499" s="2" t="n"/>
    </row>
    <row r="500">
      <c r="A500" s="2" t="inlineStr">
        <is>
          <t>Adjudicada</t>
        </is>
      </c>
      <c r="B500" s="3" t="n">
        <v>46195.99930555555</v>
      </c>
      <c r="C500" s="5" t="n">
        <v>650987.6</v>
      </c>
      <c r="D500" s="5" t="n">
        <v>650987.6</v>
      </c>
      <c r="E500" s="2" t="inlineStr">
        <is>
          <t>Andalucía</t>
        </is>
      </c>
      <c r="F500" s="2" t="inlineStr">
        <is>
          <t>Málaga</t>
        </is>
      </c>
      <c r="G500" s="2" t="n"/>
      <c r="H500" s="2" t="inlineStr">
        <is>
          <t>Junta de Gobierno del Ayuntamiento de Marbella</t>
        </is>
      </c>
      <c r="I500" s="2" t="inlineStr">
        <is>
          <t>Contratación de la Obra Ejecución de Acerados en calle Incosol tramos numerados de 4 al 8, desde la comunidad Monte Salma en Avenida Ángel de Miguel hasta la comunidad Lomas de Río Real en avenida Alcudia. T.M. Marbella Málaga)</t>
        </is>
      </c>
      <c r="J500" s="2" t="inlineStr">
        <is>
          <t>OB 185/26</t>
        </is>
      </c>
      <c r="K500" s="2" t="inlineStr">
        <is>
          <t>Abierto</t>
        </is>
      </c>
      <c r="L500" s="6" t="n">
        <v>5</v>
      </c>
      <c r="M500" s="2" t="n"/>
      <c r="N500" s="7" t="n">
        <v>0.45</v>
      </c>
      <c r="O500" s="4" t="n"/>
      <c r="P500" s="2" t="inlineStr">
        <is>
          <t>45233140; 45233340</t>
        </is>
      </c>
      <c r="Q500" s="8" t="inlineStr">
        <is>
          <t>Ver</t>
        </is>
      </c>
      <c r="R500" s="8" t="inlineStr">
        <is>
          <t>PCAP</t>
        </is>
      </c>
      <c r="S500" s="9" t="n">
        <v>46310</v>
      </c>
      <c r="T500" s="3" t="n">
        <v>46321.39967592592</v>
      </c>
      <c r="U500" s="2" t="inlineStr">
        <is>
          <t>2026-10-27: estado EV → ADJ</t>
        </is>
      </c>
    </row>
    <row r="501">
      <c r="A501" s="2" t="inlineStr">
        <is>
          <t>Adjudicada</t>
        </is>
      </c>
      <c r="B501" s="3" t="n">
        <v>46279.99930555555</v>
      </c>
      <c r="C501" s="5" t="n">
        <v>868208.66</v>
      </c>
      <c r="D501" s="5" t="n">
        <v>868208.66</v>
      </c>
      <c r="E501" s="2" t="inlineStr">
        <is>
          <t>Comunitat Valenciana</t>
        </is>
      </c>
      <c r="F501" s="2" t="inlineStr">
        <is>
          <t>Castellón</t>
        </is>
      </c>
      <c r="G501" s="2" t="n"/>
      <c r="H501" s="2" t="inlineStr">
        <is>
          <t>Junta de Gobierno del Ayuntamiento de Castellón de la Plana</t>
        </is>
      </c>
      <c r="I501" s="2" t="inlineStr">
        <is>
          <t>Construcción de medidas correctoras del impacto acústico del Recinto de Ferias y Mercados de Castellón de la Plana</t>
        </is>
      </c>
      <c r="J501" s="2" t="inlineStr">
        <is>
          <t>146569/2025</t>
        </is>
      </c>
      <c r="K501" s="2" t="inlineStr">
        <is>
          <t>Abierto</t>
        </is>
      </c>
      <c r="L501" s="6" t="n">
        <v>5</v>
      </c>
      <c r="M501" s="2" t="n"/>
      <c r="N501" s="7" t="n">
        <v>0.48</v>
      </c>
      <c r="O501" s="4" t="n"/>
      <c r="P501" s="2" t="inlineStr">
        <is>
          <t>45220000</t>
        </is>
      </c>
      <c r="Q501" s="8" t="inlineStr">
        <is>
          <t>Ver</t>
        </is>
      </c>
      <c r="R501" s="8" t="inlineStr">
        <is>
          <t>PCAP</t>
        </is>
      </c>
      <c r="S501" s="9" t="n">
        <v>46310</v>
      </c>
      <c r="T501" s="3" t="n">
        <v>46321.39841435185</v>
      </c>
      <c r="U501" s="2" t="inlineStr">
        <is>
          <t>2026-10-27: estado EV → ADJ</t>
        </is>
      </c>
    </row>
    <row r="502">
      <c r="A502" s="2" t="inlineStr">
        <is>
          <t>Resuelta</t>
        </is>
      </c>
      <c r="B502" s="3" t="n"/>
      <c r="C502" s="5" t="n">
        <v>1564313.34</v>
      </c>
      <c r="D502" s="5" t="n">
        <v>1892819.15</v>
      </c>
      <c r="E502" s="2" t="inlineStr">
        <is>
          <t>Andalucía</t>
        </is>
      </c>
      <c r="F502" s="2" t="inlineStr">
        <is>
          <t>Granada</t>
        </is>
      </c>
      <c r="G502" s="2" t="n"/>
      <c r="H502" s="2" t="inlineStr">
        <is>
          <t>Demarcación de Carreteras del Estado en Andalucía Oriental</t>
        </is>
      </c>
      <c r="I502" s="2" t="inlineStr">
        <is>
          <t>Reparación de daños por las lluvias del 28 de enero de 2026 en la N-340A, TT.MM. de Adra y Balanegra, provincia de Almería. LOTE 1-EM38-AL-260005.L1</t>
        </is>
      </c>
      <c r="J502" s="2" t="inlineStr">
        <is>
          <t>EM38-AL-260005.L1</t>
        </is>
      </c>
      <c r="K502" s="2" t="inlineStr">
        <is>
          <t>Negociado sin publicidad</t>
        </is>
      </c>
      <c r="L502" s="6" t="n">
        <v>4</v>
      </c>
      <c r="M502" s="2" t="n"/>
      <c r="N502" s="7" t="n"/>
      <c r="O502" s="4" t="n"/>
      <c r="P502" s="2" t="inlineStr">
        <is>
          <t>45000000</t>
        </is>
      </c>
      <c r="Q502" s="8" t="inlineStr">
        <is>
          <t>Ver</t>
        </is>
      </c>
      <c r="R502" s="2" t="n"/>
      <c r="S502" s="9" t="n">
        <v>46322</v>
      </c>
      <c r="T502" s="3" t="n">
        <v>46321.39831018518</v>
      </c>
      <c r="U502" s="2" t="n"/>
    </row>
    <row r="503">
      <c r="A503" s="2" t="inlineStr">
        <is>
          <t>Pendiente de adjudicación</t>
        </is>
      </c>
      <c r="B503" s="3" t="n">
        <v>46317.99930555555</v>
      </c>
      <c r="C503" s="5" t="n">
        <v>1090919.91</v>
      </c>
      <c r="D503" s="5" t="n">
        <v>1309103.09</v>
      </c>
      <c r="E503" s="2" t="inlineStr">
        <is>
          <t>Andalucía</t>
        </is>
      </c>
      <c r="F503" s="2" t="inlineStr">
        <is>
          <t>Almería</t>
        </is>
      </c>
      <c r="G503" s="2" t="n"/>
      <c r="H503" s="2" t="inlineStr">
        <is>
          <t>Junta de Gobierno Local del Ayuntamiento de El Ejido</t>
        </is>
      </c>
      <c r="I503"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503" s="2" t="inlineStr">
        <is>
          <t>2026 1160</t>
        </is>
      </c>
      <c r="K503" s="2" t="inlineStr">
        <is>
          <t>Abierto simplificado</t>
        </is>
      </c>
      <c r="L503" s="6" t="n">
        <v>6</v>
      </c>
      <c r="M503" s="2" t="n"/>
      <c r="N503" s="7" t="n">
        <v>0.25</v>
      </c>
      <c r="O503" s="4" t="n"/>
      <c r="P503" s="2" t="inlineStr">
        <is>
          <t>45200000</t>
        </is>
      </c>
      <c r="Q503" s="8" t="inlineStr">
        <is>
          <t>Ver</t>
        </is>
      </c>
      <c r="R503" s="8" t="inlineStr">
        <is>
          <t>PCAP</t>
        </is>
      </c>
      <c r="S503" s="9" t="n">
        <v>46310</v>
      </c>
      <c r="T503" s="3" t="n">
        <v>46321.39707175926</v>
      </c>
      <c r="U503" s="2" t="inlineStr">
        <is>
          <t>2026-10-27: estado PUB → EV</t>
        </is>
      </c>
    </row>
    <row r="504">
      <c r="A504" s="2" t="inlineStr">
        <is>
          <t>Pendiente de adjudicación</t>
        </is>
      </c>
      <c r="B504" s="3" t="n">
        <v>46314.99930555555</v>
      </c>
      <c r="C504" s="5" t="n">
        <v>200748.83</v>
      </c>
      <c r="D504" s="5" t="n">
        <v>200748.83</v>
      </c>
      <c r="E504" s="2" t="inlineStr">
        <is>
          <t>Andalucía</t>
        </is>
      </c>
      <c r="F504" s="2" t="inlineStr">
        <is>
          <t>Jaén</t>
        </is>
      </c>
      <c r="G504" s="2" t="inlineStr">
        <is>
          <t>MENGÍBAR</t>
        </is>
      </c>
      <c r="H504" s="2" t="inlineStr">
        <is>
          <t>Alcaldía del Ayuntamiento de Mengibar</t>
        </is>
      </c>
      <c r="I504" s="2" t="inlineStr">
        <is>
          <t>Elbaoración de proyecto y Cubrición pista polideportiva CEIP José Plata</t>
        </is>
      </c>
      <c r="J504" s="2" t="inlineStr">
        <is>
          <t>2690/2026</t>
        </is>
      </c>
      <c r="K504" s="2" t="inlineStr">
        <is>
          <t>Abierto simplificado</t>
        </is>
      </c>
      <c r="L504" s="6" t="n">
        <v>4</v>
      </c>
      <c r="M504" s="2" t="n"/>
      <c r="N504" s="7" t="n">
        <v>0.2</v>
      </c>
      <c r="O504" s="4" t="n"/>
      <c r="P504" s="2" t="inlineStr">
        <is>
          <t>45261000; 71320000</t>
        </is>
      </c>
      <c r="Q504" s="8" t="inlineStr">
        <is>
          <t>Ver</t>
        </is>
      </c>
      <c r="R504" s="8" t="inlineStr">
        <is>
          <t>PCAP</t>
        </is>
      </c>
      <c r="S504" s="9" t="n">
        <v>46317</v>
      </c>
      <c r="T504" s="3" t="n">
        <v>46321.39559027777</v>
      </c>
      <c r="U504" s="2" t="n"/>
    </row>
    <row r="505">
      <c r="A505" s="2" t="inlineStr">
        <is>
          <t>En plazo</t>
        </is>
      </c>
      <c r="B505" s="3" t="n">
        <v>46344.99930555555</v>
      </c>
      <c r="C505" s="5" t="n">
        <v>782875</v>
      </c>
      <c r="D505" s="5" t="n">
        <v>782875</v>
      </c>
      <c r="E505" s="2" t="inlineStr">
        <is>
          <t>Andalucía</t>
        </is>
      </c>
      <c r="F505" s="2" t="inlineStr">
        <is>
          <t>Sevilla</t>
        </is>
      </c>
      <c r="G505" s="2" t="n"/>
      <c r="H505" s="2" t="inlineStr">
        <is>
          <t>Alcaldía del Ayuntamiento de Lantejuela</t>
        </is>
      </c>
      <c r="I505" s="2" t="inlineStr">
        <is>
          <t>Obras de actuciones de reforma en el complejo polideportivo municipal de lantejuela (Sevilla)</t>
        </is>
      </c>
      <c r="J505" s="2" t="inlineStr">
        <is>
          <t>P4105200B-2026/000230-PAA</t>
        </is>
      </c>
      <c r="K505" s="2" t="inlineStr">
        <is>
          <t>Abierto</t>
        </is>
      </c>
      <c r="L505" s="6" t="n">
        <v>6</v>
      </c>
      <c r="M505" s="2" t="n"/>
      <c r="N505" s="7" t="n">
        <v>0</v>
      </c>
      <c r="O505" s="4" t="n">
        <v>2</v>
      </c>
      <c r="P505" s="2" t="inlineStr">
        <is>
          <t>45200000; 45212200</t>
        </is>
      </c>
      <c r="Q505" s="8" t="inlineStr">
        <is>
          <t>Ver</t>
        </is>
      </c>
      <c r="R505" s="8" t="inlineStr">
        <is>
          <t>PCAP</t>
        </is>
      </c>
      <c r="S505" s="9" t="n">
        <v>46321</v>
      </c>
      <c r="T505" s="3" t="n">
        <v>46321.39398148148</v>
      </c>
      <c r="U505" s="2" t="n"/>
    </row>
    <row r="506">
      <c r="A506" s="2" t="inlineStr">
        <is>
          <t>Pendiente de adjudicación</t>
        </is>
      </c>
      <c r="B506" s="3" t="n">
        <v>46309.99930555555</v>
      </c>
      <c r="C506" s="5" t="n">
        <v>174883.47</v>
      </c>
      <c r="D506" s="5" t="n">
        <v>174883.47</v>
      </c>
      <c r="E506" s="2" t="inlineStr">
        <is>
          <t>Andalucía</t>
        </is>
      </c>
      <c r="F506" s="2" t="inlineStr">
        <is>
          <t>Almería</t>
        </is>
      </c>
      <c r="G506" s="2" t="inlineStr">
        <is>
          <t>VÍCAR</t>
        </is>
      </c>
      <c r="H506" s="2" t="inlineStr">
        <is>
          <t>JUNTA DE GOBIERNO LOCAL AYUNTAMIENTO DE VÍCAR</t>
        </is>
      </c>
      <c r="I506" s="2" t="inlineStr">
        <is>
          <t>Reposición del césped artificial de los campos de fútbol-7 en la Ciudad Deportiva, TM de VÍCAR (Almería).</t>
        </is>
      </c>
      <c r="J506" s="2" t="inlineStr">
        <is>
          <t>8226/2026</t>
        </is>
      </c>
      <c r="K506" s="2" t="inlineStr">
        <is>
          <t>Abierto simplificado</t>
        </is>
      </c>
      <c r="L506" s="6" t="n">
        <v>2</v>
      </c>
      <c r="M506" s="2" t="n"/>
      <c r="N506" s="7" t="n">
        <v>0.25</v>
      </c>
      <c r="O506" s="4" t="n"/>
      <c r="P506" s="2" t="inlineStr">
        <is>
          <t>45212290; 39293400; 45212200</t>
        </is>
      </c>
      <c r="Q506" s="8" t="inlineStr">
        <is>
          <t>Ver</t>
        </is>
      </c>
      <c r="R506" s="8" t="inlineStr">
        <is>
          <t>PCAP</t>
        </is>
      </c>
      <c r="S506" s="9" t="n">
        <v>46317</v>
      </c>
      <c r="T506" s="3" t="n">
        <v>46321.3934837963</v>
      </c>
      <c r="U506" s="2" t="n"/>
    </row>
    <row r="507">
      <c r="A507" s="2" t="inlineStr">
        <is>
          <t>Pendiente de adjudicación</t>
        </is>
      </c>
      <c r="B507" s="3" t="n">
        <v>46303.99930555555</v>
      </c>
      <c r="C507" s="5" t="n">
        <v>631437.8</v>
      </c>
      <c r="D507" s="5" t="n">
        <v>631437.8</v>
      </c>
      <c r="E507" s="2" t="inlineStr">
        <is>
          <t>Andalucía</t>
        </is>
      </c>
      <c r="F507" s="2" t="inlineStr">
        <is>
          <t>Córdoba</t>
        </is>
      </c>
      <c r="G507" s="2" t="inlineStr">
        <is>
          <t>CABRA</t>
        </is>
      </c>
      <c r="H507" s="2" t="inlineStr">
        <is>
          <t>Alcaldía del Ayuntamiento de Cabra</t>
        </is>
      </c>
      <c r="I507" s="2" t="inlineStr">
        <is>
          <t>Contratación de las obras de Construcción de un depósito de agua en la ladera oeste del promotorio conocido como Atalaya de Cabra (Córdoba), del Plan de Actuación Integrado de Cabra: Cabra Crece Contigo, financiado en un 85% por la Unión Europea a través del Fondo Europeo de Desarrollo Regional (FEDER), y en un 15% por el Ilmo. Ayuntamiento de Cabra.</t>
        </is>
      </c>
      <c r="J507" s="2" t="inlineStr">
        <is>
          <t>2026/25340</t>
        </is>
      </c>
      <c r="K507" s="2" t="inlineStr">
        <is>
          <t>Abierto simplificado</t>
        </is>
      </c>
      <c r="L507" s="6" t="n">
        <v>6</v>
      </c>
      <c r="M507" s="2" t="n"/>
      <c r="N507" s="7" t="n">
        <v>0</v>
      </c>
      <c r="O507" s="4" t="n"/>
      <c r="P507" s="2" t="inlineStr">
        <is>
          <t>45232150; 45232154</t>
        </is>
      </c>
      <c r="Q507" s="8" t="inlineStr">
        <is>
          <t>Ver</t>
        </is>
      </c>
      <c r="R507" s="8" t="inlineStr">
        <is>
          <t>PCAP</t>
        </is>
      </c>
      <c r="S507" s="9" t="n">
        <v>46322</v>
      </c>
      <c r="T507" s="3" t="n">
        <v>46321.38908564814</v>
      </c>
      <c r="U507" s="2" t="n"/>
    </row>
    <row r="508">
      <c r="A508" s="2" t="inlineStr">
        <is>
          <t>Resuelta</t>
        </is>
      </c>
      <c r="B508" s="3" t="n">
        <v>46219.99930555555</v>
      </c>
      <c r="C508" s="5" t="n">
        <v>316426.4</v>
      </c>
      <c r="D508" s="5" t="n">
        <v>316426.4</v>
      </c>
      <c r="E508" s="2" t="inlineStr">
        <is>
          <t>Comunitat Valenciana</t>
        </is>
      </c>
      <c r="F508" s="2" t="inlineStr">
        <is>
          <t>Alicante</t>
        </is>
      </c>
      <c r="G508" s="2" t="n"/>
      <c r="H508" s="2" t="inlineStr">
        <is>
          <t>Presidencia de la Diputación Provincial de Alicante</t>
        </is>
      </c>
      <c r="I508" s="2" t="inlineStr">
        <is>
          <t>"Obras de asfaltado y mejora de caminos rurales, en el municipio de Tollos (2024.PLA.254)"</t>
        </is>
      </c>
      <c r="J508" s="2" t="inlineStr">
        <is>
          <t>O4S-048/2026</t>
        </is>
      </c>
      <c r="K508" s="2" t="inlineStr">
        <is>
          <t>Abierto simplificado</t>
        </is>
      </c>
      <c r="L508" s="6" t="n">
        <v>3</v>
      </c>
      <c r="M508" s="2" t="n"/>
      <c r="N508" s="7" t="n">
        <v>0</v>
      </c>
      <c r="O508" s="4" t="n"/>
      <c r="P508" s="2" t="inlineStr">
        <is>
          <t>45200000</t>
        </is>
      </c>
      <c r="Q508" s="8" t="inlineStr">
        <is>
          <t>Ver</t>
        </is>
      </c>
      <c r="R508" s="8" t="inlineStr">
        <is>
          <t>PCAP</t>
        </is>
      </c>
      <c r="S508" s="9" t="n">
        <v>46317</v>
      </c>
      <c r="T508" s="3" t="n">
        <v>46321.38615740741</v>
      </c>
      <c r="U508" s="2" t="inlineStr">
        <is>
          <t>2026-10-27: estado ADJ → RES</t>
        </is>
      </c>
    </row>
    <row r="509">
      <c r="A509" s="2" t="inlineStr">
        <is>
          <t>Pendiente de adjudicación</t>
        </is>
      </c>
      <c r="B509" s="3" t="n">
        <v>46331.58333333334</v>
      </c>
      <c r="C509" s="5" t="n">
        <v>122834.27</v>
      </c>
      <c r="D509" s="5" t="n">
        <v>122834.27</v>
      </c>
      <c r="E509" s="2" t="inlineStr">
        <is>
          <t>Andalucía</t>
        </is>
      </c>
      <c r="F509" s="2" t="inlineStr">
        <is>
          <t>Jaén</t>
        </is>
      </c>
      <c r="G509" s="2" t="n"/>
      <c r="H509" s="2" t="inlineStr">
        <is>
          <t>Alcaldía del Ayuntamiento de Alcaudete</t>
        </is>
      </c>
      <c r="I509" s="2" t="inlineStr">
        <is>
          <t>Reforma Centro Social de Mayores de Los Noguerones, sita en Pz. Andalucía nº 6, Los Noguerones, 23669, Alcaudete (Jaén).</t>
        </is>
      </c>
      <c r="J509" s="2" t="inlineStr">
        <is>
          <t>6762/2026</t>
        </is>
      </c>
      <c r="K509" s="2" t="inlineStr">
        <is>
          <t>Negociado sin publicidad</t>
        </is>
      </c>
      <c r="L509" s="6" t="n">
        <v>6</v>
      </c>
      <c r="M509" s="2" t="n"/>
      <c r="N509" s="7" t="n">
        <v>0.213</v>
      </c>
      <c r="O509" s="4" t="n"/>
      <c r="P509" s="2" t="inlineStr">
        <is>
          <t>45000000; 45215221; 45215200</t>
        </is>
      </c>
      <c r="Q509" s="8" t="inlineStr">
        <is>
          <t>Ver</t>
        </is>
      </c>
      <c r="R509" s="8" t="inlineStr">
        <is>
          <t>PCAP</t>
        </is>
      </c>
      <c r="S509" s="9" t="n">
        <v>46322</v>
      </c>
      <c r="T509" s="3" t="n">
        <v>46321.38157407408</v>
      </c>
      <c r="U509" s="2" t="n"/>
    </row>
    <row r="510">
      <c r="A510" s="2" t="inlineStr">
        <is>
          <t>En plazo</t>
        </is>
      </c>
      <c r="B510" s="3" t="n">
        <v>46345.58333333334</v>
      </c>
      <c r="C510" s="5" t="n">
        <v>2070399.74</v>
      </c>
      <c r="D510" s="5" t="n">
        <v>2070399.74</v>
      </c>
      <c r="E510" s="2" t="inlineStr">
        <is>
          <t>Comunitat Valenciana</t>
        </is>
      </c>
      <c r="F510" s="2" t="inlineStr">
        <is>
          <t>Valencia</t>
        </is>
      </c>
      <c r="G510" s="2" t="n"/>
      <c r="H510" s="2" t="inlineStr">
        <is>
          <t>Concejalía Delegada de Contratación del Ayuntamiento de Gandía</t>
        </is>
      </c>
      <c r="I510" s="2" t="inlineStr">
        <is>
          <t>Contrato de obras consistente en la ejecución del proyecto actualizado de actuaciones en el CEIP Mondúber, derivado de la modificación de la delegación de competencias_ EDIFICANT.</t>
        </is>
      </c>
      <c r="J510" s="2" t="inlineStr">
        <is>
          <t>CONT-074/2026 (50124/2026)</t>
        </is>
      </c>
      <c r="K510" s="2" t="inlineStr">
        <is>
          <t>Abierto</t>
        </is>
      </c>
      <c r="L510" s="6" t="n">
        <v>14</v>
      </c>
      <c r="M510" s="2" t="inlineStr">
        <is>
          <t>C*-5</t>
        </is>
      </c>
      <c r="N510" s="7" t="n">
        <v>0.25</v>
      </c>
      <c r="O510" s="4" t="n"/>
      <c r="P510" s="2" t="inlineStr">
        <is>
          <t>45214210</t>
        </is>
      </c>
      <c r="Q510" s="8" t="inlineStr">
        <is>
          <t>Ver</t>
        </is>
      </c>
      <c r="R510" s="8" t="inlineStr">
        <is>
          <t>PCAP</t>
        </is>
      </c>
      <c r="S510" s="9" t="n">
        <v>46321</v>
      </c>
      <c r="T510" s="3" t="n">
        <v>46321.37609953704</v>
      </c>
      <c r="U510" s="2" t="n"/>
    </row>
    <row r="511">
      <c r="A511" s="2" t="inlineStr">
        <is>
          <t>En plazo</t>
        </is>
      </c>
      <c r="B511" s="3" t="n">
        <v>46351.54166666666</v>
      </c>
      <c r="C511" s="5" t="n">
        <v>15485878.79</v>
      </c>
      <c r="D511" s="5" t="n">
        <v>20131642.43</v>
      </c>
      <c r="E511" s="2" t="inlineStr">
        <is>
          <t>Comunitat Valenciana</t>
        </is>
      </c>
      <c r="F511" s="2" t="inlineStr">
        <is>
          <t>Valencia</t>
        </is>
      </c>
      <c r="G511" s="2" t="inlineStr">
        <is>
          <t>Valencia</t>
        </is>
      </c>
      <c r="H511" s="2" t="inlineStr">
        <is>
          <t>Consejo de Administración de la Autoridad Portuaria de Valencia</t>
        </is>
      </c>
      <c r="I511" s="2" t="inlineStr">
        <is>
          <t>Construcción de nueva subestación transformadora de 132/20 kV tipo GIS de interior con dos transformadores 132/20 kV, 55 MVA-ST. Autoridad Portuaria de Valencia 2</t>
        </is>
      </c>
      <c r="J511" s="2" t="inlineStr">
        <is>
          <t>EC26-C02-02310</t>
        </is>
      </c>
      <c r="K511" s="2" t="inlineStr">
        <is>
          <t>Abierto</t>
        </is>
      </c>
      <c r="L511" s="6" t="n">
        <v>20</v>
      </c>
      <c r="M511" s="2" t="inlineStr">
        <is>
          <t>I4-4</t>
        </is>
      </c>
      <c r="N511" s="7" t="n">
        <v>0.49</v>
      </c>
      <c r="O511" s="4" t="n"/>
      <c r="P511" s="2" t="inlineStr">
        <is>
          <t>45232220</t>
        </is>
      </c>
      <c r="Q511" s="8" t="inlineStr">
        <is>
          <t>Ver</t>
        </is>
      </c>
      <c r="R511" s="8" t="inlineStr">
        <is>
          <t>PCAP</t>
        </is>
      </c>
      <c r="S511" s="9" t="n">
        <v>46321</v>
      </c>
      <c r="T511" s="3" t="n">
        <v>46321.375</v>
      </c>
      <c r="U511" s="2" t="n"/>
    </row>
    <row r="512">
      <c r="A512" s="2" t="inlineStr">
        <is>
          <t>Resuelta</t>
        </is>
      </c>
      <c r="B512" s="3" t="n">
        <v>46220.99930555555</v>
      </c>
      <c r="C512" s="5" t="n">
        <v>5985824.78</v>
      </c>
      <c r="D512" s="5" t="n">
        <v>5985824.78</v>
      </c>
      <c r="E512" s="2" t="inlineStr">
        <is>
          <t>Andalucía</t>
        </is>
      </c>
      <c r="F512" s="2" t="inlineStr">
        <is>
          <t>Málaga</t>
        </is>
      </c>
      <c r="G512" s="2" t="n"/>
      <c r="H512" s="2" t="inlineStr">
        <is>
          <t>Pleno del Ayuntamiento de Alhaurín de la Torre</t>
        </is>
      </c>
      <c r="I512" s="2" t="inlineStr">
        <is>
          <t>Obras para la construcción del aparcamiento subterráneo disuasorio en la Avenida Isaac Peral y la reurbanización y peatonalización parcial de la Avenida Isaac Peral en el T.M. Alhaurín de la Torre.</t>
        </is>
      </c>
      <c r="J512" s="2" t="inlineStr">
        <is>
          <t>2026 CONT-00019</t>
        </is>
      </c>
      <c r="K512" s="2" t="inlineStr">
        <is>
          <t>Abierto</t>
        </is>
      </c>
      <c r="L512" s="6" t="n">
        <v>30</v>
      </c>
      <c r="M512" s="2" t="inlineStr">
        <is>
          <t>C2-4</t>
        </is>
      </c>
      <c r="N512" s="7" t="n">
        <v>0</v>
      </c>
      <c r="O512" s="4" t="n"/>
      <c r="P512" s="2" t="inlineStr">
        <is>
          <t>45200000; 45340000; 45261000; 45440000; 45320000; 45213316; 45330000; 45420000</t>
        </is>
      </c>
      <c r="Q512" s="8" t="inlineStr">
        <is>
          <t>Ver</t>
        </is>
      </c>
      <c r="R512" s="8" t="inlineStr">
        <is>
          <t>PCAP</t>
        </is>
      </c>
      <c r="S512" s="9" t="n">
        <v>46321</v>
      </c>
      <c r="T512" s="3" t="n">
        <v>46321.375</v>
      </c>
      <c r="U512" s="2" t="n"/>
    </row>
    <row r="513">
      <c r="A513" s="2" t="inlineStr">
        <is>
          <t>En plazo</t>
        </is>
      </c>
      <c r="B513" s="3" t="n">
        <v>46342.99930555555</v>
      </c>
      <c r="C513" s="5" t="n">
        <v>133686.35</v>
      </c>
      <c r="D513" s="5" t="n">
        <v>133686.35</v>
      </c>
      <c r="E513" s="2" t="inlineStr">
        <is>
          <t>Andalucía</t>
        </is>
      </c>
      <c r="F513" s="2" t="inlineStr">
        <is>
          <t>Almería</t>
        </is>
      </c>
      <c r="G513" s="2" t="n"/>
      <c r="H513" s="2" t="inlineStr">
        <is>
          <t>Comisión Ejecutiva de la Gerencia Municipal de Urbanismo del Ayuntamiento de Almería</t>
        </is>
      </c>
      <c r="I513" s="2" t="inlineStr">
        <is>
          <t>obras de Ejecución de cuadros de suministro eléctrico en vía pública (Almería)</t>
        </is>
      </c>
      <c r="J513" s="2" t="inlineStr">
        <is>
          <t>AYAL-2026000219</t>
        </is>
      </c>
      <c r="K513" s="2" t="inlineStr">
        <is>
          <t>Abierto simplificado</t>
        </is>
      </c>
      <c r="L513" s="6" t="n">
        <v>1.5</v>
      </c>
      <c r="M513" s="2" t="n"/>
      <c r="N513" s="7" t="n">
        <v>0</v>
      </c>
      <c r="O513" s="4" t="n"/>
      <c r="P513" s="2" t="inlineStr">
        <is>
          <t>45315600</t>
        </is>
      </c>
      <c r="Q513" s="8" t="inlineStr">
        <is>
          <t>Ver</t>
        </is>
      </c>
      <c r="R513" s="8" t="inlineStr">
        <is>
          <t>PCAP</t>
        </is>
      </c>
      <c r="S513" s="9" t="n">
        <v>46322</v>
      </c>
      <c r="T513" s="3" t="n">
        <v>46321.37313657408</v>
      </c>
      <c r="U513" s="2" t="n"/>
    </row>
    <row r="514">
      <c r="A514" s="2" t="inlineStr">
        <is>
          <t>Pendiente de adjudicación</t>
        </is>
      </c>
      <c r="B514" s="3" t="n">
        <v>46279.99930555555</v>
      </c>
      <c r="C514" s="5" t="n">
        <v>382107.44</v>
      </c>
      <c r="D514" s="5" t="n">
        <v>382107.44</v>
      </c>
      <c r="E514" s="2" t="inlineStr">
        <is>
          <t>Comunitat Valenciana</t>
        </is>
      </c>
      <c r="F514" s="2" t="inlineStr">
        <is>
          <t>Alicante</t>
        </is>
      </c>
      <c r="G514" s="2" t="n"/>
      <c r="H514" s="2" t="inlineStr">
        <is>
          <t>Dirección General de Labora Servicio Valenciano de Empleo y Formación</t>
        </is>
      </c>
      <c r="I514" s="2" t="inlineStr">
        <is>
          <t>Obras de adecuación de local como oficina de prestaciones SEPE, situado en la calle Mariano Benlliure, nº 6, de Elche (Alicante)</t>
        </is>
      </c>
      <c r="J514" s="2" t="inlineStr">
        <is>
          <t>CMAYOR/2026/19Y23/0031</t>
        </is>
      </c>
      <c r="K514" s="2" t="inlineStr">
        <is>
          <t>Abierto simplificado</t>
        </is>
      </c>
      <c r="L514" s="6" t="n">
        <v>7</v>
      </c>
      <c r="M514" s="2" t="n"/>
      <c r="N514" s="7" t="n">
        <v>0</v>
      </c>
      <c r="O514" s="4" t="n"/>
      <c r="P514" s="2" t="inlineStr">
        <is>
          <t>45210000</t>
        </is>
      </c>
      <c r="Q514" s="8" t="inlineStr">
        <is>
          <t>Ver</t>
        </is>
      </c>
      <c r="R514" s="8" t="inlineStr">
        <is>
          <t>PCAP</t>
        </is>
      </c>
      <c r="S514" s="9" t="n">
        <v>46322</v>
      </c>
      <c r="T514" s="3" t="n">
        <v>46321.36569444444</v>
      </c>
      <c r="U514" s="2" t="n"/>
    </row>
    <row r="515">
      <c r="A515" s="2" t="inlineStr">
        <is>
          <t>Resuelta</t>
        </is>
      </c>
      <c r="B515" s="3" t="n">
        <v>45803.99930555555</v>
      </c>
      <c r="C515" s="5" t="n">
        <v>556208.04</v>
      </c>
      <c r="D515" s="5" t="n">
        <v>560349.24</v>
      </c>
      <c r="E515" s="2" t="inlineStr">
        <is>
          <t>Andalucía</t>
        </is>
      </c>
      <c r="F515" s="2" t="inlineStr">
        <is>
          <t>Cádiz</t>
        </is>
      </c>
      <c r="G515" s="2" t="n"/>
      <c r="H515" s="2" t="inlineStr">
        <is>
          <t>Alcaldía del Ayuntamiento de Algeciras</t>
        </is>
      </c>
      <c r="I515" s="2" t="inlineStr">
        <is>
          <t>(OAS) Proyecto de reurbanización de espacios públicos en áreas de regeneración y renovación urbana en la Avda. Francia, sita en la barriada San José Artesano, en relación con la ejecución de los programas de ayuda en materia de rehabilitación residencial y vivienda social del plan de recuperación, transformación y resiliencia</t>
        </is>
      </c>
      <c r="J515" s="2" t="inlineStr">
        <is>
          <t>2720/2025</t>
        </is>
      </c>
      <c r="K515" s="2" t="inlineStr">
        <is>
          <t>Abierto simplificado</t>
        </is>
      </c>
      <c r="L515" s="6" t="n">
        <v>8</v>
      </c>
      <c r="M515" s="2" t="n"/>
      <c r="N515" s="7" t="n">
        <v>0</v>
      </c>
      <c r="O515" s="4" t="n">
        <v>3</v>
      </c>
      <c r="P515" s="2" t="inlineStr">
        <is>
          <t>45233140; 71356200; 71317200; 71317210</t>
        </is>
      </c>
      <c r="Q515" s="8" t="inlineStr">
        <is>
          <t>Ver</t>
        </is>
      </c>
      <c r="R515" s="8" t="inlineStr">
        <is>
          <t>PCAP</t>
        </is>
      </c>
      <c r="S515" s="9" t="n">
        <v>46322</v>
      </c>
      <c r="T515" s="3" t="n">
        <v>46321.36480324074</v>
      </c>
      <c r="U515" s="2" t="n"/>
    </row>
    <row r="516">
      <c r="A516" s="2" t="inlineStr">
        <is>
          <t>En plazo</t>
        </is>
      </c>
      <c r="B516" s="3" t="n">
        <v>46342.99930555555</v>
      </c>
      <c r="C516" s="5" t="n">
        <v>37190.08</v>
      </c>
      <c r="D516" s="5" t="n">
        <v>37190.08</v>
      </c>
      <c r="E516" s="2" t="inlineStr">
        <is>
          <t>Andalucía</t>
        </is>
      </c>
      <c r="F516" s="2" t="inlineStr">
        <is>
          <t>Almería</t>
        </is>
      </c>
      <c r="G516" s="2" t="n"/>
      <c r="H516" s="2" t="inlineStr">
        <is>
          <t>Junta de Gobierno de la Diputación Provincial de Almería</t>
        </is>
      </c>
      <c r="I516" s="2" t="inlineStr">
        <is>
          <t>Pavimentación De Camino De Acceso Al Parking De Caravanas Desde La C.p. Al-5100 (pk 0+550). T.m. De Tahal. 24PG2026</t>
        </is>
      </c>
      <c r="J516" s="2" t="inlineStr">
        <is>
          <t>2026/D31000/006-013/00071</t>
        </is>
      </c>
      <c r="K516" s="2" t="inlineStr">
        <is>
          <t>Abierto simplificado</t>
        </is>
      </c>
      <c r="L516" s="6" t="n">
        <v>1.5</v>
      </c>
      <c r="M516" s="2" t="n"/>
      <c r="N516" s="7" t="n">
        <v>0</v>
      </c>
      <c r="O516" s="4" t="n"/>
      <c r="P516" s="2" t="inlineStr">
        <is>
          <t>45316100</t>
        </is>
      </c>
      <c r="Q516" s="8" t="inlineStr">
        <is>
          <t>Ver</t>
        </is>
      </c>
      <c r="R516" s="8" t="inlineStr">
        <is>
          <t>PCAP</t>
        </is>
      </c>
      <c r="S516" s="9" t="n">
        <v>46322</v>
      </c>
      <c r="T516" s="3" t="n">
        <v>46321.36178240741</v>
      </c>
      <c r="U516" s="2" t="n"/>
    </row>
    <row r="517">
      <c r="A517" s="2" t="inlineStr">
        <is>
          <t>Resuelta</t>
        </is>
      </c>
      <c r="B517" s="3" t="n">
        <v>46161.54166666666</v>
      </c>
      <c r="C517" s="5" t="n">
        <v>2269340.99</v>
      </c>
      <c r="D517" s="5" t="n">
        <v>2482608.9</v>
      </c>
      <c r="E517" s="2" t="inlineStr">
        <is>
          <t>Andalucía</t>
        </is>
      </c>
      <c r="F517" s="2" t="inlineStr">
        <is>
          <t>Córdoba</t>
        </is>
      </c>
      <c r="G517" s="2" t="inlineStr">
        <is>
          <t>Córdoba</t>
        </is>
      </c>
      <c r="H517" s="2" t="inlineStr">
        <is>
          <t>Empresa Nacional de Residuos Radiactivos, S.A., S.M.E. (ENRESA)</t>
        </is>
      </c>
      <c r="I517" s="2" t="inlineStr">
        <is>
          <t>Redacción Proyecto y Ejecución Obra Construcción Planta Solar Fotovoltaica en El Cabril</t>
        </is>
      </c>
      <c r="J517" s="2" t="inlineStr">
        <is>
          <t>CO-CB-26-015</t>
        </is>
      </c>
      <c r="K517" s="2" t="inlineStr">
        <is>
          <t>Abierto</t>
        </is>
      </c>
      <c r="L517" s="6" t="n">
        <v>45</v>
      </c>
      <c r="M517" s="2" t="n"/>
      <c r="N517" s="7" t="n">
        <v>0</v>
      </c>
      <c r="O517" s="4" t="n"/>
      <c r="P517" s="2" t="inlineStr">
        <is>
          <t>45310000; 45200000</t>
        </is>
      </c>
      <c r="Q517" s="8" t="inlineStr">
        <is>
          <t>Ver</t>
        </is>
      </c>
      <c r="R517" s="8" t="inlineStr">
        <is>
          <t>PCAP</t>
        </is>
      </c>
      <c r="S517" s="9" t="n">
        <v>46315</v>
      </c>
      <c r="T517" s="3" t="n">
        <v>46321.35809027778</v>
      </c>
      <c r="U517" s="2" t="inlineStr">
        <is>
          <t>2026-10-27: estado ADJ → RES</t>
        </is>
      </c>
    </row>
    <row r="518">
      <c r="A518" s="2" t="inlineStr">
        <is>
          <t>Resuelta</t>
        </is>
      </c>
      <c r="B518" s="3" t="n">
        <v>45974.99930555555</v>
      </c>
      <c r="C518" s="5" t="n">
        <v>104524.59</v>
      </c>
      <c r="D518" s="5" t="n">
        <v>104524.59</v>
      </c>
      <c r="E518" s="2" t="inlineStr">
        <is>
          <t>Comunitat Valenciana</t>
        </is>
      </c>
      <c r="F518" s="2" t="inlineStr">
        <is>
          <t>Alicante</t>
        </is>
      </c>
      <c r="G518" s="2" t="n"/>
      <c r="H518" s="2" t="inlineStr">
        <is>
          <t>Presidencia de la Diputación Provincial de Alicante</t>
        </is>
      </c>
      <c r="I518" s="2" t="inlineStr">
        <is>
          <t>Obra de adecuación de instalaciones del polideportivo municipal, en el municipio de Benimarfull (2020.CER.066).</t>
        </is>
      </c>
      <c r="J518" s="2" t="inlineStr">
        <is>
          <t>O4S-189/2025</t>
        </is>
      </c>
      <c r="K518" s="2" t="inlineStr">
        <is>
          <t>Abierto simplificado</t>
        </is>
      </c>
      <c r="L518" s="6" t="n">
        <v>6</v>
      </c>
      <c r="M518" s="2" t="n"/>
      <c r="N518" s="7" t="n">
        <v>0</v>
      </c>
      <c r="O518" s="4" t="n"/>
      <c r="P518" s="2" t="inlineStr">
        <is>
          <t>45200000</t>
        </is>
      </c>
      <c r="Q518" s="8" t="inlineStr">
        <is>
          <t>Ver</t>
        </is>
      </c>
      <c r="R518" s="8" t="inlineStr">
        <is>
          <t>PCAP</t>
        </is>
      </c>
      <c r="S518" s="9" t="n">
        <v>46322</v>
      </c>
      <c r="T518" s="3" t="n">
        <v>46321.35787037037</v>
      </c>
      <c r="U518" s="2" t="n"/>
    </row>
    <row r="519">
      <c r="A519" s="2" t="inlineStr">
        <is>
          <t>Pendiente de adjudicación</t>
        </is>
      </c>
      <c r="B519" s="3" t="n">
        <v>46287.99930555555</v>
      </c>
      <c r="C519" s="5" t="n">
        <v>603305.79</v>
      </c>
      <c r="D519" s="5" t="n">
        <v>603305.79</v>
      </c>
      <c r="E519" s="2" t="inlineStr">
        <is>
          <t>Andalucía</t>
        </is>
      </c>
      <c r="F519" s="2" t="inlineStr">
        <is>
          <t>Córdoba</t>
        </is>
      </c>
      <c r="G519" s="2" t="n"/>
      <c r="H519" s="2" t="inlineStr">
        <is>
          <t>Junta de Gobierno de la Diputación Provincial de Córdoba</t>
        </is>
      </c>
      <c r="I519" s="2" t="inlineStr">
        <is>
          <t>Obras de ampliación de la calzada de la CO-6304 "de la A-3150 al L.P. de Sevilla por el Calonge" entre los pp.kk. 0+000 y 3+681, en Palma del Río (Córdoba)</t>
        </is>
      </c>
      <c r="J519" s="2" t="inlineStr">
        <is>
          <t>718/26</t>
        </is>
      </c>
      <c r="K519" s="2" t="inlineStr">
        <is>
          <t>Abierto</t>
        </is>
      </c>
      <c r="L519" s="6" t="n">
        <v>3</v>
      </c>
      <c r="M519" s="2" t="inlineStr">
        <is>
          <t>G4-3</t>
        </is>
      </c>
      <c r="N519" s="7" t="n">
        <v>0.4</v>
      </c>
      <c r="O519" s="4" t="n"/>
      <c r="P519" s="2" t="inlineStr">
        <is>
          <t>45233000</t>
        </is>
      </c>
      <c r="Q519" s="8" t="inlineStr">
        <is>
          <t>Ver</t>
        </is>
      </c>
      <c r="R519" s="8" t="inlineStr">
        <is>
          <t>PCAP</t>
        </is>
      </c>
      <c r="S519" s="9" t="n">
        <v>46310</v>
      </c>
      <c r="T519" s="3" t="n">
        <v>46321.35784722222</v>
      </c>
      <c r="U519" s="2" t="n"/>
    </row>
    <row r="520">
      <c r="A520" s="2" t="inlineStr">
        <is>
          <t>Plazo vencido</t>
        </is>
      </c>
      <c r="B520" s="3" t="n">
        <v>46323.99930555555</v>
      </c>
      <c r="C520" s="5" t="n">
        <v>183966.94</v>
      </c>
      <c r="D520" s="5" t="n">
        <v>183966.94</v>
      </c>
      <c r="E520" s="2" t="inlineStr">
        <is>
          <t>Comunitat Valenciana</t>
        </is>
      </c>
      <c r="F520" s="2" t="inlineStr">
        <is>
          <t>Alicante</t>
        </is>
      </c>
      <c r="G520" s="2" t="inlineStr">
        <is>
          <t>Muro de Alcoy</t>
        </is>
      </c>
      <c r="H520" s="2" t="inlineStr">
        <is>
          <t>Alcaldia del Ayuntamiento de Muro de Alcoy</t>
        </is>
      </c>
      <c r="I520" s="2" t="inlineStr">
        <is>
          <t>Contrato administrativo de obras de ejecución del proyecto "Acondicionamiento de la vía verde del Serpis a su paso por el término de Muro de Alcoy. Tramo CAM rural desde límite tm Cocentaina hasta casco urbano de Muro"</t>
        </is>
      </c>
      <c r="J520" s="2" t="inlineStr">
        <is>
          <t>1529/2026</t>
        </is>
      </c>
      <c r="K520" s="2" t="inlineStr">
        <is>
          <t>Abierto simplificado</t>
        </is>
      </c>
      <c r="L520" s="6" t="n">
        <v>2</v>
      </c>
      <c r="M520" s="2" t="inlineStr">
        <is>
          <t>G*-2</t>
        </is>
      </c>
      <c r="N520" s="7" t="n">
        <v>0</v>
      </c>
      <c r="O520" s="4" t="n"/>
      <c r="P520" s="2" t="inlineStr">
        <is>
          <t>45233140; 45233290; 45233251; 45233252</t>
        </is>
      </c>
      <c r="Q520" s="8" t="inlineStr">
        <is>
          <t>Ver</t>
        </is>
      </c>
      <c r="R520" s="8" t="inlineStr">
        <is>
          <t>PCAP</t>
        </is>
      </c>
      <c r="S520" s="9" t="n">
        <v>46310</v>
      </c>
      <c r="T520" s="3" t="n">
        <v>46321.35410879629</v>
      </c>
      <c r="U520" s="2" t="n"/>
    </row>
    <row r="521">
      <c r="A521" s="2" t="inlineStr">
        <is>
          <t>Pendiente de adjudicación</t>
        </is>
      </c>
      <c r="B521" s="3" t="n">
        <v>46303.625</v>
      </c>
      <c r="C521" s="5" t="n">
        <v>1334731.63</v>
      </c>
      <c r="D521" s="5" t="n">
        <v>1334731.63</v>
      </c>
      <c r="E521" s="2" t="inlineStr">
        <is>
          <t>Andalucía</t>
        </is>
      </c>
      <c r="F521" s="2" t="inlineStr">
        <is>
          <t>Córdoba</t>
        </is>
      </c>
      <c r="G521" s="2" t="inlineStr">
        <is>
          <t>Villanueva de Córdoba</t>
        </is>
      </c>
      <c r="H521" s="2" t="inlineStr">
        <is>
          <t>Pleno del Ayuntamiento de Villanueva de Córdoba</t>
        </is>
      </c>
      <c r="I521" s="2" t="inlineStr">
        <is>
          <t>Ejecución de las obras del Plan de Asfaltado Extraordinario para reparación y reconstrucción de infraestructuras urbanas del núcleo urbano de Villanueva de Córdoba.</t>
        </is>
      </c>
      <c r="J521" s="2" t="inlineStr">
        <is>
          <t>1869/2026</t>
        </is>
      </c>
      <c r="K521" s="2" t="inlineStr">
        <is>
          <t>Abierto</t>
        </is>
      </c>
      <c r="L521" s="6" t="n">
        <v>4</v>
      </c>
      <c r="M521" s="2" t="inlineStr">
        <is>
          <t>G4-4</t>
        </is>
      </c>
      <c r="N521" s="7" t="n">
        <v>0</v>
      </c>
      <c r="O521" s="4" t="n"/>
      <c r="P521" s="2" t="inlineStr">
        <is>
          <t>45233222; 45233252</t>
        </is>
      </c>
      <c r="Q521" s="8" t="inlineStr">
        <is>
          <t>Ver</t>
        </is>
      </c>
      <c r="R521" s="8" t="inlineStr">
        <is>
          <t>PCAP</t>
        </is>
      </c>
      <c r="S521" s="9" t="n">
        <v>46310</v>
      </c>
      <c r="T521" s="3" t="n">
        <v>46321.35164351852</v>
      </c>
      <c r="U521" s="2" t="n"/>
    </row>
    <row r="522">
      <c r="A522" s="2" t="inlineStr">
        <is>
          <t>Pendiente de adjudicación</t>
        </is>
      </c>
      <c r="B522" s="3" t="n">
        <v>46258.58333333334</v>
      </c>
      <c r="C522" s="5" t="n">
        <v>1157024.79</v>
      </c>
      <c r="D522" s="5" t="n">
        <v>1157024.79</v>
      </c>
      <c r="E522" s="2" t="inlineStr">
        <is>
          <t>Comunitat Valenciana</t>
        </is>
      </c>
      <c r="F522" s="2" t="inlineStr">
        <is>
          <t>Alicante</t>
        </is>
      </c>
      <c r="G522" s="2" t="inlineStr">
        <is>
          <t>Sax</t>
        </is>
      </c>
      <c r="H522" s="2" t="inlineStr">
        <is>
          <t>Pleno del Ayuntamiento de Sax</t>
        </is>
      </c>
      <c r="I522" s="2" t="inlineStr">
        <is>
          <t>Mejora de la zona verde del parque de los príncipes en la localidad de Sax (Alicante)</t>
        </is>
      </c>
      <c r="J522" s="2" t="inlineStr">
        <is>
          <t>1828/2026</t>
        </is>
      </c>
      <c r="K522" s="2" t="inlineStr">
        <is>
          <t>Abierto simplificado</t>
        </is>
      </c>
      <c r="L522" s="6" t="n">
        <v>4.3</v>
      </c>
      <c r="M522" s="2" t="inlineStr">
        <is>
          <t>G*-3</t>
        </is>
      </c>
      <c r="N522" s="7" t="n">
        <v>0</v>
      </c>
      <c r="O522" s="4" t="n"/>
      <c r="P522" s="2" t="inlineStr">
        <is>
          <t>45220000; 45233222; 77310000; 45316100</t>
        </is>
      </c>
      <c r="Q522" s="8" t="inlineStr">
        <is>
          <t>Ver</t>
        </is>
      </c>
      <c r="R522" s="8" t="inlineStr">
        <is>
          <t>PCAP</t>
        </is>
      </c>
      <c r="S522" s="9" t="n">
        <v>46322</v>
      </c>
      <c r="T522" s="3" t="n">
        <v>46321.34984953704</v>
      </c>
      <c r="U522" s="2" t="n"/>
    </row>
    <row r="523">
      <c r="A523" s="2" t="inlineStr">
        <is>
          <t>Pendiente de adjudicación</t>
        </is>
      </c>
      <c r="B523" s="3" t="n">
        <v>46238.54166666666</v>
      </c>
      <c r="C523" s="5" t="n">
        <v>326414.62</v>
      </c>
      <c r="D523" s="5" t="n">
        <v>326414.62</v>
      </c>
      <c r="E523" s="2" t="inlineStr">
        <is>
          <t>Andalucía</t>
        </is>
      </c>
      <c r="F523" s="2" t="inlineStr">
        <is>
          <t>Málaga</t>
        </is>
      </c>
      <c r="G523" s="2" t="n"/>
      <c r="H523" s="2" t="inlineStr">
        <is>
          <t>Junta de Gobierno del Ayuntamiento de Málaga</t>
        </is>
      </c>
      <c r="I523" s="2" t="inlineStr">
        <is>
          <t>Obras de reforma de la cubierta del Mercado Municipal de Atarazanas</t>
        </is>
      </c>
      <c r="J523" s="2" t="inlineStr">
        <is>
          <t>88/26</t>
        </is>
      </c>
      <c r="K523" s="2" t="inlineStr">
        <is>
          <t>Abierto simplificado</t>
        </is>
      </c>
      <c r="L523" s="6" t="n">
        <v>6</v>
      </c>
      <c r="M523" s="2" t="n"/>
      <c r="N523" s="7" t="n">
        <v>0</v>
      </c>
      <c r="O523" s="4" t="n"/>
      <c r="P523" s="2" t="inlineStr">
        <is>
          <t>45212350; 45261910; 45213141</t>
        </is>
      </c>
      <c r="Q523" s="8" t="inlineStr">
        <is>
          <t>Ver</t>
        </is>
      </c>
      <c r="R523" s="8" t="inlineStr">
        <is>
          <t>PCAP</t>
        </is>
      </c>
      <c r="S523" s="9" t="n">
        <v>46310</v>
      </c>
      <c r="T523" s="3" t="n">
        <v>46321.34570601852</v>
      </c>
      <c r="U523" s="2" t="n"/>
    </row>
    <row r="524">
      <c r="A524" s="2" t="inlineStr">
        <is>
          <t>En plazo</t>
        </is>
      </c>
      <c r="B524" s="3" t="n">
        <v>46325.5</v>
      </c>
      <c r="C524" s="5" t="n">
        <v>80000</v>
      </c>
      <c r="D524" s="5" t="n">
        <v>80000</v>
      </c>
      <c r="E524" s="2" t="inlineStr">
        <is>
          <t>Andalucía</t>
        </is>
      </c>
      <c r="F524" s="2" t="inlineStr">
        <is>
          <t>Cádiz</t>
        </is>
      </c>
      <c r="G524" s="2" t="n"/>
      <c r="H524" s="2" t="inlineStr">
        <is>
          <t>Comité Central de Compras de Navantia S.A., S.M.E.</t>
        </is>
      </c>
      <c r="I524" s="2" t="inlineStr">
        <is>
          <t>Licitación para la adjudicación de los trabajos de adecuación de barandillas en Dique 1 en Navantia San Fernando.</t>
        </is>
      </c>
      <c r="J524" s="2" t="inlineStr">
        <is>
          <t>5100075573 Adec. barandillas D1 Navantia SF</t>
        </is>
      </c>
      <c r="K524" s="2" t="inlineStr">
        <is>
          <t>Normas internas</t>
        </is>
      </c>
      <c r="L524" s="6" t="n">
        <v>2</v>
      </c>
      <c r="M524" s="2" t="n"/>
      <c r="N524" s="7" t="n">
        <v>1</v>
      </c>
      <c r="O524" s="4" t="n"/>
      <c r="P524" s="2" t="inlineStr">
        <is>
          <t>45259000</t>
        </is>
      </c>
      <c r="Q524" s="8" t="inlineStr">
        <is>
          <t>Ver</t>
        </is>
      </c>
      <c r="R524" s="8" t="inlineStr">
        <is>
          <t>PCAP</t>
        </is>
      </c>
      <c r="S524" s="9" t="n">
        <v>46310</v>
      </c>
      <c r="T524" s="3" t="n">
        <v>46321.32518518518</v>
      </c>
      <c r="U524" s="2" t="inlineStr">
        <is>
          <t>2026-10-27: plazo 2026-10-28 12:00 → 2026-10-30 12:00</t>
        </is>
      </c>
    </row>
    <row r="525">
      <c r="A525" s="2" t="inlineStr">
        <is>
          <t>Resuelta</t>
        </is>
      </c>
      <c r="B525" s="3" t="n">
        <v>46181.54166666666</v>
      </c>
      <c r="C525" s="5" t="n">
        <v>1865984.42</v>
      </c>
      <c r="D525" s="5" t="n">
        <v>2239181.3</v>
      </c>
      <c r="E525" s="2" t="inlineStr">
        <is>
          <t>Comunitat Valenciana</t>
        </is>
      </c>
      <c r="F525" s="2" t="inlineStr">
        <is>
          <t>Valencia</t>
        </is>
      </c>
      <c r="G525" s="2" t="inlineStr">
        <is>
          <t>VALENCIA</t>
        </is>
      </c>
      <c r="H525" s="2" t="inlineStr">
        <is>
          <t>Presidencia de la Autoridad Portuaria de Valencia</t>
        </is>
      </c>
      <c r="I525" s="2" t="inlineStr">
        <is>
          <t>Rehabilitación estructura metálica del paseo marítimo elevado en el Puerto de Valencia</t>
        </is>
      </c>
      <c r="J525" s="2" t="inlineStr">
        <is>
          <t>EC26-C02-01160</t>
        </is>
      </c>
      <c r="K525" s="2" t="inlineStr">
        <is>
          <t>Abierto</t>
        </is>
      </c>
      <c r="L525" s="6" t="n">
        <v>15</v>
      </c>
      <c r="M525" s="2" t="inlineStr">
        <is>
          <t>K4-4</t>
        </is>
      </c>
      <c r="N525" s="7" t="n">
        <v>0.5</v>
      </c>
      <c r="O525" s="4" t="n"/>
      <c r="P525" s="2" t="inlineStr">
        <is>
          <t>45442120</t>
        </is>
      </c>
      <c r="Q525" s="8" t="inlineStr">
        <is>
          <t>Ver</t>
        </is>
      </c>
      <c r="R525" s="8" t="inlineStr">
        <is>
          <t>PCAP</t>
        </is>
      </c>
      <c r="S525" s="9" t="n">
        <v>46322</v>
      </c>
      <c r="T525" s="3" t="n">
        <v>46321.32130787037</v>
      </c>
      <c r="U525" s="2" t="n"/>
    </row>
    <row r="526">
      <c r="A526" s="2" t="inlineStr">
        <is>
          <t>Resuelta</t>
        </is>
      </c>
      <c r="B526" s="3" t="n">
        <v>46289.99930555555</v>
      </c>
      <c r="C526" s="5" t="n">
        <v>83007.19</v>
      </c>
      <c r="D526" s="5" t="n">
        <v>83007.19</v>
      </c>
      <c r="E526" s="2" t="inlineStr">
        <is>
          <t>Comunitat Valenciana</t>
        </is>
      </c>
      <c r="F526" s="2" t="inlineStr">
        <is>
          <t>Castellón</t>
        </is>
      </c>
      <c r="G526" s="2" t="inlineStr">
        <is>
          <t>CABANES (RIBERA)</t>
        </is>
      </c>
      <c r="H526" s="2" t="inlineStr">
        <is>
          <t>Alcaldía del Ayuntamiento de Cabanes</t>
        </is>
      </c>
      <c r="I526" s="2" t="inlineStr">
        <is>
          <t>Climatización del centro socio-cultural de La Ribera de Cabanes</t>
        </is>
      </c>
      <c r="J526" s="2" t="inlineStr">
        <is>
          <t>2466/2026</t>
        </is>
      </c>
      <c r="K526" s="2" t="inlineStr">
        <is>
          <t>Abierto simplificado</t>
        </is>
      </c>
      <c r="L526" s="6" t="n">
        <v>2</v>
      </c>
      <c r="M526" s="2" t="n"/>
      <c r="N526" s="7" t="n">
        <v>0</v>
      </c>
      <c r="O526" s="4" t="n"/>
      <c r="P526" s="2" t="inlineStr">
        <is>
          <t>45331000</t>
        </is>
      </c>
      <c r="Q526" s="8" t="inlineStr">
        <is>
          <t>Ver</t>
        </is>
      </c>
      <c r="R526" s="8" t="inlineStr">
        <is>
          <t>PCAP</t>
        </is>
      </c>
      <c r="S526" s="9" t="n">
        <v>46310</v>
      </c>
      <c r="T526" s="3" t="n">
        <v>46321.30012731482</v>
      </c>
      <c r="U526" s="2" t="inlineStr">
        <is>
          <t>2026-10-22: estado EV → ADJ | 2026-10-27: estado ADJ → RES</t>
        </is>
      </c>
    </row>
    <row r="527">
      <c r="A527" s="2" t="inlineStr">
        <is>
          <t>En plazo</t>
        </is>
      </c>
      <c r="B527" s="3" t="n">
        <v>46335.58333333334</v>
      </c>
      <c r="C527" s="5" t="n">
        <v>65084.97</v>
      </c>
      <c r="D527" s="5" t="n">
        <v>65084.97</v>
      </c>
      <c r="E527" s="2" t="inlineStr">
        <is>
          <t>Andalucía</t>
        </is>
      </c>
      <c r="F527" s="2" t="inlineStr">
        <is>
          <t>Huelva</t>
        </is>
      </c>
      <c r="G527" s="2" t="inlineStr">
        <is>
          <t>santa bárbara de casa</t>
        </is>
      </c>
      <c r="H527" s="2" t="inlineStr">
        <is>
          <t>Alcaldía del Ayuntamiento de Santa Bárbara de Casa</t>
        </is>
      </c>
      <c r="I527" s="2" t="inlineStr">
        <is>
          <t>contrato de obras de urbanización mediante obras ordinarias</t>
        </is>
      </c>
      <c r="J527" s="2" t="inlineStr">
        <is>
          <t>480.1/2026</t>
        </is>
      </c>
      <c r="K527" s="2" t="inlineStr">
        <is>
          <t>Abierto simplificado</t>
        </is>
      </c>
      <c r="L527" s="6" t="n">
        <v>3</v>
      </c>
      <c r="M527" s="2" t="n"/>
      <c r="N527" s="7" t="n">
        <v>0</v>
      </c>
      <c r="O527" s="4" t="n"/>
      <c r="P527" s="2" t="inlineStr">
        <is>
          <t>45233252</t>
        </is>
      </c>
      <c r="Q527" s="8" t="inlineStr">
        <is>
          <t>Ver</t>
        </is>
      </c>
      <c r="R527" s="2" t="n"/>
      <c r="S527" s="9" t="n">
        <v>46321</v>
      </c>
      <c r="T527" s="3" t="n">
        <v>46320.80733796296</v>
      </c>
      <c r="U527" s="2" t="n"/>
    </row>
    <row r="528">
      <c r="A528" s="2" t="inlineStr">
        <is>
          <t>En plazo</t>
        </is>
      </c>
      <c r="B528" s="3" t="n">
        <v>46335.99930555555</v>
      </c>
      <c r="C528" s="5" t="n">
        <v>41322.31</v>
      </c>
      <c r="D528" s="5" t="n">
        <v>41322.31</v>
      </c>
      <c r="E528" s="2" t="inlineStr">
        <is>
          <t>Andalucía</t>
        </is>
      </c>
      <c r="F528" s="2" t="inlineStr">
        <is>
          <t>Sevilla</t>
        </is>
      </c>
      <c r="G528" s="2" t="n"/>
      <c r="H528" s="2" t="inlineStr">
        <is>
          <t>Alcaldia del Ayuntamiento de Marinaleda</t>
        </is>
      </c>
      <c r="I528" s="2" t="inlineStr">
        <is>
          <t>Reparación de Caminos Rurales (Línea de Subvenciones Borrasca NELSON)</t>
        </is>
      </c>
      <c r="J528" s="2" t="inlineStr">
        <is>
          <t>P4106100C-2026/000108-PAAB</t>
        </is>
      </c>
      <c r="K528" s="2" t="inlineStr">
        <is>
          <t>Abierto simplificado</t>
        </is>
      </c>
      <c r="L528" s="6" t="n">
        <v>3</v>
      </c>
      <c r="M528" s="2" t="n"/>
      <c r="N528" s="7" t="n">
        <v>0</v>
      </c>
      <c r="O528" s="4" t="n"/>
      <c r="P528" s="2" t="inlineStr">
        <is>
          <t>45233142</t>
        </is>
      </c>
      <c r="Q528" s="8" t="inlineStr">
        <is>
          <t>Ver</t>
        </is>
      </c>
      <c r="R528" s="8" t="inlineStr">
        <is>
          <t>PCAP</t>
        </is>
      </c>
      <c r="S528" s="9" t="n">
        <v>46321</v>
      </c>
      <c r="T528" s="3" t="n">
        <v>46319.53869212963</v>
      </c>
      <c r="U528" s="2" t="n"/>
    </row>
    <row r="529">
      <c r="A529" s="2" t="inlineStr">
        <is>
          <t>En plazo</t>
        </is>
      </c>
      <c r="B529" s="3" t="n">
        <v>46335.99930555555</v>
      </c>
      <c r="C529" s="5" t="n">
        <v>45409.09</v>
      </c>
      <c r="D529" s="5" t="n">
        <v>45409.09</v>
      </c>
      <c r="E529" s="2" t="inlineStr">
        <is>
          <t>Andalucía</t>
        </is>
      </c>
      <c r="F529" s="2" t="inlineStr">
        <is>
          <t>Sevilla</t>
        </is>
      </c>
      <c r="G529" s="2" t="n"/>
      <c r="H529" s="2" t="inlineStr">
        <is>
          <t>Alcaldia del Ayuntamiento de Marinaleda</t>
        </is>
      </c>
      <c r="I529" s="2" t="inlineStr">
        <is>
          <t>Mejora de Caminos Rurales de Marinaleda (Sevilla)</t>
        </is>
      </c>
      <c r="J529" s="2" t="inlineStr">
        <is>
          <t>P4106100C-2026/000107-PAAB</t>
        </is>
      </c>
      <c r="K529" s="2" t="inlineStr">
        <is>
          <t>Abierto simplificado</t>
        </is>
      </c>
      <c r="L529" s="6" t="n">
        <v>3</v>
      </c>
      <c r="M529" s="2" t="n"/>
      <c r="N529" s="7" t="n">
        <v>0</v>
      </c>
      <c r="O529" s="4" t="n"/>
      <c r="P529" s="2" t="inlineStr">
        <is>
          <t>45233142</t>
        </is>
      </c>
      <c r="Q529" s="8" t="inlineStr">
        <is>
          <t>Ver</t>
        </is>
      </c>
      <c r="R529" s="8" t="inlineStr">
        <is>
          <t>PCAP</t>
        </is>
      </c>
      <c r="S529" s="9" t="n">
        <v>46321</v>
      </c>
      <c r="T529" s="3" t="n">
        <v>46319.53649305556</v>
      </c>
      <c r="U529" s="2" t="n"/>
    </row>
    <row r="530">
      <c r="A530" s="2" t="inlineStr">
        <is>
          <t>En plazo</t>
        </is>
      </c>
      <c r="B530" s="3" t="n">
        <v>46332.54166666666</v>
      </c>
      <c r="C530" s="5" t="n">
        <v>55300.65</v>
      </c>
      <c r="D530" s="5" t="n">
        <v>55300.65</v>
      </c>
      <c r="E530" s="2" t="inlineStr">
        <is>
          <t>Andalucía</t>
        </is>
      </c>
      <c r="F530" s="2" t="inlineStr">
        <is>
          <t>Huelva</t>
        </is>
      </c>
      <c r="G530" s="2" t="inlineStr">
        <is>
          <t>SANTA BARBARA DE CASA</t>
        </is>
      </c>
      <c r="H530" s="2" t="inlineStr">
        <is>
          <t>Alcaldía del Ayuntamiento de Santa Bárbara de Casa</t>
        </is>
      </c>
      <c r="I530" s="2" t="inlineStr">
        <is>
          <t>contrato de obras de mejora de la calle Noria en Santa Bárbara de Casa</t>
        </is>
      </c>
      <c r="J530" s="2" t="inlineStr">
        <is>
          <t>480/2026</t>
        </is>
      </c>
      <c r="K530" s="2" t="inlineStr">
        <is>
          <t>Abierto simplificado</t>
        </is>
      </c>
      <c r="L530" s="6" t="n">
        <v>3</v>
      </c>
      <c r="M530" s="2" t="n"/>
      <c r="N530" s="7" t="n">
        <v>0</v>
      </c>
      <c r="O530" s="4" t="n"/>
      <c r="P530" s="2" t="inlineStr">
        <is>
          <t>45233252</t>
        </is>
      </c>
      <c r="Q530" s="8" t="inlineStr">
        <is>
          <t>Ver</t>
        </is>
      </c>
      <c r="R530" s="2" t="n"/>
      <c r="S530" s="9" t="n">
        <v>46317</v>
      </c>
      <c r="T530" s="3" t="n">
        <v>46319.52486111111</v>
      </c>
      <c r="U530" s="2" t="n"/>
    </row>
    <row r="531">
      <c r="A531" s="2" t="inlineStr">
        <is>
          <t>En plazo</t>
        </is>
      </c>
      <c r="B531" s="3" t="n">
        <v>46335.99930555555</v>
      </c>
      <c r="C531" s="5" t="n">
        <v>27389.04</v>
      </c>
      <c r="D531" s="5" t="n">
        <v>27389.04</v>
      </c>
      <c r="E531" s="2" t="inlineStr">
        <is>
          <t>Andalucía</t>
        </is>
      </c>
      <c r="F531" s="2" t="inlineStr">
        <is>
          <t>Huelva</t>
        </is>
      </c>
      <c r="G531" s="2" t="inlineStr">
        <is>
          <t>PAYMOGO</t>
        </is>
      </c>
      <c r="H531" s="2" t="inlineStr">
        <is>
          <t>Alcaldía del Ayuntamiento de Paymogo</t>
        </is>
      </c>
      <c r="I531" s="2" t="inlineStr">
        <is>
          <t>Constituye el objeto del contrato la ejecución de las obras de reparación del firme del Camino de Las Peñuelas, de Paymogo (Huelva), de titularidad municipal, con referencia catastral 21057A009090040000LO</t>
        </is>
      </c>
      <c r="J531" s="2" t="inlineStr">
        <is>
          <t>493/2026</t>
        </is>
      </c>
      <c r="K531" s="2" t="inlineStr">
        <is>
          <t>Abierto simplificado</t>
        </is>
      </c>
      <c r="L531" s="6" t="n">
        <v>1</v>
      </c>
      <c r="M531" s="2" t="n"/>
      <c r="N531" s="7" t="n">
        <v>0</v>
      </c>
      <c r="O531" s="4" t="n"/>
      <c r="P531" s="2" t="inlineStr">
        <is>
          <t>45233160</t>
        </is>
      </c>
      <c r="Q531" s="8" t="inlineStr">
        <is>
          <t>Ver</t>
        </is>
      </c>
      <c r="R531" s="8" t="inlineStr">
        <is>
          <t>PCAP</t>
        </is>
      </c>
      <c r="S531" s="9" t="n">
        <v>46321</v>
      </c>
      <c r="T531" s="3" t="n">
        <v>46318.84158564815</v>
      </c>
      <c r="U531" s="2" t="n"/>
    </row>
    <row r="532">
      <c r="A532" s="2" t="inlineStr">
        <is>
          <t>En plazo</t>
        </is>
      </c>
      <c r="B532" s="3" t="n">
        <v>46338.99930555555</v>
      </c>
      <c r="C532" s="5" t="n">
        <v>175462.98</v>
      </c>
      <c r="D532" s="5" t="n">
        <v>175462.98</v>
      </c>
      <c r="E532" s="2" t="inlineStr">
        <is>
          <t>Comunitat Valenciana</t>
        </is>
      </c>
      <c r="F532" s="2" t="inlineStr">
        <is>
          <t>Valencia</t>
        </is>
      </c>
      <c r="G532" s="2" t="n"/>
      <c r="H532" s="2" t="inlineStr">
        <is>
          <t>Alcaldía del Ayuntamiento de Moixent</t>
        </is>
      </c>
      <c r="I532" s="2" t="inlineStr">
        <is>
          <t>Consolidación de la torre sur del Castillo de Moixent, Fase I</t>
        </is>
      </c>
      <c r="J532" s="2" t="inlineStr">
        <is>
          <t>1615/2026</t>
        </is>
      </c>
      <c r="K532" s="2" t="inlineStr">
        <is>
          <t>Abierto simplificado</t>
        </is>
      </c>
      <c r="L532" s="6" t="n">
        <v>4</v>
      </c>
      <c r="M532" s="2" t="n"/>
      <c r="N532" s="7" t="n">
        <v>0.12</v>
      </c>
      <c r="O532" s="4" t="n"/>
      <c r="P532" s="2" t="inlineStr">
        <is>
          <t>45212314; 45454100; 45262512; 45212350</t>
        </is>
      </c>
      <c r="Q532" s="8" t="inlineStr">
        <is>
          <t>Ver</t>
        </is>
      </c>
      <c r="R532" s="8" t="inlineStr">
        <is>
          <t>PCAP</t>
        </is>
      </c>
      <c r="S532" s="9" t="n">
        <v>46321</v>
      </c>
      <c r="T532" s="3" t="n">
        <v>46318.71998842592</v>
      </c>
      <c r="U532" s="2" t="n"/>
    </row>
    <row r="533">
      <c r="A533" s="2" t="inlineStr">
        <is>
          <t>En plazo</t>
        </is>
      </c>
      <c r="B533" s="3" t="n">
        <v>46338.99930555555</v>
      </c>
      <c r="C533" s="5" t="n">
        <v>328657.46</v>
      </c>
      <c r="D533" s="5" t="n">
        <v>328657.46</v>
      </c>
      <c r="E533" s="2" t="inlineStr">
        <is>
          <t>Andalucía</t>
        </is>
      </c>
      <c r="F533" s="2" t="inlineStr">
        <is>
          <t>Sevilla</t>
        </is>
      </c>
      <c r="G533" s="2" t="inlineStr">
        <is>
          <t>Écija</t>
        </is>
      </c>
      <c r="H533" s="2" t="inlineStr">
        <is>
          <t>Junta de Gobierno del Ayuntamiento de Ecija</t>
        </is>
      </c>
      <c r="I533" s="2" t="inlineStr">
        <is>
          <t>Obras Rehabilitación y Puesta en uso de Salas junto a Patio de las Yeguas del Palacio Marqueses de Peñaflor, por procedimiento abierto simplificado,tramitación ordinaria, financiado con cargo al 2% Cultural del Ministerio deTransportes, Movilidad y Agenda Urbana para conservación o enriquecimiento de bienes inmuebles del Patrimonio Histórico Español.</t>
        </is>
      </c>
      <c r="J533" s="2" t="inlineStr">
        <is>
          <t>16242/2025</t>
        </is>
      </c>
      <c r="K533" s="2" t="inlineStr">
        <is>
          <t>Abierto simplificado</t>
        </is>
      </c>
      <c r="L533" s="6" t="n">
        <v>6</v>
      </c>
      <c r="M533" s="2" t="n"/>
      <c r="N533" s="7" t="n">
        <v>0</v>
      </c>
      <c r="O533" s="4" t="n"/>
      <c r="P533" s="2" t="inlineStr">
        <is>
          <t>45212350</t>
        </is>
      </c>
      <c r="Q533" s="8" t="inlineStr">
        <is>
          <t>Ver</t>
        </is>
      </c>
      <c r="R533" s="8" t="inlineStr">
        <is>
          <t>PCAP</t>
        </is>
      </c>
      <c r="S533" s="9" t="n">
        <v>46321</v>
      </c>
      <c r="T533" s="3" t="n">
        <v>46318.71728009259</v>
      </c>
      <c r="U533" s="2" t="n"/>
    </row>
    <row r="534">
      <c r="A534" s="2" t="inlineStr">
        <is>
          <t>Resuelta</t>
        </is>
      </c>
      <c r="B534" s="3" t="n">
        <v>46216.99930555555</v>
      </c>
      <c r="C534" s="5" t="n">
        <v>156579.12</v>
      </c>
      <c r="D534" s="5" t="n">
        <v>156579.12</v>
      </c>
      <c r="E534" s="2" t="inlineStr">
        <is>
          <t>Comunitat Valenciana</t>
        </is>
      </c>
      <c r="F534" s="2" t="inlineStr">
        <is>
          <t>Valencia</t>
        </is>
      </c>
      <c r="G534" s="2" t="n"/>
      <c r="H534" s="2" t="inlineStr">
        <is>
          <t>Junta de Gobierno del Ayuntamiento de Alboraya</t>
        </is>
      </c>
      <c r="I534" s="2" t="inlineStr">
        <is>
          <t>Obras de reforma del antiguo polideportivo de Alboraya</t>
        </is>
      </c>
      <c r="J534" s="2" t="inlineStr">
        <is>
          <t>704/2026</t>
        </is>
      </c>
      <c r="K534" s="2" t="inlineStr">
        <is>
          <t>Abierto simplificado</t>
        </is>
      </c>
      <c r="L534" s="6" t="n">
        <v>4</v>
      </c>
      <c r="M534" s="2" t="n"/>
      <c r="N534" s="7" t="n">
        <v>0</v>
      </c>
      <c r="O534" s="4" t="n"/>
      <c r="P534" s="2" t="inlineStr">
        <is>
          <t>45212290</t>
        </is>
      </c>
      <c r="Q534" s="8" t="inlineStr">
        <is>
          <t>Ver</t>
        </is>
      </c>
      <c r="R534" s="8" t="inlineStr">
        <is>
          <t>PCAP</t>
        </is>
      </c>
      <c r="S534" s="9" t="n">
        <v>46321</v>
      </c>
      <c r="T534" s="3" t="n">
        <v>46318.65596064815</v>
      </c>
      <c r="U534" s="2" t="n"/>
    </row>
    <row r="535">
      <c r="A535" s="2" t="inlineStr">
        <is>
          <t>Adjudicada</t>
        </is>
      </c>
      <c r="B535" s="3" t="n">
        <v>46259.99930555555</v>
      </c>
      <c r="C535" s="5" t="n">
        <v>111113.32</v>
      </c>
      <c r="D535" s="5" t="n">
        <v>111113.32</v>
      </c>
      <c r="E535" s="2" t="inlineStr">
        <is>
          <t>Andalucía</t>
        </is>
      </c>
      <c r="F535" s="2" t="inlineStr">
        <is>
          <t>Córdoba</t>
        </is>
      </c>
      <c r="G535" s="2" t="n"/>
      <c r="H535" s="2" t="inlineStr">
        <is>
          <t>Alcaldía del Ayuntamiento de Rute</t>
        </is>
      </c>
      <c r="I535" s="2" t="inlineStr">
        <is>
          <t>Ejecución del Proyecto de Arreglo de la Pista Deportiva en CEIP Ruperto Fernandez Tenllado (Córdoba)</t>
        </is>
      </c>
      <c r="J535" s="2" t="inlineStr">
        <is>
          <t>2830_26 OBRAS PISTA POLID CEIP RUPERTO FDEZ</t>
        </is>
      </c>
      <c r="K535" s="2" t="inlineStr">
        <is>
          <t>Abierto simplificado</t>
        </is>
      </c>
      <c r="L535" s="6" t="n">
        <v>2.5</v>
      </c>
      <c r="M535" s="2" t="n"/>
      <c r="N535" s="7" t="n">
        <v>0</v>
      </c>
      <c r="O535" s="4" t="n"/>
      <c r="P535" s="2" t="inlineStr">
        <is>
          <t>45212220; 45200000</t>
        </is>
      </c>
      <c r="Q535" s="8" t="inlineStr">
        <is>
          <t>Ver</t>
        </is>
      </c>
      <c r="R535" s="8" t="inlineStr">
        <is>
          <t>PCAP</t>
        </is>
      </c>
      <c r="S535" s="9" t="n">
        <v>46310</v>
      </c>
      <c r="T535" s="3" t="n">
        <v>46318.62997685185</v>
      </c>
      <c r="U535" s="2" t="inlineStr">
        <is>
          <t>2026-10-26: estado EV → ADJ</t>
        </is>
      </c>
    </row>
    <row r="536">
      <c r="A536" s="2" t="inlineStr">
        <is>
          <t>Adjudicada</t>
        </is>
      </c>
      <c r="B536" s="3" t="n">
        <v>46295.99930555555</v>
      </c>
      <c r="C536" s="5" t="n">
        <v>165448.79</v>
      </c>
      <c r="D536" s="5" t="n">
        <v>165448.79</v>
      </c>
      <c r="E536" s="2" t="inlineStr">
        <is>
          <t>Andalucía</t>
        </is>
      </c>
      <c r="F536" s="2" t="inlineStr">
        <is>
          <t>Córdoba</t>
        </is>
      </c>
      <c r="G536" s="2" t="inlineStr">
        <is>
          <t>ALDEA DE NACIMIENTO DE ZAMBRA</t>
        </is>
      </c>
      <c r="H536" s="2" t="inlineStr">
        <is>
          <t>Alcaldía del Ayuntamiento de Rute</t>
        </is>
      </c>
      <c r="I536" s="2" t="inlineStr">
        <is>
          <t>Ejecución del Proyecto de Reparación y Adecentamiento de la pista polideportiva de la Aldea de Nacimiento de Zambra de Rute</t>
        </is>
      </c>
      <c r="J536" s="2" t="inlineStr">
        <is>
          <t>3862_26 OBRAS PISTAS NAC ZAMBRA</t>
        </is>
      </c>
      <c r="K536" s="2" t="inlineStr">
        <is>
          <t>Abierto simplificado</t>
        </is>
      </c>
      <c r="L536" s="6" t="n">
        <v>4</v>
      </c>
      <c r="M536" s="2" t="n"/>
      <c r="N536" s="7" t="n">
        <v>0</v>
      </c>
      <c r="O536" s="4" t="n"/>
      <c r="P536" s="2" t="inlineStr">
        <is>
          <t>45212220; 45212290; 45212213</t>
        </is>
      </c>
      <c r="Q536" s="8" t="inlineStr">
        <is>
          <t>Ver</t>
        </is>
      </c>
      <c r="R536" s="8" t="inlineStr">
        <is>
          <t>PCAP</t>
        </is>
      </c>
      <c r="S536" s="9" t="n">
        <v>46310</v>
      </c>
      <c r="T536" s="3" t="n">
        <v>46318.62521990741</v>
      </c>
      <c r="U536" s="2" t="inlineStr">
        <is>
          <t>2026-10-26: estado EV → ADJ</t>
        </is>
      </c>
    </row>
    <row r="537">
      <c r="A537" s="2" t="inlineStr">
        <is>
          <t>En plazo</t>
        </is>
      </c>
      <c r="B537" s="3" t="n">
        <v>46346.99930555555</v>
      </c>
      <c r="C537" s="5" t="n">
        <v>8318780.94</v>
      </c>
      <c r="D537" s="5" t="n">
        <v>8318780.94</v>
      </c>
      <c r="E537" s="2" t="inlineStr">
        <is>
          <t>Andalucía</t>
        </is>
      </c>
      <c r="F537" s="2" t="inlineStr">
        <is>
          <t>Sevilla</t>
        </is>
      </c>
      <c r="G537" s="2" t="n"/>
      <c r="H537" s="2" t="inlineStr">
        <is>
          <t>Junta de Gobierno del Ayuntamiento de Carmona</t>
        </is>
      </c>
      <c r="I537" s="2" t="inlineStr">
        <is>
          <t>Obras para la ejecución del complejo de la música y el patrimonio en los antiguos mataderos de Carmona y la adecuación de sus entornos.</t>
        </is>
      </c>
      <c r="J537" s="2" t="inlineStr">
        <is>
          <t>EXP 25-173-22</t>
        </is>
      </c>
      <c r="K537" s="2" t="inlineStr">
        <is>
          <t>Abierto</t>
        </is>
      </c>
      <c r="L537" s="6" t="n">
        <v>20</v>
      </c>
      <c r="M537" s="2" t="inlineStr">
        <is>
          <t>C*-5</t>
        </is>
      </c>
      <c r="N537" s="7" t="n">
        <v>0.45</v>
      </c>
      <c r="O537" s="4" t="n"/>
      <c r="P537" s="2" t="inlineStr">
        <is>
          <t>45000000; 45212300; 45213230; 45112700; 45212321; 45454100</t>
        </is>
      </c>
      <c r="Q537" s="8" t="inlineStr">
        <is>
          <t>Ver</t>
        </is>
      </c>
      <c r="R537" s="8" t="inlineStr">
        <is>
          <t>PCAP</t>
        </is>
      </c>
      <c r="S537" s="9" t="n">
        <v>46311</v>
      </c>
      <c r="T537" s="3" t="n">
        <v>46318.62517361111</v>
      </c>
      <c r="U537" s="2" t="n"/>
    </row>
    <row r="538">
      <c r="A538" s="2" t="inlineStr">
        <is>
          <t>En plazo</t>
        </is>
      </c>
      <c r="B538" s="3" t="n">
        <v>46337.99930555555</v>
      </c>
      <c r="C538" s="5" t="n">
        <v>206393.65</v>
      </c>
      <c r="D538" s="5" t="n">
        <v>206393.65</v>
      </c>
      <c r="E538" s="2" t="inlineStr">
        <is>
          <t>Comunitat Valenciana</t>
        </is>
      </c>
      <c r="F538" s="2" t="inlineStr">
        <is>
          <t>Valencia</t>
        </is>
      </c>
      <c r="G538" s="2" t="n"/>
      <c r="H538" s="2" t="inlineStr">
        <is>
          <t>Alcaldía del Ayuntamiento de Alberic</t>
        </is>
      </c>
      <c r="I538" s="2" t="inlineStr">
        <is>
          <t>El objeto del contrato es la ejecución de las obras destinadas a la Rehabilitación y adecuación de la antigua cisterna del Palacio Señorial de Alberic (usada como refugio antiaéreo en el transcurso de la Guerra Civil) como espacio de memoria democrática.</t>
        </is>
      </c>
      <c r="J538" s="2" t="inlineStr">
        <is>
          <t>3019777K nueva licitación</t>
        </is>
      </c>
      <c r="K538" s="2" t="inlineStr">
        <is>
          <t>Abierto simplificado</t>
        </is>
      </c>
      <c r="L538" s="6" t="n">
        <v>4</v>
      </c>
      <c r="M538" s="2" t="n"/>
      <c r="N538" s="7" t="n">
        <v>0</v>
      </c>
      <c r="O538" s="4" t="n"/>
      <c r="P538" s="2" t="inlineStr">
        <is>
          <t>45212350</t>
        </is>
      </c>
      <c r="Q538" s="8" t="inlineStr">
        <is>
          <t>Ver</t>
        </is>
      </c>
      <c r="R538" s="8" t="inlineStr">
        <is>
          <t>PCAP</t>
        </is>
      </c>
      <c r="S538" s="9" t="n">
        <v>46321</v>
      </c>
      <c r="T538" s="3" t="n">
        <v>46318.6212962963</v>
      </c>
      <c r="U538" s="2" t="n"/>
    </row>
    <row r="539">
      <c r="A539" s="2" t="inlineStr">
        <is>
          <t>Adjudicada</t>
        </is>
      </c>
      <c r="B539" s="3" t="n">
        <v>46251.99930555555</v>
      </c>
      <c r="C539" s="5" t="n">
        <v>396270</v>
      </c>
      <c r="D539" s="5" t="n">
        <v>396270</v>
      </c>
      <c r="E539" s="2" t="inlineStr">
        <is>
          <t>Comunitat Valenciana</t>
        </is>
      </c>
      <c r="F539" s="2" t="inlineStr">
        <is>
          <t>Valencia</t>
        </is>
      </c>
      <c r="G539" s="2" t="inlineStr">
        <is>
          <t>Vallada</t>
        </is>
      </c>
      <c r="H539" s="2" t="inlineStr">
        <is>
          <t>Alcaldía del Ayuntamiento de Vallada</t>
        </is>
      </c>
      <c r="I539" s="2" t="inlineStr">
        <is>
          <t>Reurbanización calles San Ramón, Santa Teresa y San lorenzo con realización de red separativa de pluviales, renovación de red de saneamiento y de agua potable, y sustitución de pavimentos</t>
        </is>
      </c>
      <c r="J539" s="2" t="inlineStr">
        <is>
          <t>2685373K1</t>
        </is>
      </c>
      <c r="K539" s="2" t="inlineStr">
        <is>
          <t>Abierto simplificado</t>
        </is>
      </c>
      <c r="L539" s="6" t="n">
        <v>5</v>
      </c>
      <c r="M539" s="2" t="n"/>
      <c r="N539" s="7" t="n">
        <v>0</v>
      </c>
      <c r="O539" s="4" t="n"/>
      <c r="P539" s="2" t="inlineStr">
        <is>
          <t>45231300; 45232130; 45233252; 45232410</t>
        </is>
      </c>
      <c r="Q539" s="8" t="inlineStr">
        <is>
          <t>Ver</t>
        </is>
      </c>
      <c r="R539" s="8" t="inlineStr">
        <is>
          <t>PCAP</t>
        </is>
      </c>
      <c r="S539" s="9" t="n">
        <v>46311</v>
      </c>
      <c r="T539" s="3" t="n">
        <v>46318.61043981482</v>
      </c>
      <c r="U539" s="2" t="inlineStr">
        <is>
          <t>2026-10-26: estado EV → ADJ</t>
        </is>
      </c>
    </row>
    <row r="540">
      <c r="A540" s="2" t="inlineStr">
        <is>
          <t>Pendiente de adjudicación</t>
        </is>
      </c>
      <c r="B540" s="3" t="n">
        <v>46314.99930555555</v>
      </c>
      <c r="C540" s="5" t="n">
        <v>83128.44</v>
      </c>
      <c r="D540" s="5" t="n">
        <v>83128.44</v>
      </c>
      <c r="E540" s="2" t="inlineStr">
        <is>
          <t>Andalucía</t>
        </is>
      </c>
      <c r="F540" s="2" t="inlineStr">
        <is>
          <t>Málaga</t>
        </is>
      </c>
      <c r="G540" s="2" t="inlineStr">
        <is>
          <t>Málaga</t>
        </is>
      </c>
      <c r="H540" s="2" t="inlineStr">
        <is>
          <t>Subdirección General de Administración Financiera y Patrimonio de la Administración General del Estado en el Territorio</t>
        </is>
      </c>
      <c r="I540" s="2" t="inlineStr">
        <is>
          <t>Ejecución de las obras de Sustitución de las luminarias a tecnología LED en la instalación de iluminación interior de la Oficina de Extranjería en Málaga situada en la Calle Mauricio Moro Pareto nº 13 (Código Postal 29006 de Málaga)</t>
        </is>
      </c>
      <c r="J540" s="2" t="inlineStr">
        <is>
          <t>202686026070</t>
        </is>
      </c>
      <c r="K540" s="2" t="inlineStr">
        <is>
          <t>Abierto simplificado</t>
        </is>
      </c>
      <c r="L540" s="6" t="n">
        <v>1</v>
      </c>
      <c r="M540" s="2" t="n"/>
      <c r="N540" s="7" t="n">
        <v>0</v>
      </c>
      <c r="O540" s="4" t="n"/>
      <c r="P540" s="2" t="inlineStr">
        <is>
          <t>45316000</t>
        </is>
      </c>
      <c r="Q540" s="8" t="inlineStr">
        <is>
          <t>Ver</t>
        </is>
      </c>
      <c r="R540" s="8" t="inlineStr">
        <is>
          <t>PCAP</t>
        </is>
      </c>
      <c r="S540" s="9" t="n">
        <v>46321</v>
      </c>
      <c r="T540" s="3" t="n">
        <v>46318.60709490741</v>
      </c>
      <c r="U540" s="2" t="n"/>
    </row>
    <row r="541">
      <c r="A541" s="2" t="inlineStr">
        <is>
          <t>En plazo</t>
        </is>
      </c>
      <c r="B541" s="3" t="n">
        <v>46339.99930555555</v>
      </c>
      <c r="C541" s="5" t="n">
        <v>76859.5</v>
      </c>
      <c r="D541" s="5" t="n">
        <v>76859.5</v>
      </c>
      <c r="E541" s="2" t="inlineStr">
        <is>
          <t>Andalucía</t>
        </is>
      </c>
      <c r="F541" s="2" t="inlineStr">
        <is>
          <t>Málaga</t>
        </is>
      </c>
      <c r="G541" s="2" t="inlineStr">
        <is>
          <t>Alameda</t>
        </is>
      </c>
      <c r="H541" s="2" t="inlineStr">
        <is>
          <t>Alcaldía del Ayuntamiento de Alameda</t>
        </is>
      </c>
      <c r="I541" s="2" t="inlineStr">
        <is>
          <t>Constituye el objeto del presente pliego la contratación para la ejecución de las obras de Proyecto de instalación solar fotovoltaica para autoconsumo de 55 kW para sondeo en El Camorrillo, Alameda,Málaga</t>
        </is>
      </c>
      <c r="J541" s="2" t="inlineStr">
        <is>
          <t>1866/2026</t>
        </is>
      </c>
      <c r="K541" s="2" t="inlineStr">
        <is>
          <t>Abierto simplificado</t>
        </is>
      </c>
      <c r="L541" s="6" t="n">
        <v>4</v>
      </c>
      <c r="M541" s="2" t="n"/>
      <c r="N541" s="7" t="n">
        <v>0</v>
      </c>
      <c r="O541" s="4" t="n"/>
      <c r="P541" s="2" t="inlineStr">
        <is>
          <t>45310000; 09332000; 09300000; 09331200</t>
        </is>
      </c>
      <c r="Q541" s="8" t="inlineStr">
        <is>
          <t>Ver</t>
        </is>
      </c>
      <c r="R541" s="8" t="inlineStr">
        <is>
          <t>PCAP</t>
        </is>
      </c>
      <c r="S541" s="9" t="n">
        <v>46321</v>
      </c>
      <c r="T541" s="3" t="n">
        <v>46318.60576388889</v>
      </c>
      <c r="U541" s="2" t="n"/>
    </row>
    <row r="542">
      <c r="A542" s="2" t="inlineStr">
        <is>
          <t>En plazo</t>
        </is>
      </c>
      <c r="B542" s="3" t="n">
        <v>46342.99930555555</v>
      </c>
      <c r="C542" s="5" t="n">
        <v>166994.64</v>
      </c>
      <c r="D542" s="5" t="n">
        <v>217093.03</v>
      </c>
      <c r="E542" s="2" t="inlineStr">
        <is>
          <t>Comunitat Valenciana</t>
        </is>
      </c>
      <c r="F542" s="2" t="inlineStr">
        <is>
          <t>Valencia</t>
        </is>
      </c>
      <c r="G542" s="2" t="n"/>
      <c r="H542" s="2" t="inlineStr">
        <is>
          <t>Consorcio Hospital General Universitario de Valencia</t>
        </is>
      </c>
      <c r="I542" s="2" t="inlineStr">
        <is>
          <t>Contrato de obras, responsable con el medioambiente, para la reforma y mejora de la eficiencia energética del centro de atención de urgencias (CAU) 24 horas en el CS Torrent I.</t>
        </is>
      </c>
      <c r="J542" s="2" t="inlineStr">
        <is>
          <t>CMAYOR/2027/HGUV0/0141</t>
        </is>
      </c>
      <c r="K542" s="2" t="inlineStr">
        <is>
          <t>Abierto simplificado</t>
        </is>
      </c>
      <c r="L542" s="6" t="n">
        <v>4</v>
      </c>
      <c r="M542" s="2" t="n"/>
      <c r="N542" s="7" t="n">
        <v>0.25</v>
      </c>
      <c r="O542" s="4" t="n"/>
      <c r="P542" s="2" t="inlineStr">
        <is>
          <t>45215100</t>
        </is>
      </c>
      <c r="Q542" s="8" t="inlineStr">
        <is>
          <t>Ver</t>
        </is>
      </c>
      <c r="R542" s="8" t="inlineStr">
        <is>
          <t>PCAP</t>
        </is>
      </c>
      <c r="S542" s="9" t="n">
        <v>46321</v>
      </c>
      <c r="T542" s="3" t="n">
        <v>46318.60421296296</v>
      </c>
      <c r="U542" s="2" t="n"/>
    </row>
    <row r="543">
      <c r="A543" s="2" t="inlineStr">
        <is>
          <t>Resuelta</t>
        </is>
      </c>
      <c r="B543" s="3" t="n">
        <v>46021.58333333334</v>
      </c>
      <c r="C543" s="5" t="n">
        <v>172998.93</v>
      </c>
      <c r="D543" s="5" t="n">
        <v>172998.93</v>
      </c>
      <c r="E543" s="2" t="inlineStr">
        <is>
          <t>Andalucía</t>
        </is>
      </c>
      <c r="F543" s="2" t="inlineStr">
        <is>
          <t>Cádiz</t>
        </is>
      </c>
      <c r="G543" s="2" t="inlineStr">
        <is>
          <t>La Línea de La Concepción</t>
        </is>
      </c>
      <c r="H543" s="2" t="inlineStr">
        <is>
          <t>Alcaldía del Ayuntamiento de la Línea de la Concepción</t>
        </is>
      </c>
      <c r="I543" s="2" t="inlineStr">
        <is>
          <t>contrato de obra de “Proyecto de ejecución de pistas de deporte playa en Ciudad Deportiva de La Línea de la Concepción</t>
        </is>
      </c>
      <c r="J543" s="2" t="inlineStr">
        <is>
          <t>118/25</t>
        </is>
      </c>
      <c r="K543" s="2" t="inlineStr">
        <is>
          <t>Abierto simplificado</t>
        </is>
      </c>
      <c r="L543" s="6" t="n">
        <v>3</v>
      </c>
      <c r="M543" s="2" t="n"/>
      <c r="N543" s="7" t="n">
        <v>0.25</v>
      </c>
      <c r="O543" s="4" t="n"/>
      <c r="P543" s="2" t="inlineStr">
        <is>
          <t>45212200; 45212000; 45210000; 45212210; 45000000; 45200000</t>
        </is>
      </c>
      <c r="Q543" s="8" t="inlineStr">
        <is>
          <t>Ver</t>
        </is>
      </c>
      <c r="R543" s="8" t="inlineStr">
        <is>
          <t>PCAP</t>
        </is>
      </c>
      <c r="S543" s="9" t="n">
        <v>46321</v>
      </c>
      <c r="T543" s="3" t="n">
        <v>46318.60368055556</v>
      </c>
      <c r="U543" s="2" t="n"/>
    </row>
    <row r="544">
      <c r="A544" s="2" t="inlineStr">
        <is>
          <t>Pendiente de adjudicación</t>
        </is>
      </c>
      <c r="B544" s="3" t="n">
        <v>46232.5625</v>
      </c>
      <c r="C544" s="5" t="n">
        <v>1812017.48</v>
      </c>
      <c r="D544" s="5" t="n">
        <v>1812017.48</v>
      </c>
      <c r="E544" s="2" t="inlineStr">
        <is>
          <t>Andalucía</t>
        </is>
      </c>
      <c r="F544" s="2" t="inlineStr">
        <is>
          <t>Cádiz</t>
        </is>
      </c>
      <c r="G544" s="2" t="n"/>
      <c r="H544" s="2" t="inlineStr">
        <is>
          <t>Junta de Gobierno del Ayuntamiento de Chiclana de la Frontera</t>
        </is>
      </c>
      <c r="I544" s="2" t="inlineStr">
        <is>
          <t>Obras de transformación de carretera de Pago del Humo en vía urbana.</t>
        </is>
      </c>
      <c r="J544" s="2" t="inlineStr">
        <is>
          <t>31/2026</t>
        </is>
      </c>
      <c r="K544" s="2" t="inlineStr">
        <is>
          <t>Abierto simplificado</t>
        </is>
      </c>
      <c r="L544" s="6" t="n">
        <v>12</v>
      </c>
      <c r="M544" s="2" t="inlineStr">
        <is>
          <t>G6-4</t>
        </is>
      </c>
      <c r="N544" s="7" t="n">
        <v>0.25</v>
      </c>
      <c r="O544" s="4" t="n"/>
      <c r="P544" s="2" t="inlineStr">
        <is>
          <t>45233140</t>
        </is>
      </c>
      <c r="Q544" s="8" t="inlineStr">
        <is>
          <t>Ver</t>
        </is>
      </c>
      <c r="R544" s="8" t="inlineStr">
        <is>
          <t>PCAP</t>
        </is>
      </c>
      <c r="S544" s="9" t="n">
        <v>46311</v>
      </c>
      <c r="T544" s="3" t="n">
        <v>46318.60170138889</v>
      </c>
      <c r="U544" s="2" t="n"/>
    </row>
    <row r="545">
      <c r="A545" s="2" t="inlineStr">
        <is>
          <t>En plazo</t>
        </is>
      </c>
      <c r="B545" s="3" t="n">
        <v>46336.99930555555</v>
      </c>
      <c r="C545" s="5" t="n">
        <v>132467.55</v>
      </c>
      <c r="D545" s="5" t="n">
        <v>132467.55</v>
      </c>
      <c r="E545" s="2" t="inlineStr">
        <is>
          <t>Comunitat Valenciana</t>
        </is>
      </c>
      <c r="F545" s="2" t="inlineStr">
        <is>
          <t>Valencia</t>
        </is>
      </c>
      <c r="G545" s="2" t="n"/>
      <c r="H545" s="2" t="inlineStr">
        <is>
          <t>Servicio de Emergencias Sanitarias de la Comunitat Valenciana. Dirección Económica-Gerencia</t>
        </is>
      </c>
      <c r="I545" s="2" t="inlineStr">
        <is>
          <t>Dirección de obra y obra para la adecuación y habilitación de las instalaciones e infraestructuras sitas en la localidad de Sueca del Servicio de Emergencias Sanitarias de la Comunitat Valenciana.</t>
        </is>
      </c>
      <c r="J545" s="2" t="inlineStr">
        <is>
          <t>CNMY 1656/2026</t>
        </is>
      </c>
      <c r="K545" s="2" t="inlineStr">
        <is>
          <t>Abierto simplificado</t>
        </is>
      </c>
      <c r="L545" s="6" t="n">
        <v>3.3</v>
      </c>
      <c r="M545" s="2" t="n"/>
      <c r="N545" s="7" t="n">
        <v>0</v>
      </c>
      <c r="O545" s="4" t="n">
        <v>2</v>
      </c>
      <c r="P545" s="2" t="inlineStr">
        <is>
          <t>45215100; 71240000; 71317210</t>
        </is>
      </c>
      <c r="Q545" s="8" t="inlineStr">
        <is>
          <t>Ver</t>
        </is>
      </c>
      <c r="R545" s="8" t="inlineStr">
        <is>
          <t>PCAP</t>
        </is>
      </c>
      <c r="S545" s="9" t="n">
        <v>46310</v>
      </c>
      <c r="T545" s="3" t="n">
        <v>46318.60148148148</v>
      </c>
      <c r="U545" s="2" t="inlineStr">
        <is>
          <t>2026-10-22: plazo 2026-10-21 23:59 → 2026-11-10 23:59</t>
        </is>
      </c>
    </row>
    <row r="546">
      <c r="A546" s="2" t="inlineStr">
        <is>
          <t>En plazo</t>
        </is>
      </c>
      <c r="B546" s="3" t="n">
        <v>46336.99930555555</v>
      </c>
      <c r="C546" s="5" t="n">
        <v>358728.57</v>
      </c>
      <c r="D546" s="5" t="n">
        <v>358728.57</v>
      </c>
      <c r="E546" s="2" t="inlineStr">
        <is>
          <t>Andalucía</t>
        </is>
      </c>
      <c r="F546" s="2" t="inlineStr">
        <is>
          <t>Málaga</t>
        </is>
      </c>
      <c r="G546" s="2" t="n"/>
      <c r="H546" s="2" t="inlineStr">
        <is>
          <t>Gerente de la Gerencia Municipal de Urbanismo del Ayuntamiento de Málaga</t>
        </is>
      </c>
      <c r="I546" s="2" t="inlineStr">
        <is>
          <t>Proyecto de remodelación de la plaza de la Biznaga en Cruz de Humilladero. Actuación cofinanciada por la Unión Europea a través del Fondo Europeo de Desarrollo Regional (FEDER), Programa Plurirregional de España (POPE) (2021-2027)</t>
        </is>
      </c>
      <c r="J546" s="2" t="inlineStr">
        <is>
          <t>2026000065/GMU/OBR/ABR_SMPL</t>
        </is>
      </c>
      <c r="K546" s="2" t="inlineStr">
        <is>
          <t>Abierto simplificado</t>
        </is>
      </c>
      <c r="L546" s="6" t="n">
        <v>4</v>
      </c>
      <c r="M546" s="2" t="n"/>
      <c r="N546" s="7" t="n">
        <v>0</v>
      </c>
      <c r="O546" s="4" t="n"/>
      <c r="P546" s="2" t="inlineStr">
        <is>
          <t>45233200; 45112710</t>
        </is>
      </c>
      <c r="Q546" s="8" t="inlineStr">
        <is>
          <t>Ver</t>
        </is>
      </c>
      <c r="R546" s="8" t="inlineStr">
        <is>
          <t>PCAP</t>
        </is>
      </c>
      <c r="S546" s="9" t="n">
        <v>46317</v>
      </c>
      <c r="T546" s="3" t="n">
        <v>46318.60118055555</v>
      </c>
      <c r="U546" s="2" t="n"/>
    </row>
    <row r="547">
      <c r="A547" s="2" t="inlineStr">
        <is>
          <t>En plazo</t>
        </is>
      </c>
      <c r="B547" s="3" t="n">
        <v>46342.99930555555</v>
      </c>
      <c r="C547" s="5" t="n">
        <v>3636363.64</v>
      </c>
      <c r="D547" s="5" t="n">
        <v>3636363.64</v>
      </c>
      <c r="E547" s="2" t="inlineStr">
        <is>
          <t>Andalucía</t>
        </is>
      </c>
      <c r="F547" s="2" t="inlineStr">
        <is>
          <t>Almería</t>
        </is>
      </c>
      <c r="G547" s="2" t="n"/>
      <c r="H547" s="2" t="inlineStr">
        <is>
          <t>Junta de Gobierno de la Diputación Provincial de Almería</t>
        </is>
      </c>
      <c r="I547" s="2" t="inlineStr">
        <is>
          <t>Gran Eco-bulevard Vera - Palomares. Este Proyecto Podrá Ser Cofinanciado Por La Unión Europea A Través Del Fondo Europeo De Desarrollo Regional (feder) En El Marco Del Programa Plurirregional De Españ 9PAI-LEVANTE30</t>
        </is>
      </c>
      <c r="J547" s="2" t="inlineStr">
        <is>
          <t>2026/D31000/006-002/00004</t>
        </is>
      </c>
      <c r="K547" s="2" t="inlineStr">
        <is>
          <t>Abierto</t>
        </is>
      </c>
      <c r="L547" s="6" t="n">
        <v>12.2</v>
      </c>
      <c r="M547" s="2" t="inlineStr">
        <is>
          <t>I1-4; G6-4</t>
        </is>
      </c>
      <c r="N547" s="7" t="n">
        <v>0.25</v>
      </c>
      <c r="O547" s="4" t="n"/>
      <c r="P547" s="2" t="inlineStr">
        <is>
          <t>45111291</t>
        </is>
      </c>
      <c r="Q547" s="8" t="inlineStr">
        <is>
          <t>Ver</t>
        </is>
      </c>
      <c r="R547" s="8" t="inlineStr">
        <is>
          <t>PCAP</t>
        </is>
      </c>
      <c r="S547" s="9" t="n">
        <v>46317</v>
      </c>
      <c r="T547" s="3" t="n">
        <v>46318.59993055555</v>
      </c>
      <c r="U547" s="2" t="n"/>
    </row>
    <row r="548">
      <c r="A548" s="2" t="inlineStr">
        <is>
          <t>Pendiente de adjudicación</t>
        </is>
      </c>
      <c r="B548" s="3" t="n">
        <v>46296.54166666666</v>
      </c>
      <c r="C548" s="5" t="n">
        <v>450480.72</v>
      </c>
      <c r="D548" s="5" t="n">
        <v>450480.72</v>
      </c>
      <c r="E548" s="2" t="inlineStr">
        <is>
          <t>Comunitat Valenciana</t>
        </is>
      </c>
      <c r="F548" s="2" t="inlineStr">
        <is>
          <t>Alicante</t>
        </is>
      </c>
      <c r="G548" s="2" t="inlineStr">
        <is>
          <t>Monforte del Cid</t>
        </is>
      </c>
      <c r="H548" s="2" t="inlineStr">
        <is>
          <t>Junta de Gobierno del Ayuntamiento de Monforte del Cid</t>
        </is>
      </c>
      <c r="I548" s="2" t="inlineStr">
        <is>
          <t>La ejecución de las obras definidas en el Proyecto Básico y de Mejoras de Ejecución denominado Acondicionamiento de Café-Bar del Polideportivo Municipal y espacio libre anexo</t>
        </is>
      </c>
      <c r="J548" s="2" t="inlineStr">
        <is>
          <t>3022/2026 Acondicionamiento cafe bar polideportivo</t>
        </is>
      </c>
      <c r="K548" s="2" t="inlineStr">
        <is>
          <t>Abierto simplificado</t>
        </is>
      </c>
      <c r="L548" s="6" t="n">
        <v>8</v>
      </c>
      <c r="M548" s="2" t="n"/>
      <c r="N548" s="7" t="n">
        <v>0</v>
      </c>
      <c r="O548" s="4" t="n"/>
      <c r="P548" s="2" t="inlineStr">
        <is>
          <t>45000000; 45453100; 45210000; 45300000</t>
        </is>
      </c>
      <c r="Q548" s="8" t="inlineStr">
        <is>
          <t>Ver</t>
        </is>
      </c>
      <c r="R548" s="8" t="inlineStr">
        <is>
          <t>PCAP</t>
        </is>
      </c>
      <c r="S548" s="9" t="n">
        <v>46310</v>
      </c>
      <c r="T548" s="3" t="n">
        <v>46318.59946759259</v>
      </c>
      <c r="U548" s="2" t="n"/>
    </row>
    <row r="549">
      <c r="A549" s="2" t="inlineStr">
        <is>
          <t>Adjudicada</t>
        </is>
      </c>
      <c r="B549" s="3" t="n">
        <v>46275.99930555555</v>
      </c>
      <c r="C549" s="5" t="n">
        <v>173616.64</v>
      </c>
      <c r="D549" s="5" t="n">
        <v>173616.64</v>
      </c>
      <c r="E549" s="2" t="inlineStr">
        <is>
          <t>Andalucía</t>
        </is>
      </c>
      <c r="F549" s="2" t="inlineStr">
        <is>
          <t>Málaga</t>
        </is>
      </c>
      <c r="G549" s="2" t="inlineStr">
        <is>
          <t>ALAMEDA</t>
        </is>
      </c>
      <c r="H549" s="2" t="inlineStr">
        <is>
          <t>Alcaldía del Ayuntamiento de Alameda</t>
        </is>
      </c>
      <c r="I549" s="2" t="inlineStr">
        <is>
          <t>Obras de pavimentado de calle almendros, prolongación Avenida la Libertad y prolongación Blas Infante en el núcleo urbano de Alameda (Málaga), consistentes en la mejora del estado del firme y pavimentación sobre la calzada existente</t>
        </is>
      </c>
      <c r="J549" s="2" t="inlineStr">
        <is>
          <t>1909/2026</t>
        </is>
      </c>
      <c r="K549" s="2" t="inlineStr">
        <is>
          <t>Abierto simplificado</t>
        </is>
      </c>
      <c r="L549" s="6" t="n">
        <v>1</v>
      </c>
      <c r="M549" s="2" t="n"/>
      <c r="N549" s="7" t="n">
        <v>0</v>
      </c>
      <c r="O549" s="4" t="n"/>
      <c r="P549" s="2" t="inlineStr">
        <is>
          <t>45233252</t>
        </is>
      </c>
      <c r="Q549" s="8" t="inlineStr">
        <is>
          <t>Ver</t>
        </is>
      </c>
      <c r="R549" s="8" t="inlineStr">
        <is>
          <t>PCAP</t>
        </is>
      </c>
      <c r="S549" s="9" t="n">
        <v>46321</v>
      </c>
      <c r="T549" s="3" t="n">
        <v>46318.59819444444</v>
      </c>
      <c r="U549" s="2" t="n"/>
    </row>
    <row r="550">
      <c r="A550" s="2" t="inlineStr">
        <is>
          <t>Adjudicada</t>
        </is>
      </c>
      <c r="B550" s="3" t="n">
        <v>46215.99930555555</v>
      </c>
      <c r="C550" s="5" t="n">
        <v>132231.4</v>
      </c>
      <c r="D550" s="5" t="n">
        <v>132231.4</v>
      </c>
      <c r="E550" s="2" t="inlineStr">
        <is>
          <t>Andalucía</t>
        </is>
      </c>
      <c r="F550" s="2" t="inlineStr">
        <is>
          <t>Málaga</t>
        </is>
      </c>
      <c r="G550" s="2" t="inlineStr">
        <is>
          <t>ALAMEDA</t>
        </is>
      </c>
      <c r="H550" s="2" t="inlineStr">
        <is>
          <t>Alcaldía del Ayuntamiento de Alameda</t>
        </is>
      </c>
      <c r="I550" s="2" t="inlineStr">
        <is>
          <t>Renovación del pavimento del pabellón de deportes José Francisco Torres Narbona, del Ayuntamiento de Alameda, a fin de mejorar el pavimento para la práctica deportiva, especialmente en lo concerniente a la práctica de futbol sala, baloncesto y balonmano, conforme a las especificaciones recogidas en el Pliego de Prescripciones Técnicas y el PCAP</t>
        </is>
      </c>
      <c r="J550" s="2" t="inlineStr">
        <is>
          <t>1478/2026</t>
        </is>
      </c>
      <c r="K550" s="2" t="inlineStr">
        <is>
          <t>Abierto simplificado</t>
        </is>
      </c>
      <c r="L550" s="6" t="n">
        <v>1</v>
      </c>
      <c r="M550" s="2" t="n"/>
      <c r="N550" s="7" t="n">
        <v>0</v>
      </c>
      <c r="O550" s="4" t="n"/>
      <c r="P550" s="2" t="inlineStr">
        <is>
          <t>45212600</t>
        </is>
      </c>
      <c r="Q550" s="8" t="inlineStr">
        <is>
          <t>Ver</t>
        </is>
      </c>
      <c r="R550" s="8" t="inlineStr">
        <is>
          <t>PCAP</t>
        </is>
      </c>
      <c r="S550" s="9" t="n">
        <v>46321</v>
      </c>
      <c r="T550" s="3" t="n">
        <v>46318.59797453704</v>
      </c>
      <c r="U550" s="2" t="n"/>
    </row>
    <row r="551">
      <c r="A551" s="2" t="inlineStr">
        <is>
          <t>Adjudicada</t>
        </is>
      </c>
      <c r="B551" s="3" t="n">
        <v>46300.625</v>
      </c>
      <c r="C551" s="5" t="n">
        <v>245175.69</v>
      </c>
      <c r="D551" s="5" t="n">
        <v>245175.69</v>
      </c>
      <c r="E551" s="2" t="inlineStr">
        <is>
          <t>Andalucía</t>
        </is>
      </c>
      <c r="F551" s="2" t="inlineStr">
        <is>
          <t>Cádiz</t>
        </is>
      </c>
      <c r="G551" s="2" t="n"/>
      <c r="H551" s="2" t="inlineStr">
        <is>
          <t>Delegación Especial del Estado en el Consorcio de la Zona Franca de Cádiz</t>
        </is>
      </c>
      <c r="I551" s="2" t="inlineStr">
        <is>
          <t>Obras necesarias para la ejecución del proyecto de Reparacion de las zonas A-1, A-2, B-1, B-2, C-1, C-2 de la cubierta de la nave 1 del Recinto Interior de la Zona Franca de Cádiz.</t>
        </is>
      </c>
      <c r="J551" s="2" t="inlineStr">
        <is>
          <t>CO-0205-2026-00-A</t>
        </is>
      </c>
      <c r="K551" s="2" t="inlineStr">
        <is>
          <t>Abierto simplificado</t>
        </is>
      </c>
      <c r="L551" s="6" t="n">
        <v>3.5</v>
      </c>
      <c r="M551" s="2" t="n"/>
      <c r="N551" s="7" t="n">
        <v>0.25</v>
      </c>
      <c r="O551" s="4" t="n"/>
      <c r="P551" s="2" t="inlineStr">
        <is>
          <t>45261420; 45261910</t>
        </is>
      </c>
      <c r="Q551" s="8" t="inlineStr">
        <is>
          <t>Ver</t>
        </is>
      </c>
      <c r="R551" s="8" t="inlineStr">
        <is>
          <t>PCAP</t>
        </is>
      </c>
      <c r="S551" s="9" t="n">
        <v>46310</v>
      </c>
      <c r="T551" s="3" t="n">
        <v>46318.59600694444</v>
      </c>
      <c r="U551" s="2" t="inlineStr">
        <is>
          <t>2026-10-26: estado EV → ADJ</t>
        </is>
      </c>
    </row>
    <row r="552">
      <c r="A552" s="2" t="inlineStr">
        <is>
          <t>Plazo vencido</t>
        </is>
      </c>
      <c r="B552" s="3" t="n">
        <v>46323.99930555555</v>
      </c>
      <c r="C552" s="5" t="n">
        <v>82639.55</v>
      </c>
      <c r="D552" s="5" t="n">
        <v>82639.55</v>
      </c>
      <c r="E552" s="2" t="inlineStr">
        <is>
          <t>Andalucía</t>
        </is>
      </c>
      <c r="F552" s="2" t="inlineStr">
        <is>
          <t>Jaén</t>
        </is>
      </c>
      <c r="G552" s="2" t="inlineStr">
        <is>
          <t>TORREPEROGIL</t>
        </is>
      </c>
      <c r="H552" s="2" t="inlineStr">
        <is>
          <t>Alcaldía del Ayuntamiento de Torreperogil</t>
        </is>
      </c>
      <c r="I552" s="2" t="inlineStr">
        <is>
          <t>Recuperación de Muralla histórica y de la cerca del Antiguo Cementerio en calle Perogil, en el municipio de Torreperogil.</t>
        </is>
      </c>
      <c r="J552" s="2" t="inlineStr">
        <is>
          <t>2266/2026</t>
        </is>
      </c>
      <c r="K552" s="2" t="inlineStr">
        <is>
          <t>Abierto simplificado</t>
        </is>
      </c>
      <c r="L552" s="6" t="n">
        <v>5</v>
      </c>
      <c r="M552" s="2" t="n"/>
      <c r="N552" s="7" t="n">
        <v>0.2</v>
      </c>
      <c r="O552" s="4" t="n"/>
      <c r="P552" s="2" t="inlineStr">
        <is>
          <t>45454100</t>
        </is>
      </c>
      <c r="Q552" s="8" t="inlineStr">
        <is>
          <t>Ver</t>
        </is>
      </c>
      <c r="R552" s="8" t="inlineStr">
        <is>
          <t>PCAP</t>
        </is>
      </c>
      <c r="S552" s="9" t="n">
        <v>46310</v>
      </c>
      <c r="T552" s="3" t="n">
        <v>46318.59427083333</v>
      </c>
      <c r="U552" s="2" t="n"/>
    </row>
    <row r="553">
      <c r="A553" s="2" t="inlineStr">
        <is>
          <t>Pendiente de adjudicación</t>
        </is>
      </c>
      <c r="B553" s="3" t="n">
        <v>46279.54166666666</v>
      </c>
      <c r="C553" s="5" t="n">
        <v>935351.01</v>
      </c>
      <c r="D553" s="5" t="n">
        <v>1028886.11</v>
      </c>
      <c r="E553" s="2" t="inlineStr">
        <is>
          <t>Comunitat Valenciana</t>
        </is>
      </c>
      <c r="F553" s="2" t="inlineStr">
        <is>
          <t>Valencia</t>
        </is>
      </c>
      <c r="G553" s="2" t="n"/>
      <c r="H553" s="2" t="inlineStr">
        <is>
          <t>Presidencia de la Diputación Provincial de Valencia</t>
        </is>
      </c>
      <c r="I553" s="2" t="inlineStr">
        <is>
          <t>Ac-631/O. Obras de continuidad y accesibilidad del itinerario ciclo peatonal en la carretera CV-649 entre Vallada y la estación de ferrocarril (TM de Vallada)</t>
        </is>
      </c>
      <c r="J553" s="2" t="inlineStr">
        <is>
          <t>1696/26/CAR</t>
        </is>
      </c>
      <c r="K553" s="2" t="inlineStr">
        <is>
          <t>Abierto</t>
        </is>
      </c>
      <c r="L553" s="6" t="n">
        <v>8</v>
      </c>
      <c r="M553" s="2" t="inlineStr">
        <is>
          <t>G4-4</t>
        </is>
      </c>
      <c r="N553" s="7" t="n">
        <v>0.34</v>
      </c>
      <c r="O553" s="4" t="n"/>
      <c r="P553" s="2" t="inlineStr">
        <is>
          <t>45233120; 45233162</t>
        </is>
      </c>
      <c r="Q553" s="8" t="inlineStr">
        <is>
          <t>Ver</t>
        </is>
      </c>
      <c r="R553" s="8" t="inlineStr">
        <is>
          <t>PCAP</t>
        </is>
      </c>
      <c r="S553" s="9" t="n">
        <v>46317</v>
      </c>
      <c r="T553" s="3" t="n">
        <v>46318.59255787037</v>
      </c>
      <c r="U553" s="2" t="n"/>
    </row>
    <row r="554">
      <c r="A554" s="2" t="inlineStr">
        <is>
          <t>Resuelta</t>
        </is>
      </c>
      <c r="B554" s="3" t="n">
        <v>44568.99930555555</v>
      </c>
      <c r="C554" s="5" t="n">
        <v>137452.34</v>
      </c>
      <c r="D554" s="5" t="n">
        <v>137452.34</v>
      </c>
      <c r="E554" s="2" t="inlineStr">
        <is>
          <t>Comunitat Valenciana</t>
        </is>
      </c>
      <c r="F554" s="2" t="inlineStr">
        <is>
          <t>Valencia</t>
        </is>
      </c>
      <c r="G554" s="2" t="n"/>
      <c r="H554" s="2" t="inlineStr">
        <is>
          <t>Concejalía Delegada de Contratación del Ajuntament de València</t>
        </is>
      </c>
      <c r="I554" s="2" t="inlineStr">
        <is>
          <t>Contrato de obras para la ejecución del proyecto denominado “Rebaje de aceras en pasos de peatones, acondicionamientos de baldosas y paso de peatones sobreelevado en Benimàmet (València)”.-</t>
        </is>
      </c>
      <c r="J554" s="2" t="inlineStr">
        <is>
          <t>04101/2021/257-O</t>
        </is>
      </c>
      <c r="K554" s="2" t="inlineStr">
        <is>
          <t>Abierto simplificado</t>
        </is>
      </c>
      <c r="L554" s="6" t="n">
        <v>3</v>
      </c>
      <c r="M554" s="2" t="n"/>
      <c r="N554" s="7" t="n">
        <v>0</v>
      </c>
      <c r="O554" s="4" t="n"/>
      <c r="P554" s="2" t="inlineStr">
        <is>
          <t>45233251</t>
        </is>
      </c>
      <c r="Q554" s="8" t="inlineStr">
        <is>
          <t>Ver</t>
        </is>
      </c>
      <c r="R554" s="8" t="inlineStr">
        <is>
          <t>PCAP</t>
        </is>
      </c>
      <c r="S554" s="9" t="n">
        <v>46321</v>
      </c>
      <c r="T554" s="3" t="n">
        <v>46318.59211805555</v>
      </c>
      <c r="U554" s="2" t="n"/>
    </row>
    <row r="555">
      <c r="A555" s="2" t="inlineStr">
        <is>
          <t>En plazo</t>
        </is>
      </c>
      <c r="B555" s="3" t="n">
        <v>46338.99930555555</v>
      </c>
      <c r="C555" s="5" t="n">
        <v>67298.88</v>
      </c>
      <c r="D555" s="5" t="n">
        <v>67298.88</v>
      </c>
      <c r="E555" s="2" t="inlineStr">
        <is>
          <t>Andalucía</t>
        </is>
      </c>
      <c r="F555" s="2" t="inlineStr">
        <is>
          <t>Almería</t>
        </is>
      </c>
      <c r="G555" s="2" t="n"/>
      <c r="H555" s="2" t="inlineStr">
        <is>
          <t>Junta de Gobierno de la Diputación Provincial de Almería</t>
        </is>
      </c>
      <c r="I555" s="2" t="inlineStr">
        <is>
          <t>Instalación De Sistema De Abastecimiento De Agua Contra Incendios En Residencia Asistida De Mayores. Fase 1, Unidad 14 Y Unidad 10-12. 6PGM2026</t>
        </is>
      </c>
      <c r="J555" s="2" t="inlineStr">
        <is>
          <t>2026/D31000/006-013/00066</t>
        </is>
      </c>
      <c r="K555" s="2" t="inlineStr">
        <is>
          <t>Abierto simplificado</t>
        </is>
      </c>
      <c r="L555" s="6" t="n">
        <v>3</v>
      </c>
      <c r="M555" s="2" t="n"/>
      <c r="N555" s="7" t="n">
        <v>0.25</v>
      </c>
      <c r="O555" s="4" t="n"/>
      <c r="P555" s="2" t="inlineStr">
        <is>
          <t>45343200</t>
        </is>
      </c>
      <c r="Q555" s="8" t="inlineStr">
        <is>
          <t>Ver</t>
        </is>
      </c>
      <c r="R555" s="8" t="inlineStr">
        <is>
          <t>PCAP</t>
        </is>
      </c>
      <c r="S555" s="9" t="n">
        <v>46321</v>
      </c>
      <c r="T555" s="3" t="n">
        <v>46318.59030092593</v>
      </c>
      <c r="U555" s="2" t="n"/>
    </row>
    <row r="556">
      <c r="A556" s="2" t="inlineStr">
        <is>
          <t>Adjudicada</t>
        </is>
      </c>
      <c r="B556" s="3" t="n">
        <v>46232.99930555555</v>
      </c>
      <c r="C556" s="5" t="n">
        <v>666460.78</v>
      </c>
      <c r="D556" s="5" t="n">
        <v>666460.78</v>
      </c>
      <c r="E556" s="2" t="inlineStr">
        <is>
          <t>Comunitat Valenciana</t>
        </is>
      </c>
      <c r="F556" s="2" t="inlineStr">
        <is>
          <t>Alicante</t>
        </is>
      </c>
      <c r="G556" s="2" t="n"/>
      <c r="H556" s="2" t="inlineStr">
        <is>
          <t>Junta de Gobierno del Ayuntamiento de Elche</t>
        </is>
      </c>
      <c r="I556" s="2" t="inlineStr">
        <is>
          <t>Obras de adaptación viaria en puntos conflictivos de tráfico en el término municipal de Elche.</t>
        </is>
      </c>
      <c r="J556" s="2" t="inlineStr">
        <is>
          <t>OBR/ABR_SMPL/2026000107</t>
        </is>
      </c>
      <c r="K556" s="2" t="inlineStr">
        <is>
          <t>Abierto simplificado</t>
        </is>
      </c>
      <c r="L556" s="6" t="n">
        <v>6</v>
      </c>
      <c r="M556" s="2" t="inlineStr">
        <is>
          <t>G4-3</t>
        </is>
      </c>
      <c r="N556" s="7" t="n">
        <v>0.2</v>
      </c>
      <c r="O556" s="4" t="n"/>
      <c r="P556" s="2" t="inlineStr">
        <is>
          <t>45233120</t>
        </is>
      </c>
      <c r="Q556" s="8" t="inlineStr">
        <is>
          <t>Ver</t>
        </is>
      </c>
      <c r="R556" s="8" t="inlineStr">
        <is>
          <t>PCAP</t>
        </is>
      </c>
      <c r="S556" s="9" t="n">
        <v>46311</v>
      </c>
      <c r="T556" s="3" t="n">
        <v>46318.58938657407</v>
      </c>
      <c r="U556" s="2" t="inlineStr">
        <is>
          <t>2026-10-26: estado EV → ADJ</t>
        </is>
      </c>
    </row>
    <row r="557">
      <c r="A557" s="2" t="inlineStr">
        <is>
          <t>En plazo</t>
        </is>
      </c>
      <c r="B557" s="3" t="n">
        <v>46338.99930555555</v>
      </c>
      <c r="C557" s="5" t="n">
        <v>983261.73</v>
      </c>
      <c r="D557" s="5" t="n">
        <v>983261.73</v>
      </c>
      <c r="E557" s="2" t="inlineStr">
        <is>
          <t>Comunitat Valenciana</t>
        </is>
      </c>
      <c r="F557" s="2" t="inlineStr">
        <is>
          <t>Alicante</t>
        </is>
      </c>
      <c r="G557" s="2" t="n"/>
      <c r="H557" s="2" t="inlineStr">
        <is>
          <t>Junta de Gobierno del Ayuntamiento de Aspe</t>
        </is>
      </c>
      <c r="I557" s="2" t="inlineStr">
        <is>
          <t>Contrato Administrativo Obras rehabilitación de edificio de viviendas de calle Azorin y urbanizacion anexa en Aspe , Alicante conforme proyecto redactado por UTE PLAN A3 ARQUITECTURA E INGENIERIA, AKTUA MANAGEMENT Y CARMEN TORRES PEREZ</t>
        </is>
      </c>
      <c r="J557" s="2" t="inlineStr">
        <is>
          <t>2026/46-GUACON</t>
        </is>
      </c>
      <c r="K557" s="2" t="inlineStr">
        <is>
          <t>Abierto simplificado</t>
        </is>
      </c>
      <c r="L557" s="6" t="n">
        <v>10</v>
      </c>
      <c r="M557" s="2" t="n"/>
      <c r="N557" s="7" t="n">
        <v>0</v>
      </c>
      <c r="O557" s="4" t="n"/>
      <c r="P557" s="2" t="inlineStr">
        <is>
          <t>45000000</t>
        </is>
      </c>
      <c r="Q557" s="8" t="inlineStr">
        <is>
          <t>Ver</t>
        </is>
      </c>
      <c r="R557" s="8" t="inlineStr">
        <is>
          <t>PCAP</t>
        </is>
      </c>
      <c r="S557" s="9" t="n">
        <v>46321</v>
      </c>
      <c r="T557" s="3" t="n">
        <v>46318.58667824074</v>
      </c>
      <c r="U557" s="2" t="n"/>
    </row>
    <row r="558">
      <c r="A558" s="2" t="inlineStr">
        <is>
          <t>Resuelta</t>
        </is>
      </c>
      <c r="B558" s="3" t="n">
        <v>46122.99930555555</v>
      </c>
      <c r="C558" s="5" t="n">
        <v>181503.27</v>
      </c>
      <c r="D558" s="5" t="n">
        <v>181503.27</v>
      </c>
      <c r="E558" s="2" t="inlineStr">
        <is>
          <t>Comunitat Valenciana</t>
        </is>
      </c>
      <c r="F558" s="2" t="inlineStr">
        <is>
          <t>Valencia</t>
        </is>
      </c>
      <c r="G558" s="2" t="n"/>
      <c r="H558" s="2" t="inlineStr">
        <is>
          <t>Junta de Gobierno del Ayuntamiento de Sagunto</t>
        </is>
      </c>
      <c r="I558" s="2" t="inlineStr">
        <is>
          <t>Contrato de obras para la sustitución y adecuación de elementos de protección en la pasarela peatonal sobre la línea F.F.C.C. Valencia-Sagunto-Barcelona, situación en la calle de la Estación de Sagunto</t>
        </is>
      </c>
      <c r="J558" s="2" t="inlineStr">
        <is>
          <t>13/26-C</t>
        </is>
      </c>
      <c r="K558" s="2" t="inlineStr">
        <is>
          <t>Restringido</t>
        </is>
      </c>
      <c r="L558" s="6" t="n">
        <v>45</v>
      </c>
      <c r="M558" s="2" t="n"/>
      <c r="N558" s="7" t="n">
        <v>0</v>
      </c>
      <c r="O558" s="4" t="n">
        <v>1</v>
      </c>
      <c r="P558" s="2" t="inlineStr">
        <is>
          <t>45000000</t>
        </is>
      </c>
      <c r="Q558" s="8" t="inlineStr">
        <is>
          <t>Ver</t>
        </is>
      </c>
      <c r="R558" s="8" t="inlineStr">
        <is>
          <t>PCAP</t>
        </is>
      </c>
      <c r="S558" s="9" t="n">
        <v>46321</v>
      </c>
      <c r="T558" s="3" t="n">
        <v>46318.5844212963</v>
      </c>
      <c r="U558" s="2" t="n"/>
    </row>
    <row r="559">
      <c r="A559" s="2" t="inlineStr">
        <is>
          <t>Resuelta</t>
        </is>
      </c>
      <c r="B559" s="3" t="n">
        <v>46280.99930555555</v>
      </c>
      <c r="C559" s="5" t="n">
        <v>123966.94</v>
      </c>
      <c r="D559" s="5" t="n">
        <v>123966.94</v>
      </c>
      <c r="E559" s="2" t="inlineStr">
        <is>
          <t>Andalucía</t>
        </is>
      </c>
      <c r="F559" s="2" t="inlineStr">
        <is>
          <t>Cádiz</t>
        </is>
      </c>
      <c r="G559" s="2" t="inlineStr">
        <is>
          <t>SAN JOSE DEL VALLE</t>
        </is>
      </c>
      <c r="H559" s="2" t="inlineStr">
        <is>
          <t>Alcaldía del Ayuntamiento de San José del Valle</t>
        </is>
      </c>
      <c r="I559" s="2" t="inlineStr">
        <is>
          <t>2ª Fase de Adaptación de Centro Cultural. Plan de Cooperación a las Obras y Servicios de Competencia Municipal PPCOS 2026-2027</t>
        </is>
      </c>
      <c r="J559" s="2" t="inlineStr">
        <is>
          <t>2244-2026</t>
        </is>
      </c>
      <c r="K559" s="2" t="inlineStr">
        <is>
          <t>Abierto simplificado</t>
        </is>
      </c>
      <c r="L559" s="6" t="n">
        <v>6</v>
      </c>
      <c r="M559" s="2" t="n"/>
      <c r="N559" s="7" t="n">
        <v>0</v>
      </c>
      <c r="O559" s="4" t="n"/>
      <c r="P559" s="2" t="inlineStr">
        <is>
          <t>45000000; 45200000</t>
        </is>
      </c>
      <c r="Q559" s="8" t="inlineStr">
        <is>
          <t>Ver</t>
        </is>
      </c>
      <c r="R559" s="8" t="inlineStr">
        <is>
          <t>PCAP</t>
        </is>
      </c>
      <c r="S559" s="9" t="n">
        <v>46321</v>
      </c>
      <c r="T559" s="3" t="n">
        <v>46318.58267361111</v>
      </c>
      <c r="U559" s="2" t="n"/>
    </row>
    <row r="560">
      <c r="A560" s="2" t="inlineStr">
        <is>
          <t>Resuelta</t>
        </is>
      </c>
      <c r="B560" s="3" t="n">
        <v>46238.99930555555</v>
      </c>
      <c r="C560" s="5" t="n">
        <v>57851.23</v>
      </c>
      <c r="D560" s="5" t="n">
        <v>57851.23</v>
      </c>
      <c r="E560" s="2" t="inlineStr">
        <is>
          <t>Comunitat Valenciana</t>
        </is>
      </c>
      <c r="F560" s="2" t="inlineStr">
        <is>
          <t>Valencia</t>
        </is>
      </c>
      <c r="G560" s="2" t="inlineStr">
        <is>
          <t>Utiel</t>
        </is>
      </c>
      <c r="H560" s="2" t="inlineStr">
        <is>
          <t>Alcaldía del Ayuntamiento de Utiel</t>
        </is>
      </c>
      <c r="I560" s="2" t="inlineStr">
        <is>
          <t>Reurbanización de calles en la Aldea de las Casas de Utiel, incluida dentro del Plan Abierto del Plan de Inversiones de Diputación de Valencia para los años 2024-2027</t>
        </is>
      </c>
      <c r="J560" s="2" t="inlineStr">
        <is>
          <t>8151/2025</t>
        </is>
      </c>
      <c r="K560" s="2" t="inlineStr">
        <is>
          <t>Abierto simplificado</t>
        </is>
      </c>
      <c r="L560" s="6" t="n">
        <v>1</v>
      </c>
      <c r="M560" s="2" t="n"/>
      <c r="N560" s="7" t="n">
        <v>0</v>
      </c>
      <c r="O560" s="4" t="n"/>
      <c r="P560" s="2" t="inlineStr">
        <is>
          <t>45200000</t>
        </is>
      </c>
      <c r="Q560" s="8" t="inlineStr">
        <is>
          <t>Ver</t>
        </is>
      </c>
      <c r="R560" s="8" t="inlineStr">
        <is>
          <t>PCAP</t>
        </is>
      </c>
      <c r="S560" s="9" t="n">
        <v>46321</v>
      </c>
      <c r="T560" s="3" t="n">
        <v>46318.5778587963</v>
      </c>
      <c r="U560" s="2" t="n"/>
    </row>
    <row r="561">
      <c r="A561" s="2" t="inlineStr">
        <is>
          <t>Pendiente de adjudicación</t>
        </is>
      </c>
      <c r="B561" s="3" t="n">
        <v>46309.99930555555</v>
      </c>
      <c r="C561" s="5" t="n">
        <v>112245.5</v>
      </c>
      <c r="D561" s="5" t="n">
        <v>112245.5</v>
      </c>
      <c r="E561" s="2" t="inlineStr">
        <is>
          <t>Andalucía</t>
        </is>
      </c>
      <c r="F561" s="2" t="inlineStr">
        <is>
          <t>Málaga</t>
        </is>
      </c>
      <c r="G561" s="2" t="inlineStr">
        <is>
          <t>Colmenar, Málaga</t>
        </is>
      </c>
      <c r="H561" s="2" t="inlineStr">
        <is>
          <t>Alcaldía del Ayuntamiento de Colmenar</t>
        </is>
      </c>
      <c r="I561" s="2" t="inlineStr">
        <is>
          <t>Realización de las obras correspondientes al proyecto denominado 'Mejora red de abastecimiento de agua en Jaldarín, Las Pitas y Carrasco'</t>
        </is>
      </c>
      <c r="J561" s="2" t="inlineStr">
        <is>
          <t>1024/2026</t>
        </is>
      </c>
      <c r="K561" s="2" t="inlineStr">
        <is>
          <t>Abierto simplificado</t>
        </is>
      </c>
      <c r="L561" s="6" t="n">
        <v>3</v>
      </c>
      <c r="M561" s="2" t="n"/>
      <c r="N561" s="7" t="n">
        <v>0</v>
      </c>
      <c r="O561" s="4" t="n"/>
      <c r="P561" s="2" t="inlineStr">
        <is>
          <t>45112000; 45232151; 90513000; 45232150; 45111200</t>
        </is>
      </c>
      <c r="Q561" s="8" t="inlineStr">
        <is>
          <t>Ver</t>
        </is>
      </c>
      <c r="R561" s="8" t="inlineStr">
        <is>
          <t>PCAP</t>
        </is>
      </c>
      <c r="S561" s="9" t="n">
        <v>46321</v>
      </c>
      <c r="T561" s="3" t="n">
        <v>46318.57653935185</v>
      </c>
      <c r="U561" s="2" t="n"/>
    </row>
    <row r="562">
      <c r="A562" s="2" t="inlineStr">
        <is>
          <t>Resuelta</t>
        </is>
      </c>
      <c r="B562" s="3" t="n"/>
      <c r="C562" s="5" t="n">
        <v>591987.5</v>
      </c>
      <c r="D562" s="5" t="n">
        <v>716304.88</v>
      </c>
      <c r="E562" s="2" t="inlineStr">
        <is>
          <t>Andalucía</t>
        </is>
      </c>
      <c r="F562" s="2" t="inlineStr">
        <is>
          <t>Granada</t>
        </is>
      </c>
      <c r="G562" s="2" t="n"/>
      <c r="H562" s="2" t="inlineStr">
        <is>
          <t>Demarcación de Carreteras del Estado en Andalucía Oriental</t>
        </is>
      </c>
      <c r="I562" s="2" t="inlineStr">
        <is>
          <t>Sustitución de pretil y pantalla antivandálica en la estructura de la A-7 sobre el ferrocarril, en el P.K. 779+550. T.M. Huércal de Almería, provincia de Almería. LOTE 1</t>
        </is>
      </c>
      <c r="J562" s="2" t="inlineStr">
        <is>
          <t>EM33-AL-260004.L1</t>
        </is>
      </c>
      <c r="K562" s="2" t="inlineStr">
        <is>
          <t>Negociado sin publicidad</t>
        </is>
      </c>
      <c r="L562" s="6" t="n">
        <v>5</v>
      </c>
      <c r="M562" s="2" t="n"/>
      <c r="N562" s="7" t="n"/>
      <c r="O562" s="4" t="n"/>
      <c r="P562" s="2" t="inlineStr">
        <is>
          <t>45000000</t>
        </is>
      </c>
      <c r="Q562" s="8" t="inlineStr">
        <is>
          <t>Ver</t>
        </is>
      </c>
      <c r="R562" s="2" t="n"/>
      <c r="S562" s="9" t="n">
        <v>46321</v>
      </c>
      <c r="T562" s="3" t="n">
        <v>46318.57645833334</v>
      </c>
      <c r="U562" s="2" t="n"/>
    </row>
    <row r="563">
      <c r="A563" s="2" t="inlineStr">
        <is>
          <t>Pendiente de adjudicación</t>
        </is>
      </c>
      <c r="B563" s="3" t="n">
        <v>46308.58333333334</v>
      </c>
      <c r="C563" s="5" t="n">
        <v>300493.09</v>
      </c>
      <c r="D563" s="5" t="n">
        <v>300493.09</v>
      </c>
      <c r="E563" s="2" t="inlineStr">
        <is>
          <t>Andalucía</t>
        </is>
      </c>
      <c r="F563" s="2" t="inlineStr">
        <is>
          <t>Córdoba</t>
        </is>
      </c>
      <c r="G563" s="2" t="inlineStr">
        <is>
          <t>Montalbán</t>
        </is>
      </c>
      <c r="H563" s="2" t="inlineStr">
        <is>
          <t>Presidenta de Mancomunidad de Municipios Campiña Sur Cordobesa</t>
        </is>
      </c>
      <c r="I563" s="2" t="inlineStr">
        <is>
          <t>Contrato de obras para la ejecución de la actuación, mejora y adecuación de las infraestructuras deportivas municipales de Montalbán de Córdoba (Córdoba), incluida en el plan de actuación integrado (PAI) Conecta Campiña Sur, desarrollado en el marco de la estrategia de desarrollo integrado local (EDIL) y cofinanciado por la Unión Europea.</t>
        </is>
      </c>
      <c r="J563" s="2" t="inlineStr">
        <is>
          <t>GEX1188/2026</t>
        </is>
      </c>
      <c r="K563" s="2" t="inlineStr">
        <is>
          <t>Abierto simplificado</t>
        </is>
      </c>
      <c r="L563" s="6" t="n">
        <v>2.5</v>
      </c>
      <c r="M563" s="2" t="n"/>
      <c r="N563" s="7" t="n">
        <v>0</v>
      </c>
      <c r="O563" s="4" t="n"/>
      <c r="P563" s="2" t="inlineStr">
        <is>
          <t>45212200</t>
        </is>
      </c>
      <c r="Q563" s="8" t="inlineStr">
        <is>
          <t>Ver</t>
        </is>
      </c>
      <c r="R563" s="8" t="inlineStr">
        <is>
          <t>PCAP</t>
        </is>
      </c>
      <c r="S563" s="9" t="n">
        <v>46321</v>
      </c>
      <c r="T563" s="3" t="n">
        <v>46318.5744675926</v>
      </c>
      <c r="U563" s="2" t="n"/>
    </row>
    <row r="564">
      <c r="A564" s="2" t="inlineStr">
        <is>
          <t>Pendiente de adjudicación</t>
        </is>
      </c>
      <c r="B564" s="3" t="n">
        <v>46286.99930555555</v>
      </c>
      <c r="C564" s="5" t="n">
        <v>596379.84</v>
      </c>
      <c r="D564" s="5" t="n">
        <v>715655.8100000001</v>
      </c>
      <c r="E564" s="2" t="inlineStr">
        <is>
          <t>Andalucía</t>
        </is>
      </c>
      <c r="F564" s="2" t="inlineStr">
        <is>
          <t>Sevilla</t>
        </is>
      </c>
      <c r="G564" s="2" t="inlineStr">
        <is>
          <t>Sevilla</t>
        </is>
      </c>
      <c r="H564" s="2" t="inlineStr">
        <is>
          <t>Comisión Ejecutiva de Mercados Centrales de Abastecimiento de Sevilla S.A. (MERCASEVILLA S.A.)</t>
        </is>
      </c>
      <c r="I564" s="2" t="inlineStr">
        <is>
          <t>Contrato de obras de restauración y pintura del exterior del Edificio Administrativo, renovación de la rotulación corporativa, y rotulación exterior de varios espacios de Mercados Centrales de Abastecimiento de Sevilla, S.A. (Mercasevilla, S.A.). Expte. 2026/190.</t>
        </is>
      </c>
      <c r="J564" s="2" t="inlineStr">
        <is>
          <t>2026/190</t>
        </is>
      </c>
      <c r="K564" s="2" t="inlineStr">
        <is>
          <t>Abierto</t>
        </is>
      </c>
      <c r="L564" s="6" t="n">
        <v>4</v>
      </c>
      <c r="M564" s="2" t="inlineStr">
        <is>
          <t>C4-3</t>
        </is>
      </c>
      <c r="N564" s="7" t="n">
        <v>0.3</v>
      </c>
      <c r="O564" s="4" t="n"/>
      <c r="P564" s="2" t="inlineStr">
        <is>
          <t>45000000</t>
        </is>
      </c>
      <c r="Q564" s="8" t="inlineStr">
        <is>
          <t>Ver</t>
        </is>
      </c>
      <c r="R564" s="8" t="inlineStr">
        <is>
          <t>PCAP</t>
        </is>
      </c>
      <c r="S564" s="9" t="n">
        <v>46321</v>
      </c>
      <c r="T564" s="3" t="n">
        <v>46318.57010416667</v>
      </c>
      <c r="U564" s="2" t="n"/>
    </row>
    <row r="565">
      <c r="A565" s="2" t="inlineStr">
        <is>
          <t>Pendiente de adjudicación</t>
        </is>
      </c>
      <c r="B565" s="3" t="n">
        <v>46316.99930555555</v>
      </c>
      <c r="C565" s="5" t="n">
        <v>37662.81</v>
      </c>
      <c r="D565" s="5" t="n">
        <v>45195.37</v>
      </c>
      <c r="E565" s="2" t="inlineStr">
        <is>
          <t>Andalucía</t>
        </is>
      </c>
      <c r="F565" s="2" t="inlineStr">
        <is>
          <t>Málaga</t>
        </is>
      </c>
      <c r="G565" s="2" t="n"/>
      <c r="H565" s="2" t="inlineStr">
        <is>
          <t>Gerencia de la Empresa Malagueña de Transportes S.A.M.</t>
        </is>
      </c>
      <c r="I565" s="2" t="inlineStr">
        <is>
          <t>El contrato tiene por objeto la sustitución y reforma integral del sistema de producción de Agua Caliente Sanitaria (ACS) de los vestuarios del taller de EMTSAM situados en Camino San Rafael nº 97 de Málaga, con el alcance funcional y técnico definido en el PPTP y sus anexos.</t>
        </is>
      </c>
      <c r="J565" s="2" t="inlineStr">
        <is>
          <t>022/2026</t>
        </is>
      </c>
      <c r="K565" s="2" t="inlineStr">
        <is>
          <t>Abierto</t>
        </is>
      </c>
      <c r="L565" s="6" t="n">
        <v>3</v>
      </c>
      <c r="M565" s="2" t="n"/>
      <c r="N565" s="7" t="n">
        <v>0</v>
      </c>
      <c r="O565" s="4" t="n"/>
      <c r="P565" s="2" t="inlineStr">
        <is>
          <t>45330000; 45331000</t>
        </is>
      </c>
      <c r="Q565" s="8" t="inlineStr">
        <is>
          <t>Ver</t>
        </is>
      </c>
      <c r="R565" s="8" t="inlineStr">
        <is>
          <t>PCAP</t>
        </is>
      </c>
      <c r="S565" s="9" t="n">
        <v>46321</v>
      </c>
      <c r="T565" s="3" t="n">
        <v>46318.56988425926</v>
      </c>
      <c r="U565" s="2" t="n"/>
    </row>
    <row r="566">
      <c r="A566" s="2" t="inlineStr">
        <is>
          <t>Pendiente de adjudicación</t>
        </is>
      </c>
      <c r="B566" s="3" t="n">
        <v>46308.99930555555</v>
      </c>
      <c r="C566" s="5" t="n">
        <v>269136.45</v>
      </c>
      <c r="D566" s="5" t="n">
        <v>269136.45</v>
      </c>
      <c r="E566" s="2" t="inlineStr">
        <is>
          <t>Comunitat Valenciana</t>
        </is>
      </c>
      <c r="F566" s="2" t="inlineStr">
        <is>
          <t>Alicante</t>
        </is>
      </c>
      <c r="G566" s="2" t="n"/>
      <c r="H566" s="2" t="inlineStr">
        <is>
          <t>Junta de Gobierno del Ayuntamiento de Elche</t>
        </is>
      </c>
      <c r="I566" s="2" t="inlineStr">
        <is>
          <t>Obras de mantenimiento de espacios públicos peatonales en los distritos urbanos y rurales 2026 (aceras distritos)</t>
        </is>
      </c>
      <c r="J566" s="2" t="inlineStr">
        <is>
          <t>OBR/ABR_SMPL/2026000147</t>
        </is>
      </c>
      <c r="K566" s="2" t="inlineStr">
        <is>
          <t>Abierto simplificado</t>
        </is>
      </c>
      <c r="L566" s="6" t="n">
        <v>12</v>
      </c>
      <c r="M566" s="2" t="n"/>
      <c r="N566" s="7" t="n">
        <v>0.25</v>
      </c>
      <c r="O566" s="4" t="n"/>
      <c r="P566" s="2" t="inlineStr">
        <is>
          <t>45233140</t>
        </is>
      </c>
      <c r="Q566" s="8" t="inlineStr">
        <is>
          <t>Ver</t>
        </is>
      </c>
      <c r="R566" s="8" t="inlineStr">
        <is>
          <t>PCAP</t>
        </is>
      </c>
      <c r="S566" s="9" t="n">
        <v>46310</v>
      </c>
      <c r="T566" s="3" t="n">
        <v>46318.56960648148</v>
      </c>
      <c r="U566" s="2" t="n"/>
    </row>
    <row r="567">
      <c r="A567" s="2" t="inlineStr">
        <is>
          <t>En plazo</t>
        </is>
      </c>
      <c r="B567" s="3" t="n">
        <v>46336.99930555555</v>
      </c>
      <c r="C567" s="5" t="n">
        <v>223140.02</v>
      </c>
      <c r="D567" s="5" t="n">
        <v>245454.02</v>
      </c>
      <c r="E567" s="2" t="inlineStr">
        <is>
          <t>Comunitat Valenciana</t>
        </is>
      </c>
      <c r="F567" s="2" t="inlineStr">
        <is>
          <t>Valencia</t>
        </is>
      </c>
      <c r="G567" s="2" t="n"/>
      <c r="H567" s="2" t="inlineStr">
        <is>
          <t>Concejalía Delegada de Contratación del Ajuntament de València</t>
        </is>
      </c>
      <c r="I567" s="2" t="inlineStr">
        <is>
          <t>Obras correspondientes al proyecto básico y ejecución Ruta Salut al Grau 2026. Actuación seleccionada en la consulta ciudadana sobre inversiones en barrios de los presupuestos participativos DECIDIM VLC (VLC 2020-4987, VLC 2022-6041).-</t>
        </is>
      </c>
      <c r="J567" s="2" t="inlineStr">
        <is>
          <t>04101/2026/215-O</t>
        </is>
      </c>
      <c r="K567" s="2" t="inlineStr">
        <is>
          <t>Abierto simplificado</t>
        </is>
      </c>
      <c r="L567" s="6" t="n">
        <v>5</v>
      </c>
      <c r="M567" s="2" t="n"/>
      <c r="N567" s="7" t="n">
        <v>0</v>
      </c>
      <c r="O567" s="4" t="n"/>
      <c r="P567" s="2" t="inlineStr">
        <is>
          <t>45212200</t>
        </is>
      </c>
      <c r="Q567" s="8" t="inlineStr">
        <is>
          <t>Ver</t>
        </is>
      </c>
      <c r="R567" s="8" t="inlineStr">
        <is>
          <t>PCAP</t>
        </is>
      </c>
      <c r="S567" s="9" t="n">
        <v>46317</v>
      </c>
      <c r="T567" s="3" t="n">
        <v>46318.56908564815</v>
      </c>
      <c r="U567" s="2" t="n"/>
    </row>
    <row r="568">
      <c r="A568" s="2" t="inlineStr">
        <is>
          <t>Resuelta</t>
        </is>
      </c>
      <c r="B568" s="3" t="n"/>
      <c r="C568" s="5" t="n">
        <v>2838149.08</v>
      </c>
      <c r="D568" s="5" t="n">
        <v>3434160.39</v>
      </c>
      <c r="E568" s="2" t="inlineStr">
        <is>
          <t>Andalucía</t>
        </is>
      </c>
      <c r="F568" s="2" t="inlineStr">
        <is>
          <t>Granada</t>
        </is>
      </c>
      <c r="G568" s="2" t="n"/>
      <c r="H568" s="2" t="inlineStr">
        <is>
          <t>Demarcación de Carreteras del Estado en Andalucía Oriental</t>
        </is>
      </c>
      <c r="I568" s="2" t="inlineStr">
        <is>
          <t>Reparación de firme en la autovía A-7 entre los PP.KK. 922+520 límite con la provincia de Granada y 983+700 límite con el sector MA-01, provincia de Málaga. LOTE 5</t>
        </is>
      </c>
      <c r="J568" s="2" t="inlineStr">
        <is>
          <t>EM32-MA-260001.L5</t>
        </is>
      </c>
      <c r="K568" s="2" t="inlineStr">
        <is>
          <t>Negociado sin publicidad</t>
        </is>
      </c>
      <c r="L568" s="6" t="n">
        <v>5</v>
      </c>
      <c r="M568" s="2" t="n"/>
      <c r="N568" s="7" t="n"/>
      <c r="O568" s="4" t="n"/>
      <c r="P568" s="2" t="inlineStr">
        <is>
          <t>45000000</t>
        </is>
      </c>
      <c r="Q568" s="8" t="inlineStr">
        <is>
          <t>Ver</t>
        </is>
      </c>
      <c r="R568" s="2" t="n"/>
      <c r="S568" s="9" t="n">
        <v>46321</v>
      </c>
      <c r="T568" s="3" t="n">
        <v>46318.5664699074</v>
      </c>
      <c r="U568" s="2" t="n"/>
    </row>
    <row r="569">
      <c r="A569" s="2" t="inlineStr">
        <is>
          <t>En plazo</t>
        </is>
      </c>
      <c r="B569" s="3" t="n">
        <v>46338.99930555555</v>
      </c>
      <c r="C569" s="5" t="n">
        <v>132325.5</v>
      </c>
      <c r="D569" s="5" t="n">
        <v>132325.5</v>
      </c>
      <c r="E569" s="2" t="inlineStr">
        <is>
          <t>Comunitat Valenciana</t>
        </is>
      </c>
      <c r="F569" s="2" t="inlineStr">
        <is>
          <t>Alicante</t>
        </is>
      </c>
      <c r="G569" s="2" t="n"/>
      <c r="H569" s="2" t="inlineStr">
        <is>
          <t>Alcaldía del Ayuntamiento del Poble Nou de Benitatxell</t>
        </is>
      </c>
      <c r="I569" s="2" t="inlineStr">
        <is>
          <t>obra de consolidación del perímetro de la excavación arqueológica del lavadero dels Pous de Abiar</t>
        </is>
      </c>
      <c r="J569" s="2" t="inlineStr">
        <is>
          <t>4472/2026</t>
        </is>
      </c>
      <c r="K569" s="2" t="inlineStr">
        <is>
          <t>Abierto simplificado</t>
        </is>
      </c>
      <c r="L569" s="6" t="n">
        <v>2</v>
      </c>
      <c r="M569" s="2" t="n"/>
      <c r="N569" s="7" t="n">
        <v>0.25</v>
      </c>
      <c r="O569" s="4" t="n"/>
      <c r="P569" s="2" t="inlineStr">
        <is>
          <t>45212350; 45112500; 45223500</t>
        </is>
      </c>
      <c r="Q569" s="8" t="inlineStr">
        <is>
          <t>Ver</t>
        </is>
      </c>
      <c r="R569" s="8" t="inlineStr">
        <is>
          <t>PCAP</t>
        </is>
      </c>
      <c r="S569" s="9" t="n">
        <v>46321</v>
      </c>
      <c r="T569" s="3" t="n">
        <v>46318.56537037037</v>
      </c>
      <c r="U569" s="2" t="n"/>
    </row>
    <row r="570">
      <c r="A570" s="2" t="inlineStr">
        <is>
          <t>Resuelta</t>
        </is>
      </c>
      <c r="B570" s="3" t="n"/>
      <c r="C570" s="5" t="n">
        <v>3382028.24</v>
      </c>
      <c r="D570" s="5" t="n">
        <v>4092254.18</v>
      </c>
      <c r="E570" s="2" t="inlineStr">
        <is>
          <t>Andalucía</t>
        </is>
      </c>
      <c r="F570" s="2" t="inlineStr">
        <is>
          <t>Granada</t>
        </is>
      </c>
      <c r="G570" s="2" t="n"/>
      <c r="H570" s="2" t="inlineStr">
        <is>
          <t>Demarcación de Carreteras del Estado en Andalucía Oriental</t>
        </is>
      </c>
      <c r="I570" s="2" t="inlineStr">
        <is>
          <t>Reparación de firme en la autovía A-45 entre los PP.KK 120+000 Y 142+400, provincia de Málaga. LOTE 4</t>
        </is>
      </c>
      <c r="J570" s="2" t="inlineStr">
        <is>
          <t>EM32-MA-260001.L4</t>
        </is>
      </c>
      <c r="K570" s="2" t="inlineStr">
        <is>
          <t>Negociado sin publicidad</t>
        </is>
      </c>
      <c r="L570" s="6" t="n">
        <v>5</v>
      </c>
      <c r="M570" s="2" t="n"/>
      <c r="N570" s="7" t="n"/>
      <c r="O570" s="4" t="n"/>
      <c r="P570" s="2" t="inlineStr">
        <is>
          <t>45000000</t>
        </is>
      </c>
      <c r="Q570" s="8" t="inlineStr">
        <is>
          <t>Ver</t>
        </is>
      </c>
      <c r="R570" s="2" t="n"/>
      <c r="S570" s="9" t="n">
        <v>46321</v>
      </c>
      <c r="T570" s="3" t="n">
        <v>46318.56453703704</v>
      </c>
      <c r="U570" s="2" t="n"/>
    </row>
    <row r="571">
      <c r="A571" s="2" t="inlineStr">
        <is>
          <t>Pendiente de adjudicación</t>
        </is>
      </c>
      <c r="B571" s="3" t="n">
        <v>46300.99930555555</v>
      </c>
      <c r="C571" s="5" t="n">
        <v>52913.35</v>
      </c>
      <c r="D571" s="5" t="n">
        <v>52913.35</v>
      </c>
      <c r="E571" s="2" t="inlineStr">
        <is>
          <t>Comunitat Valenciana</t>
        </is>
      </c>
      <c r="F571" s="2" t="inlineStr">
        <is>
          <t>Alicante</t>
        </is>
      </c>
      <c r="G571" s="2" t="n"/>
      <c r="H571" s="2" t="inlineStr">
        <is>
          <t>Junta de Gobierno del Ayuntamiento de Elche</t>
        </is>
      </c>
      <c r="I571" s="2" t="inlineStr">
        <is>
          <t>Obras para los trabajos de identificación y documentación de vestigios arqueológicos en el solar sito entre la Avenida de Candalix y la Calle Nuestra Señora de la Cabeza.</t>
        </is>
      </c>
      <c r="J571" s="2" t="inlineStr">
        <is>
          <t>OBR/ABR_SMPL/2026000139</t>
        </is>
      </c>
      <c r="K571" s="2" t="inlineStr">
        <is>
          <t>Abierto simplificado</t>
        </is>
      </c>
      <c r="L571" s="6" t="n">
        <v>1.2</v>
      </c>
      <c r="M571" s="2" t="n"/>
      <c r="N571" s="7" t="n">
        <v>0</v>
      </c>
      <c r="O571" s="4" t="n"/>
      <c r="P571" s="2" t="inlineStr">
        <is>
          <t>45112450; 71351811; 71351914; 45122000</t>
        </is>
      </c>
      <c r="Q571" s="8" t="inlineStr">
        <is>
          <t>Ver</t>
        </is>
      </c>
      <c r="R571" s="8" t="inlineStr">
        <is>
          <t>PCAP</t>
        </is>
      </c>
      <c r="S571" s="9" t="n">
        <v>46310</v>
      </c>
      <c r="T571" s="3" t="n">
        <v>46318.56331018519</v>
      </c>
      <c r="U571" s="2" t="n"/>
    </row>
    <row r="572">
      <c r="A572" s="2" t="inlineStr">
        <is>
          <t>Adjudicada</t>
        </is>
      </c>
      <c r="B572" s="3" t="n">
        <v>46265.41666666666</v>
      </c>
      <c r="C572" s="5" t="n">
        <v>126817.17</v>
      </c>
      <c r="D572" s="5" t="n">
        <v>126817.17</v>
      </c>
      <c r="E572" s="2" t="inlineStr">
        <is>
          <t>Andalucía</t>
        </is>
      </c>
      <c r="F572" s="2" t="inlineStr">
        <is>
          <t>Málaga</t>
        </is>
      </c>
      <c r="G572" s="2" t="n"/>
      <c r="H572" s="2" t="inlineStr">
        <is>
          <t>Empresa de Transformación Agraria S.A.,S.M.E., M.P., (TRAGSA)</t>
        </is>
      </c>
      <c r="I572" s="2" t="inlineStr">
        <is>
          <t>Suministro y ejecución de instalación de calefacción mediante canalización vista de acero inoxidable e instalación de radiadores en varios edificios públicos de los municipios de Gaucín y Júcar (Málaga)</t>
        </is>
      </c>
      <c r="J572" s="2" t="inlineStr">
        <is>
          <t>TSA0083485</t>
        </is>
      </c>
      <c r="K572" s="2" t="inlineStr">
        <is>
          <t>Abierto simplificado</t>
        </is>
      </c>
      <c r="L572" s="6" t="n">
        <v>4</v>
      </c>
      <c r="M572" s="2" t="inlineStr">
        <is>
          <t>J2-1</t>
        </is>
      </c>
      <c r="N572" s="7" t="n">
        <v>0</v>
      </c>
      <c r="O572" s="4" t="n">
        <v>2</v>
      </c>
      <c r="P572" s="2" t="inlineStr">
        <is>
          <t>45331000</t>
        </is>
      </c>
      <c r="Q572" s="8" t="inlineStr">
        <is>
          <t>Ver</t>
        </is>
      </c>
      <c r="R572" s="8" t="inlineStr">
        <is>
          <t>PCAP</t>
        </is>
      </c>
      <c r="S572" s="9" t="n">
        <v>46321</v>
      </c>
      <c r="T572" s="3" t="n">
        <v>46318.56011574074</v>
      </c>
      <c r="U572" s="2" t="n"/>
    </row>
    <row r="573">
      <c r="A573" s="2" t="inlineStr">
        <is>
          <t>Pendiente de adjudicación</t>
        </is>
      </c>
      <c r="B573" s="3" t="n">
        <v>46317.99930555555</v>
      </c>
      <c r="C573" s="5" t="n">
        <v>200711.23</v>
      </c>
      <c r="D573" s="5" t="n">
        <v>200711.23</v>
      </c>
      <c r="E573" s="2" t="inlineStr">
        <is>
          <t>Comunitat Valenciana</t>
        </is>
      </c>
      <c r="F573" s="2" t="inlineStr">
        <is>
          <t>Valencia</t>
        </is>
      </c>
      <c r="G573" s="2" t="inlineStr">
        <is>
          <t>Alborache</t>
        </is>
      </c>
      <c r="H573" s="2" t="inlineStr">
        <is>
          <t>Pleno del Ayuntamiento de Alborache</t>
        </is>
      </c>
      <c r="I573" s="2" t="inlineStr">
        <is>
          <t>Renovación en la Casa de los Maestros de Alborache</t>
        </is>
      </c>
      <c r="J573" s="2" t="inlineStr">
        <is>
          <t>498/2026</t>
        </is>
      </c>
      <c r="K573" s="2" t="inlineStr">
        <is>
          <t>Abierto simplificado</t>
        </is>
      </c>
      <c r="L573" s="6" t="n">
        <v>6</v>
      </c>
      <c r="M573" s="2" t="n"/>
      <c r="N573" s="7" t="n">
        <v>0.25</v>
      </c>
      <c r="O573" s="4" t="n"/>
      <c r="P573" s="2" t="inlineStr">
        <is>
          <t>45000000; 45212170; 45111100</t>
        </is>
      </c>
      <c r="Q573" s="8" t="inlineStr">
        <is>
          <t>Ver</t>
        </is>
      </c>
      <c r="R573" s="8" t="inlineStr">
        <is>
          <t>PCAP</t>
        </is>
      </c>
      <c r="S573" s="9" t="n">
        <v>46321</v>
      </c>
      <c r="T573" s="3" t="n">
        <v>46318.56011574074</v>
      </c>
      <c r="U573" s="2" t="n"/>
    </row>
    <row r="574">
      <c r="A574" s="2" t="inlineStr">
        <is>
          <t>Resuelta</t>
        </is>
      </c>
      <c r="B574" s="3" t="n">
        <v>46259.99930555555</v>
      </c>
      <c r="C574" s="5" t="n">
        <v>647199.04</v>
      </c>
      <c r="D574" s="5" t="n">
        <v>647199.04</v>
      </c>
      <c r="E574" s="2" t="inlineStr">
        <is>
          <t>Andalucía</t>
        </is>
      </c>
      <c r="F574" s="2" t="inlineStr">
        <is>
          <t>Córdoba</t>
        </is>
      </c>
      <c r="G574" s="2" t="n"/>
      <c r="H574" s="2" t="inlineStr">
        <is>
          <t>Junta de Gobierno del Ayuntamiento de Palma del Río</t>
        </is>
      </c>
      <c r="I574" s="2" t="inlineStr">
        <is>
          <t>Obras contenidas en el Proyecto de Reasfaltado de varias Avenidas y Calles del municipio de Palma del Río (Córdoba)</t>
        </is>
      </c>
      <c r="J574" s="2" t="inlineStr">
        <is>
          <t>OB-01/2026</t>
        </is>
      </c>
      <c r="K574" s="2" t="inlineStr">
        <is>
          <t>Abierto simplificado</t>
        </is>
      </c>
      <c r="L574" s="6" t="n">
        <v>2</v>
      </c>
      <c r="M574" s="2" t="inlineStr">
        <is>
          <t>G4-3</t>
        </is>
      </c>
      <c r="N574" s="7" t="n">
        <v>0</v>
      </c>
      <c r="O574" s="4" t="n"/>
      <c r="P574" s="2" t="inlineStr">
        <is>
          <t>45233223; 45233252; 45233222</t>
        </is>
      </c>
      <c r="Q574" s="8" t="inlineStr">
        <is>
          <t>Ver</t>
        </is>
      </c>
      <c r="R574" s="8" t="inlineStr">
        <is>
          <t>PCAP</t>
        </is>
      </c>
      <c r="S574" s="9" t="n">
        <v>46321</v>
      </c>
      <c r="T574" s="3" t="n">
        <v>46318.55946759259</v>
      </c>
      <c r="U574" s="2" t="n"/>
    </row>
    <row r="575">
      <c r="A575" s="2" t="inlineStr">
        <is>
          <t>En plazo</t>
        </is>
      </c>
      <c r="B575" s="3" t="n">
        <v>46338.99930555555</v>
      </c>
      <c r="C575" s="5" t="n">
        <v>162925.04</v>
      </c>
      <c r="D575" s="5" t="n">
        <v>162925.04</v>
      </c>
      <c r="E575" s="2" t="inlineStr">
        <is>
          <t>Andalucía</t>
        </is>
      </c>
      <c r="F575" s="2" t="inlineStr">
        <is>
          <t>Sevilla</t>
        </is>
      </c>
      <c r="G575" s="2" t="n"/>
      <c r="H575" s="2" t="inlineStr">
        <is>
          <t>Alcaldía del Ayuntamiento de Mairena del Aljarafe</t>
        </is>
      </c>
      <c r="I575" s="2" t="inlineStr">
        <is>
          <t>Obras para la legalización de la actividad de los Centros de la 3ª Edad "Los Veteranos", "Sal si puedes", y "La Edad de Oro" del municipio de Mairena del Aljarafe, en tres lotes.-</t>
        </is>
      </c>
      <c r="J575" s="2" t="inlineStr">
        <is>
          <t>15600/2026</t>
        </is>
      </c>
      <c r="K575" s="2" t="inlineStr">
        <is>
          <t>Abierto simplificado</t>
        </is>
      </c>
      <c r="L575" s="6" t="n">
        <v>2</v>
      </c>
      <c r="M575" s="2" t="n"/>
      <c r="N575" s="7" t="n">
        <v>0</v>
      </c>
      <c r="O575" s="4" t="n">
        <v>3</v>
      </c>
      <c r="P575" s="2" t="inlineStr">
        <is>
          <t>45000000</t>
        </is>
      </c>
      <c r="Q575" s="8" t="inlineStr">
        <is>
          <t>Ver</t>
        </is>
      </c>
      <c r="R575" s="8" t="inlineStr">
        <is>
          <t>PCAP</t>
        </is>
      </c>
      <c r="S575" s="9" t="n">
        <v>46321</v>
      </c>
      <c r="T575" s="3" t="n">
        <v>46318.55824074074</v>
      </c>
      <c r="U575" s="2" t="n"/>
    </row>
    <row r="576">
      <c r="A576" s="2" t="inlineStr">
        <is>
          <t>Pendiente de adjudicación</t>
        </is>
      </c>
      <c r="B576" s="3" t="n">
        <v>46316.99930555555</v>
      </c>
      <c r="C576" s="5" t="n">
        <v>261514.4</v>
      </c>
      <c r="D576" s="5" t="n">
        <v>261514.4</v>
      </c>
      <c r="E576" s="2" t="inlineStr">
        <is>
          <t>Comunitat Valenciana</t>
        </is>
      </c>
      <c r="F576" s="2" t="inlineStr">
        <is>
          <t>Valencia</t>
        </is>
      </c>
      <c r="G576" s="2" t="inlineStr">
        <is>
          <t>ALBORACHE</t>
        </is>
      </c>
      <c r="H576" s="2" t="inlineStr">
        <is>
          <t>Pleno del Ayuntamiento de Alborache</t>
        </is>
      </c>
      <c r="I576" s="2" t="inlineStr">
        <is>
          <t>Ejecución de las obras de realización de una plataforma única en la Calle de Abajo de Alborache, dentro del Plan abierto de Inversiones 2024-2027 de la Diputación de Valencia.</t>
        </is>
      </c>
      <c r="J576" s="2" t="inlineStr">
        <is>
          <t>74/2026</t>
        </is>
      </c>
      <c r="K576" s="2" t="inlineStr">
        <is>
          <t>Abierto simplificado</t>
        </is>
      </c>
      <c r="L576" s="6" t="n">
        <v>3</v>
      </c>
      <c r="M576" s="2" t="n"/>
      <c r="N576" s="7" t="n">
        <v>0</v>
      </c>
      <c r="O576" s="4" t="n"/>
      <c r="P576" s="2" t="inlineStr">
        <is>
          <t>45000000; 45233252; 45332000; 45233140</t>
        </is>
      </c>
      <c r="Q576" s="8" t="inlineStr">
        <is>
          <t>Ver</t>
        </is>
      </c>
      <c r="R576" s="8" t="inlineStr">
        <is>
          <t>PCAP</t>
        </is>
      </c>
      <c r="S576" s="9" t="n">
        <v>46321</v>
      </c>
      <c r="T576" s="3" t="n">
        <v>46318.55765046296</v>
      </c>
      <c r="U576" s="2" t="n"/>
    </row>
    <row r="577">
      <c r="A577" s="2" t="inlineStr">
        <is>
          <t>En plazo</t>
        </is>
      </c>
      <c r="B577" s="3" t="n">
        <v>46338.99930555555</v>
      </c>
      <c r="C577" s="5" t="n">
        <v>67768.59</v>
      </c>
      <c r="D577" s="5" t="n">
        <v>67768.59</v>
      </c>
      <c r="E577" s="2" t="inlineStr">
        <is>
          <t>Andalucía</t>
        </is>
      </c>
      <c r="F577" s="2" t="inlineStr">
        <is>
          <t>Cádiz</t>
        </is>
      </c>
      <c r="G577" s="2" t="inlineStr">
        <is>
          <t>Benalup-Casas Viejas</t>
        </is>
      </c>
      <c r="H577" s="2" t="inlineStr">
        <is>
          <t>Junta de Gobierno Local del Ayuntamiento de Benalup-Casas Viejas</t>
        </is>
      </c>
      <c r="I577" s="2" t="inlineStr">
        <is>
          <t>Sustitución de carpintería exterior y pintura del CEIP Tajo de las Figuras.</t>
        </is>
      </c>
      <c r="J577" s="2" t="inlineStr">
        <is>
          <t>1237/2026</t>
        </is>
      </c>
      <c r="K577" s="2" t="inlineStr">
        <is>
          <t>Abierto simplificado</t>
        </is>
      </c>
      <c r="L577" s="6" t="n">
        <v>2</v>
      </c>
      <c r="M577" s="2" t="n"/>
      <c r="N577" s="7" t="n">
        <v>0</v>
      </c>
      <c r="O577" s="4" t="n"/>
      <c r="P577" s="2" t="inlineStr">
        <is>
          <t>45421130; 45442100</t>
        </is>
      </c>
      <c r="Q577" s="8" t="inlineStr">
        <is>
          <t>Ver</t>
        </is>
      </c>
      <c r="R577" s="8" t="inlineStr">
        <is>
          <t>PCAP</t>
        </is>
      </c>
      <c r="S577" s="9" t="n">
        <v>46321</v>
      </c>
      <c r="T577" s="3" t="n">
        <v>46318.55744212963</v>
      </c>
      <c r="U577" s="2" t="n"/>
    </row>
    <row r="578">
      <c r="A578" s="2" t="inlineStr">
        <is>
          <t>Pendiente de adjudicación</t>
        </is>
      </c>
      <c r="B578" s="3" t="n">
        <v>46296.99930555555</v>
      </c>
      <c r="C578" s="5" t="n">
        <v>8348036.8</v>
      </c>
      <c r="D578" s="5" t="n">
        <v>8348036.8</v>
      </c>
      <c r="E578" s="2" t="inlineStr">
        <is>
          <t>Comunitat Valenciana</t>
        </is>
      </c>
      <c r="F578" s="2" t="inlineStr">
        <is>
          <t>Alicante</t>
        </is>
      </c>
      <c r="G578" s="2" t="n"/>
      <c r="H578" s="2" t="inlineStr">
        <is>
          <t>Junta de Gobierno del Ayuntamiento de Elche</t>
        </is>
      </c>
      <c r="I578" s="2" t="inlineStr">
        <is>
          <t>Contrato de obras de Rehabilitación del Convento de la Merced</t>
        </is>
      </c>
      <c r="J578" s="2" t="inlineStr">
        <is>
          <t>OBR/ABR/2026000130</t>
        </is>
      </c>
      <c r="K578" s="2" t="inlineStr">
        <is>
          <t>Abierto</t>
        </is>
      </c>
      <c r="L578" s="6" t="n">
        <v>36</v>
      </c>
      <c r="M578" s="2" t="inlineStr">
        <is>
          <t>C7-5; C4-5; C8-5; K7-4</t>
        </is>
      </c>
      <c r="N578" s="7" t="n">
        <v>0.4</v>
      </c>
      <c r="O578" s="4" t="n"/>
      <c r="P578" s="2" t="inlineStr">
        <is>
          <t>45000000; 45200000</t>
        </is>
      </c>
      <c r="Q578" s="8" t="inlineStr">
        <is>
          <t>Ver</t>
        </is>
      </c>
      <c r="R578" s="8" t="inlineStr">
        <is>
          <t>PCAP</t>
        </is>
      </c>
      <c r="S578" s="9" t="n">
        <v>46310</v>
      </c>
      <c r="T578" s="3" t="n">
        <v>46318.55678240741</v>
      </c>
      <c r="U578" s="2" t="n"/>
    </row>
    <row r="579">
      <c r="A579" s="2" t="inlineStr">
        <is>
          <t>En plazo</t>
        </is>
      </c>
      <c r="B579" s="3" t="n">
        <v>46338.75</v>
      </c>
      <c r="C579" s="5" t="n">
        <v>358510.65</v>
      </c>
      <c r="D579" s="5" t="n">
        <v>394361.72</v>
      </c>
      <c r="E579" s="2" t="inlineStr">
        <is>
          <t>Comunitat Valenciana</t>
        </is>
      </c>
      <c r="F579" s="2" t="inlineStr">
        <is>
          <t>Alicante</t>
        </is>
      </c>
      <c r="G579" s="2" t="inlineStr">
        <is>
          <t>Alicante (Alacant)</t>
        </is>
      </c>
      <c r="H579" s="2" t="inlineStr">
        <is>
          <t>Junta de Gobierno del Ayuntamiento de Santa Pola</t>
        </is>
      </c>
      <c r="I579" s="2" t="inlineStr">
        <is>
          <t>Licitación para la contratación de las obras de mejora de aceras de varias calles del Municipio de Santa Pola</t>
        </is>
      </c>
      <c r="J579" s="2" t="inlineStr">
        <is>
          <t>13981/2026</t>
        </is>
      </c>
      <c r="K579" s="2" t="inlineStr">
        <is>
          <t>Abierto simplificado</t>
        </is>
      </c>
      <c r="L579" s="6" t="n">
        <v>4</v>
      </c>
      <c r="M579" s="2" t="n"/>
      <c r="N579" s="7" t="n">
        <v>0.45</v>
      </c>
      <c r="O579" s="4" t="n"/>
      <c r="P579" s="2" t="inlineStr">
        <is>
          <t>45111000; 45233200; 77310000; 45233252</t>
        </is>
      </c>
      <c r="Q579" s="8" t="inlineStr">
        <is>
          <t>Ver</t>
        </is>
      </c>
      <c r="R579" s="8" t="inlineStr">
        <is>
          <t>PCAP</t>
        </is>
      </c>
      <c r="S579" s="9" t="n">
        <v>46321</v>
      </c>
      <c r="T579" s="3" t="n">
        <v>46318.55628472222</v>
      </c>
      <c r="U579" s="2" t="n"/>
    </row>
    <row r="580">
      <c r="A580" s="2" t="inlineStr">
        <is>
          <t>Resuelta</t>
        </is>
      </c>
      <c r="B580" s="3" t="n">
        <v>46254.99930555555</v>
      </c>
      <c r="C580" s="5" t="n">
        <v>49719.85</v>
      </c>
      <c r="D580" s="5" t="n">
        <v>49719.85</v>
      </c>
      <c r="E580" s="2" t="inlineStr">
        <is>
          <t>Comunitat Valenciana</t>
        </is>
      </c>
      <c r="F580" s="2" t="inlineStr">
        <is>
          <t>Alicante</t>
        </is>
      </c>
      <c r="G580" s="2" t="inlineStr">
        <is>
          <t>Agost</t>
        </is>
      </c>
      <c r="H580" s="2" t="inlineStr">
        <is>
          <t>Alcaldía del Ayuntamiento de Agost</t>
        </is>
      </c>
      <c r="I580" s="2" t="inlineStr">
        <is>
          <t>Reforma parcial en edificio del Centro Social para adecuación de despachos</t>
        </is>
      </c>
      <c r="J580" s="2" t="inlineStr">
        <is>
          <t>2039/2026</t>
        </is>
      </c>
      <c r="K580" s="2" t="inlineStr">
        <is>
          <t>Abierto simplificado</t>
        </is>
      </c>
      <c r="L580" s="6" t="n">
        <v>1.6</v>
      </c>
      <c r="M580" s="2" t="n"/>
      <c r="N580" s="7" t="n">
        <v>0</v>
      </c>
      <c r="O580" s="4" t="n">
        <v>2</v>
      </c>
      <c r="P580" s="2" t="inlineStr">
        <is>
          <t>45450000; 39515410</t>
        </is>
      </c>
      <c r="Q580" s="8" t="inlineStr">
        <is>
          <t>Ver</t>
        </is>
      </c>
      <c r="R580" s="8" t="inlineStr">
        <is>
          <t>PCAP</t>
        </is>
      </c>
      <c r="S580" s="9" t="n">
        <v>46321</v>
      </c>
      <c r="T580" s="3" t="n">
        <v>46318.55481481482</v>
      </c>
      <c r="U580" s="2" t="n"/>
    </row>
    <row r="581">
      <c r="A581" s="2" t="inlineStr">
        <is>
          <t>Pendiente de adjudicación</t>
        </is>
      </c>
      <c r="B581" s="3" t="n">
        <v>46316.58333333334</v>
      </c>
      <c r="C581" s="5" t="n">
        <v>290135.38</v>
      </c>
      <c r="D581" s="5" t="n">
        <v>290135.38</v>
      </c>
      <c r="E581" s="2" t="inlineStr">
        <is>
          <t>Comunitat Valenciana</t>
        </is>
      </c>
      <c r="F581" s="2" t="inlineStr">
        <is>
          <t>Alicante</t>
        </is>
      </c>
      <c r="G581" s="2" t="inlineStr">
        <is>
          <t>San Vicente del Raspeig</t>
        </is>
      </c>
      <c r="H581" s="2" t="inlineStr">
        <is>
          <t>Presidencia Delegada del Consorcio Provincial para el Servicio de Prevención y Extinción de Incendios y Salvamento de Alicante</t>
        </is>
      </c>
      <c r="I581" s="2" t="inlineStr">
        <is>
          <t>Obra de reparación e impermeabilización del Hangar en el Parque de bomberos de San Vicente</t>
        </is>
      </c>
      <c r="J581" s="2" t="inlineStr">
        <is>
          <t>PA S O-1/2026</t>
        </is>
      </c>
      <c r="K581" s="2" t="inlineStr">
        <is>
          <t>Abierto simplificado</t>
        </is>
      </c>
      <c r="L581" s="6" t="n">
        <v>3</v>
      </c>
      <c r="M581" s="2" t="n"/>
      <c r="N581" s="7" t="n">
        <v>0</v>
      </c>
      <c r="O581" s="4" t="n"/>
      <c r="P581" s="2" t="inlineStr">
        <is>
          <t>45261000</t>
        </is>
      </c>
      <c r="Q581" s="8" t="inlineStr">
        <is>
          <t>Ver</t>
        </is>
      </c>
      <c r="R581" s="8" t="inlineStr">
        <is>
          <t>PCAP</t>
        </is>
      </c>
      <c r="S581" s="9" t="n">
        <v>46321</v>
      </c>
      <c r="T581" s="3" t="n">
        <v>46318.55475694445</v>
      </c>
      <c r="U581" s="2" t="n"/>
    </row>
    <row r="582">
      <c r="A582" s="2" t="inlineStr">
        <is>
          <t>En plazo</t>
        </is>
      </c>
      <c r="B582" s="3" t="n">
        <v>46338.99930555555</v>
      </c>
      <c r="C582" s="5" t="n">
        <v>859232.28</v>
      </c>
      <c r="D582" s="5" t="n">
        <v>859232.28</v>
      </c>
      <c r="E582" s="2" t="inlineStr">
        <is>
          <t>Andalucía</t>
        </is>
      </c>
      <c r="F582" s="2" t="inlineStr">
        <is>
          <t>Sevilla</t>
        </is>
      </c>
      <c r="G582" s="2" t="n"/>
      <c r="H582" s="2" t="inlineStr">
        <is>
          <t>Vicepresidencia del Instituto Municipal de Deportes del Ayuntamiento de Sevilla</t>
        </is>
      </c>
      <c r="I582" s="2" t="inlineStr">
        <is>
          <t>Obras de reparación, renovación y adecuación superficial de los pavimentos de las pistas deportivas exteriores adscritas a los Centros Deportivos (CD) del Instituto Municipal de Deportes (IMD) del Ayuntamiento de Sevilla.</t>
        </is>
      </c>
      <c r="J582" s="2" t="inlineStr">
        <is>
          <t>2026/000905</t>
        </is>
      </c>
      <c r="K582" s="2" t="inlineStr">
        <is>
          <t>Abierto simplificado</t>
        </is>
      </c>
      <c r="L582" s="6" t="n">
        <v>6</v>
      </c>
      <c r="M582" s="2" t="n"/>
      <c r="N582" s="7" t="n">
        <v>0</v>
      </c>
      <c r="O582" s="4" t="n"/>
      <c r="P582" s="2" t="inlineStr">
        <is>
          <t>45432100; 45212290; 45236119; 45212213</t>
        </is>
      </c>
      <c r="Q582" s="8" t="inlineStr">
        <is>
          <t>Ver</t>
        </is>
      </c>
      <c r="R582" s="8" t="inlineStr">
        <is>
          <t>PCAP</t>
        </is>
      </c>
      <c r="S582" s="9" t="n">
        <v>46321</v>
      </c>
      <c r="T582" s="3" t="n">
        <v>46318.55278935185</v>
      </c>
      <c r="U582" s="2" t="n"/>
    </row>
    <row r="583">
      <c r="A583" s="2" t="inlineStr">
        <is>
          <t>En plazo</t>
        </is>
      </c>
      <c r="B583" s="3" t="n">
        <v>46335.99930555555</v>
      </c>
      <c r="C583" s="5" t="n">
        <v>67916.16</v>
      </c>
      <c r="D583" s="5" t="n">
        <v>67916.16</v>
      </c>
      <c r="E583" s="2" t="inlineStr">
        <is>
          <t>Andalucía</t>
        </is>
      </c>
      <c r="F583" s="2" t="inlineStr">
        <is>
          <t>Córdoba</t>
        </is>
      </c>
      <c r="G583" s="2" t="n"/>
      <c r="H583" s="2" t="inlineStr">
        <is>
          <t>Empresa de Transformación Agraria S.A.,S.M.E., M.P., (TRAGSA)</t>
        </is>
      </c>
      <c r="I583" s="2" t="inlineStr">
        <is>
          <t>Obra asfaltado de viales para el proyecto de ejecución "Urbanización Manzana 2 y Manzana 16 (parcial) de la Unidad de ejecución UE-1 SUS19 "Autovía Norte" en la Carlota, Córdoba"</t>
        </is>
      </c>
      <c r="J583" s="2" t="inlineStr">
        <is>
          <t>TSA0084208</t>
        </is>
      </c>
      <c r="K583" s="2" t="inlineStr">
        <is>
          <t>Abierto simplificado</t>
        </is>
      </c>
      <c r="L583" s="6" t="n">
        <v>12</v>
      </c>
      <c r="M583" s="2" t="n"/>
      <c r="N583" s="7" t="n">
        <v>0</v>
      </c>
      <c r="O583" s="4" t="n"/>
      <c r="P583" s="2" t="inlineStr">
        <is>
          <t>45233222</t>
        </is>
      </c>
      <c r="Q583" s="8" t="inlineStr">
        <is>
          <t>Ver</t>
        </is>
      </c>
      <c r="R583" s="8" t="inlineStr">
        <is>
          <t>PCAP</t>
        </is>
      </c>
      <c r="S583" s="9" t="n">
        <v>46321</v>
      </c>
      <c r="T583" s="3" t="n">
        <v>46318.54917824074</v>
      </c>
      <c r="U583" s="2" t="n"/>
    </row>
    <row r="584">
      <c r="A584" s="2" t="inlineStr">
        <is>
          <t>Adjudicada</t>
        </is>
      </c>
      <c r="B584" s="3" t="n">
        <v>46297.99930555555</v>
      </c>
      <c r="C584" s="5" t="n">
        <v>62030.11</v>
      </c>
      <c r="D584" s="5" t="n">
        <v>62030.11</v>
      </c>
      <c r="E584" s="2" t="inlineStr">
        <is>
          <t>Andalucía</t>
        </is>
      </c>
      <c r="F584" s="2" t="inlineStr">
        <is>
          <t>Málaga</t>
        </is>
      </c>
      <c r="G584" s="2" t="n"/>
      <c r="H584" s="2" t="inlineStr">
        <is>
          <t>Concejalía Delegada de la Presidencia de la Junta Municipal del Distrito nº 10, Puerto de la Torre del Ayuntamiento de Málaga</t>
        </is>
      </c>
      <c r="I584" s="2" t="inlineStr">
        <is>
          <t>Nuevo aparcamiento en Avenida Escritora Matilde del Nido. Fase II.</t>
        </is>
      </c>
      <c r="J584" s="2" t="inlineStr">
        <is>
          <t>PASA 26/07/456</t>
        </is>
      </c>
      <c r="K584" s="2" t="inlineStr">
        <is>
          <t>Abierto simplificado</t>
        </is>
      </c>
      <c r="L584" s="6" t="n">
        <v>2</v>
      </c>
      <c r="M584" s="2" t="n"/>
      <c r="N584" s="7" t="n">
        <v>0</v>
      </c>
      <c r="O584" s="4" t="n"/>
      <c r="P584" s="2" t="inlineStr">
        <is>
          <t>45000000</t>
        </is>
      </c>
      <c r="Q584" s="8" t="inlineStr">
        <is>
          <t>Ver</t>
        </is>
      </c>
      <c r="R584" s="8" t="inlineStr">
        <is>
          <t>PCAP</t>
        </is>
      </c>
      <c r="S584" s="9" t="n">
        <v>46321</v>
      </c>
      <c r="T584" s="3" t="n">
        <v>46318.54616898148</v>
      </c>
      <c r="U584" s="2" t="n"/>
    </row>
    <row r="585">
      <c r="A585" s="2" t="inlineStr">
        <is>
          <t>Adjudicada</t>
        </is>
      </c>
      <c r="B585" s="3" t="n">
        <v>46293.99930555555</v>
      </c>
      <c r="C585" s="5" t="n">
        <v>131757.03</v>
      </c>
      <c r="D585" s="5" t="n">
        <v>131757.03</v>
      </c>
      <c r="E585" s="2" t="inlineStr">
        <is>
          <t>Andalucía</t>
        </is>
      </c>
      <c r="F585" s="2" t="inlineStr">
        <is>
          <t>Córdoba</t>
        </is>
      </c>
      <c r="G585" s="2" t="inlineStr">
        <is>
          <t>Baena</t>
        </is>
      </c>
      <c r="H585" s="2" t="inlineStr">
        <is>
          <t>Alcaldía del Ayuntamiento de Baena</t>
        </is>
      </c>
      <c r="I585" s="2" t="inlineStr">
        <is>
          <t>Obras de Reurbanización de la Calle Doctora Antonia Martinez Casado</t>
        </is>
      </c>
      <c r="J585" s="2" t="inlineStr">
        <is>
          <t>OBRAS-01/2026</t>
        </is>
      </c>
      <c r="K585" s="2" t="inlineStr">
        <is>
          <t>Abierto simplificado</t>
        </is>
      </c>
      <c r="L585" s="6" t="n">
        <v>5</v>
      </c>
      <c r="M585" s="2" t="n"/>
      <c r="N585" s="7" t="n">
        <v>0</v>
      </c>
      <c r="O585" s="4" t="n"/>
      <c r="P585" s="2" t="inlineStr">
        <is>
          <t>45233252; 45233200; 45233140; 45232410; 45231100</t>
        </is>
      </c>
      <c r="Q585" s="8" t="inlineStr">
        <is>
          <t>Ver</t>
        </is>
      </c>
      <c r="R585" s="8" t="inlineStr">
        <is>
          <t>PCAP</t>
        </is>
      </c>
      <c r="S585" s="9" t="n">
        <v>46321</v>
      </c>
      <c r="T585" s="3" t="n">
        <v>46318.54467592593</v>
      </c>
      <c r="U585" s="2" t="n"/>
    </row>
    <row r="586">
      <c r="A586" s="2" t="inlineStr">
        <is>
          <t>Adjudicada</t>
        </is>
      </c>
      <c r="B586" s="3" t="n">
        <v>46280.99930555555</v>
      </c>
      <c r="C586" s="5" t="n">
        <v>1652803.65</v>
      </c>
      <c r="D586" s="5" t="n">
        <v>1652803.65</v>
      </c>
      <c r="E586" s="2" t="inlineStr">
        <is>
          <t>Comunitat Valenciana</t>
        </is>
      </c>
      <c r="F586" s="2" t="inlineStr">
        <is>
          <t>Castellón</t>
        </is>
      </c>
      <c r="G586" s="2" t="inlineStr">
        <is>
          <t>Burriana (Castellón)</t>
        </is>
      </c>
      <c r="H586" s="2" t="inlineStr">
        <is>
          <t>Alcaldía del Ayuntamiento de Borriana</t>
        </is>
      </c>
      <c r="I586" s="2" t="inlineStr">
        <is>
          <t>Obras de construcción de un nuevo Centro Sanitario de Atención Primaria en el Puerto de Burriana (Castellón) financiado por la Generalitat Valenciana en el marco del Decreto-Ley 12/2025, de 22 de julio, del Consell.</t>
        </is>
      </c>
      <c r="J586" s="2" t="inlineStr">
        <is>
          <t>BURR 7969/2026-PM 10/25</t>
        </is>
      </c>
      <c r="K586" s="2" t="inlineStr">
        <is>
          <t>Abierto simplificado</t>
        </is>
      </c>
      <c r="L586" s="6" t="n">
        <v>12</v>
      </c>
      <c r="M586" s="2" t="inlineStr">
        <is>
          <t>C*-4</t>
        </is>
      </c>
      <c r="N586" s="7" t="n">
        <v>0.2</v>
      </c>
      <c r="O586" s="4" t="n"/>
      <c r="P586" s="2" t="inlineStr">
        <is>
          <t>45215100</t>
        </is>
      </c>
      <c r="Q586" s="8" t="inlineStr">
        <is>
          <t>Ver</t>
        </is>
      </c>
      <c r="R586" s="8" t="inlineStr">
        <is>
          <t>PCAP</t>
        </is>
      </c>
      <c r="S586" s="9" t="n">
        <v>46321</v>
      </c>
      <c r="T586" s="3" t="n">
        <v>46318.54429398148</v>
      </c>
      <c r="U586" s="2" t="n"/>
    </row>
    <row r="587">
      <c r="A587" s="2" t="inlineStr">
        <is>
          <t>Pendiente de adjudicación</t>
        </is>
      </c>
      <c r="B587" s="3" t="n">
        <v>46301.99930555555</v>
      </c>
      <c r="C587" s="5" t="n">
        <v>82644.62</v>
      </c>
      <c r="D587" s="5" t="n">
        <v>82644.62</v>
      </c>
      <c r="E587" s="2" t="inlineStr">
        <is>
          <t>Andalucía</t>
        </is>
      </c>
      <c r="F587" s="2" t="inlineStr">
        <is>
          <t>Córdoba</t>
        </is>
      </c>
      <c r="G587" s="2" t="inlineStr">
        <is>
          <t>Fuente Obejuna</t>
        </is>
      </c>
      <c r="H587" s="2" t="inlineStr">
        <is>
          <t>Alcaldia del Ayuntamiento de Fuente Obejuna</t>
        </is>
      </c>
      <c r="I587" s="2" t="inlineStr">
        <is>
          <t>Contrato de obras del Proyecto de muro de contención en Calle Orden de Calatrava 2ª fase</t>
        </is>
      </c>
      <c r="J587" s="2" t="inlineStr">
        <is>
          <t>6438/2026</t>
        </is>
      </c>
      <c r="K587" s="2" t="inlineStr">
        <is>
          <t>Abierto simplificado</t>
        </is>
      </c>
      <c r="L587" s="6" t="n">
        <v>6</v>
      </c>
      <c r="M587" s="2" t="n"/>
      <c r="N587" s="7" t="n">
        <v>0</v>
      </c>
      <c r="O587" s="4" t="n"/>
      <c r="P587" s="2" t="inlineStr">
        <is>
          <t>45000000; 45262520; 45210000</t>
        </is>
      </c>
      <c r="Q587" s="8" t="inlineStr">
        <is>
          <t>Ver</t>
        </is>
      </c>
      <c r="R587" s="8" t="inlineStr">
        <is>
          <t>PCAP</t>
        </is>
      </c>
      <c r="S587" s="9" t="n">
        <v>46321</v>
      </c>
      <c r="T587" s="3" t="n">
        <v>46318.54417824074</v>
      </c>
      <c r="U587" s="2" t="n"/>
    </row>
    <row r="588">
      <c r="A588" s="2" t="inlineStr">
        <is>
          <t>Pendiente de adjudicación</t>
        </is>
      </c>
      <c r="B588" s="3" t="n">
        <v>46300.99930555555</v>
      </c>
      <c r="C588" s="5" t="n">
        <v>216584.41</v>
      </c>
      <c r="D588" s="5" t="n">
        <v>259901.28</v>
      </c>
      <c r="E588" s="2" t="inlineStr">
        <is>
          <t>Comunitat Valenciana</t>
        </is>
      </c>
      <c r="F588" s="2" t="inlineStr">
        <is>
          <t>Alicante</t>
        </is>
      </c>
      <c r="G588" s="2" t="n"/>
      <c r="H588" s="2" t="inlineStr">
        <is>
          <t>Junta de Gobierno del Ayuntamiento de Elche</t>
        </is>
      </c>
      <c r="I588" s="2" t="inlineStr">
        <is>
          <t>Ejecución de trabajos de mejora, regeneración y modernización del Polígono Industrial de Carrús. Actuaciones de regeneración paisajística (subvencionado por IVACE)</t>
        </is>
      </c>
      <c r="J588" s="2" t="inlineStr">
        <is>
          <t>OBR/ABR_SMPL/2026000138</t>
        </is>
      </c>
      <c r="K588" s="2" t="inlineStr">
        <is>
          <t>Abierto simplificado</t>
        </is>
      </c>
      <c r="L588" s="6" t="n">
        <v>2</v>
      </c>
      <c r="M588" s="2" t="n"/>
      <c r="N588" s="7" t="n">
        <v>0</v>
      </c>
      <c r="O588" s="4" t="n"/>
      <c r="P588" s="2" t="inlineStr">
        <is>
          <t>45112700; 45233140; 45232121</t>
        </is>
      </c>
      <c r="Q588" s="8" t="inlineStr">
        <is>
          <t>Ver</t>
        </is>
      </c>
      <c r="R588" s="8" t="inlineStr">
        <is>
          <t>PCAP</t>
        </is>
      </c>
      <c r="S588" s="9" t="n">
        <v>46310</v>
      </c>
      <c r="T588" s="3" t="n">
        <v>46318.54048611111</v>
      </c>
      <c r="U588" s="2" t="n"/>
    </row>
    <row r="589">
      <c r="A589" s="2" t="inlineStr">
        <is>
          <t>Pendiente de adjudicación</t>
        </is>
      </c>
      <c r="B589" s="3" t="n">
        <v>46296.75</v>
      </c>
      <c r="C589" s="5" t="n">
        <v>299958.91</v>
      </c>
      <c r="D589" s="5" t="n">
        <v>299958.91</v>
      </c>
      <c r="E589" s="2" t="inlineStr">
        <is>
          <t>Comunitat Valenciana</t>
        </is>
      </c>
      <c r="F589" s="2" t="inlineStr">
        <is>
          <t>Valencia</t>
        </is>
      </c>
      <c r="G589" s="2" t="inlineStr">
        <is>
          <t>Algemesí</t>
        </is>
      </c>
      <c r="H589" s="2" t="inlineStr">
        <is>
          <t>Junta de Gobierno del Ayuntamiento de Algemesí</t>
        </is>
      </c>
      <c r="I589" s="2" t="inlineStr">
        <is>
          <t>Ejecución de las obras de derribo del Velódromo Municipal de Algemesí</t>
        </is>
      </c>
      <c r="J589" s="2" t="inlineStr">
        <is>
          <t>6059/2026</t>
        </is>
      </c>
      <c r="K589" s="2" t="inlineStr">
        <is>
          <t>Abierto simplificado</t>
        </is>
      </c>
      <c r="L589" s="6" t="n">
        <v>2</v>
      </c>
      <c r="M589" s="2" t="n"/>
      <c r="N589" s="7" t="n">
        <v>0</v>
      </c>
      <c r="O589" s="4" t="n"/>
      <c r="P589" s="2" t="inlineStr">
        <is>
          <t>45111000</t>
        </is>
      </c>
      <c r="Q589" s="8" t="inlineStr">
        <is>
          <t>Ver</t>
        </is>
      </c>
      <c r="R589" s="8" t="inlineStr">
        <is>
          <t>PCAP</t>
        </is>
      </c>
      <c r="S589" s="9" t="n">
        <v>46310</v>
      </c>
      <c r="T589" s="3" t="n">
        <v>46318.53716435185</v>
      </c>
      <c r="U589" s="2" t="n"/>
    </row>
    <row r="590">
      <c r="A590" s="2" t="inlineStr">
        <is>
          <t>Resuelta</t>
        </is>
      </c>
      <c r="B590" s="3" t="n">
        <v>46290.99930555555</v>
      </c>
      <c r="C590" s="5" t="n">
        <v>53723.03</v>
      </c>
      <c r="D590" s="5" t="n">
        <v>53723.03</v>
      </c>
      <c r="E590" s="2" t="inlineStr">
        <is>
          <t>Comunitat Valenciana</t>
        </is>
      </c>
      <c r="F590" s="2" t="inlineStr">
        <is>
          <t>Castellón</t>
        </is>
      </c>
      <c r="G590" s="2" t="inlineStr">
        <is>
          <t>Costur</t>
        </is>
      </c>
      <c r="H590" s="2" t="inlineStr">
        <is>
          <t>Pleno del Ayuntamiento de Costur</t>
        </is>
      </c>
      <c r="I590" s="2" t="inlineStr">
        <is>
          <t>Ejecución de las obras del proyecto de Mejoras de la accesibilidad en el Ayuntamiento de Costur</t>
        </is>
      </c>
      <c r="J590" s="2" t="inlineStr">
        <is>
          <t>358/2026</t>
        </is>
      </c>
      <c r="K590" s="2" t="inlineStr">
        <is>
          <t>Negociado sin publicidad</t>
        </is>
      </c>
      <c r="L590" s="6" t="n">
        <v>2</v>
      </c>
      <c r="M590" s="2" t="n"/>
      <c r="N590" s="7" t="n">
        <v>0.25</v>
      </c>
      <c r="O590" s="4" t="n"/>
      <c r="P590" s="2" t="inlineStr">
        <is>
          <t>45000000; 45262700; 45313100</t>
        </is>
      </c>
      <c r="Q590" s="8" t="inlineStr">
        <is>
          <t>Ver</t>
        </is>
      </c>
      <c r="R590" s="8" t="inlineStr">
        <is>
          <t>PCAP</t>
        </is>
      </c>
      <c r="S590" s="9" t="n">
        <v>46321</v>
      </c>
      <c r="T590" s="3" t="n">
        <v>46318.53694444444</v>
      </c>
      <c r="U590" s="2" t="n"/>
    </row>
    <row r="591">
      <c r="A591" s="2" t="inlineStr">
        <is>
          <t>Pendiente de adjudicación</t>
        </is>
      </c>
      <c r="B591" s="3" t="n">
        <v>46289.99930555555</v>
      </c>
      <c r="C591" s="5" t="n">
        <v>398450.06</v>
      </c>
      <c r="D591" s="5" t="n">
        <v>398450.06</v>
      </c>
      <c r="E591" s="2" t="inlineStr">
        <is>
          <t>Andalucía</t>
        </is>
      </c>
      <c r="F591" s="2" t="inlineStr">
        <is>
          <t>Sevilla</t>
        </is>
      </c>
      <c r="G591" s="2" t="inlineStr">
        <is>
          <t>SAN JUAN DE AZNALFARACHE</t>
        </is>
      </c>
      <c r="H591" s="2" t="inlineStr">
        <is>
          <t>Junta de Gobierno del Ayuntamiento San Juan de Aznalfarache</t>
        </is>
      </c>
      <c r="I591" s="2" t="inlineStr">
        <is>
          <t>ejecución de las obras contempladas en el “Proyecto de Ejecución de Glorieta de organización de tráfico sobre plataforma de cubrición de la Autovía A-8058”</t>
        </is>
      </c>
      <c r="J591" s="2" t="inlineStr">
        <is>
          <t>5434/2026</t>
        </is>
      </c>
      <c r="K591" s="2" t="inlineStr">
        <is>
          <t>Abierto simplificado</t>
        </is>
      </c>
      <c r="L591" s="6" t="n">
        <v>6</v>
      </c>
      <c r="M591" s="2" t="n"/>
      <c r="N591" s="7" t="n">
        <v>0</v>
      </c>
      <c r="O591" s="4" t="n"/>
      <c r="P591" s="2" t="inlineStr">
        <is>
          <t>45000000</t>
        </is>
      </c>
      <c r="Q591" s="8" t="inlineStr">
        <is>
          <t>Ver</t>
        </is>
      </c>
      <c r="R591" s="8" t="inlineStr">
        <is>
          <t>PCAP</t>
        </is>
      </c>
      <c r="S591" s="9" t="n">
        <v>46310</v>
      </c>
      <c r="T591" s="3" t="n">
        <v>46318.53689814815</v>
      </c>
      <c r="U591" s="2" t="n"/>
    </row>
    <row r="592">
      <c r="A592" s="2" t="inlineStr">
        <is>
          <t>Resuelta</t>
        </is>
      </c>
      <c r="B592" s="3" t="n">
        <v>46196.625</v>
      </c>
      <c r="C592" s="5" t="n">
        <v>281561.17</v>
      </c>
      <c r="D592" s="5" t="n">
        <v>281561.17</v>
      </c>
      <c r="E592" s="2" t="inlineStr">
        <is>
          <t>Comunitat Valenciana</t>
        </is>
      </c>
      <c r="F592" s="2" t="inlineStr">
        <is>
          <t>Castellón</t>
        </is>
      </c>
      <c r="G592" s="2" t="inlineStr">
        <is>
          <t>Vinaròs</t>
        </is>
      </c>
      <c r="H592" s="2" t="inlineStr">
        <is>
          <t>Dirección Territorial de Educación y Universidades de Castellón</t>
        </is>
      </c>
      <c r="I592" s="2" t="inlineStr">
        <is>
          <t>Sustitución parcial del vallado en el CEIP Nuestra Señora de la Asunción de Vinaros</t>
        </is>
      </c>
      <c r="J592" s="2" t="inlineStr">
        <is>
          <t>CMAYOR/2026/19Y14/0059</t>
        </is>
      </c>
      <c r="K592" s="2" t="inlineStr">
        <is>
          <t>Abierto simplificado</t>
        </is>
      </c>
      <c r="L592" s="6" t="n">
        <v>4</v>
      </c>
      <c r="M592" s="2" t="n"/>
      <c r="N592" s="7" t="n">
        <v>0</v>
      </c>
      <c r="O592" s="4" t="n"/>
      <c r="P592" s="2" t="inlineStr">
        <is>
          <t>45214210</t>
        </is>
      </c>
      <c r="Q592" s="8" t="inlineStr">
        <is>
          <t>Ver</t>
        </is>
      </c>
      <c r="R592" s="8" t="inlineStr">
        <is>
          <t>PCAP</t>
        </is>
      </c>
      <c r="S592" s="9" t="n">
        <v>46321</v>
      </c>
      <c r="T592" s="3" t="n">
        <v>46318.53329861111</v>
      </c>
      <c r="U592" s="2" t="n"/>
    </row>
    <row r="593">
      <c r="A593" s="2" t="inlineStr">
        <is>
          <t>Adjudicada</t>
        </is>
      </c>
      <c r="B593" s="3" t="n">
        <v>46294.99930555555</v>
      </c>
      <c r="C593" s="5" t="n">
        <v>154169</v>
      </c>
      <c r="D593" s="5" t="n">
        <v>154169</v>
      </c>
      <c r="E593" s="2" t="inlineStr">
        <is>
          <t>Comunitat Valenciana</t>
        </is>
      </c>
      <c r="F593" s="2" t="inlineStr">
        <is>
          <t>Castellón</t>
        </is>
      </c>
      <c r="G593" s="2" t="inlineStr">
        <is>
          <t>Navajas</t>
        </is>
      </c>
      <c r="H593" s="2" t="inlineStr">
        <is>
          <t>Alcaldía del Ayuntamiento de Navajas</t>
        </is>
      </c>
      <c r="I593" s="2" t="inlineStr">
        <is>
          <t>Obras de adecuación y mejora del Polideportivo Municipal de Navajas.</t>
        </is>
      </c>
      <c r="J593" s="2" t="inlineStr">
        <is>
          <t>386/2026</t>
        </is>
      </c>
      <c r="K593" s="2" t="inlineStr">
        <is>
          <t>Abierto simplificado</t>
        </is>
      </c>
      <c r="L593" s="6" t="n">
        <v>6</v>
      </c>
      <c r="M593" s="2" t="n"/>
      <c r="N593" s="7" t="n">
        <v>0.25</v>
      </c>
      <c r="O593" s="4" t="n"/>
      <c r="P593" s="2" t="inlineStr">
        <is>
          <t>45212200; 45212290</t>
        </is>
      </c>
      <c r="Q593" s="8" t="inlineStr">
        <is>
          <t>Ver</t>
        </is>
      </c>
      <c r="R593" s="8" t="inlineStr">
        <is>
          <t>PCAP</t>
        </is>
      </c>
      <c r="S593" s="9" t="n">
        <v>46321</v>
      </c>
      <c r="T593" s="3" t="n">
        <v>46318.53199074074</v>
      </c>
      <c r="U593" s="2" t="n"/>
    </row>
    <row r="594">
      <c r="A594" s="2" t="inlineStr">
        <is>
          <t>En plazo</t>
        </is>
      </c>
      <c r="B594" s="3" t="n">
        <v>46342.99930555555</v>
      </c>
      <c r="C594" s="5" t="n">
        <v>490067.3</v>
      </c>
      <c r="D594" s="5" t="n">
        <v>490067.3</v>
      </c>
      <c r="E594" s="2" t="inlineStr">
        <is>
          <t>Andalucía</t>
        </is>
      </c>
      <c r="F594" s="2" t="inlineStr">
        <is>
          <t>Huelva</t>
        </is>
      </c>
      <c r="G594" s="2" t="inlineStr">
        <is>
          <t>Chucena</t>
        </is>
      </c>
      <c r="H594" s="2" t="inlineStr">
        <is>
          <t>Alcaldía del Ayuntamiento de Chucena</t>
        </is>
      </c>
      <c r="I594" s="2" t="inlineStr">
        <is>
          <t>Ejecución de las obras contempladas en el Proyecto de Urbanización de la calle transversal a calle Cartuja. Fase 1, en el término municipal de Chucena (Huelva).</t>
        </is>
      </c>
      <c r="J594" s="2" t="inlineStr">
        <is>
          <t>361/2026</t>
        </is>
      </c>
      <c r="K594" s="2" t="inlineStr">
        <is>
          <t>Abierto simplificado</t>
        </is>
      </c>
      <c r="L594" s="6" t="n">
        <v>6</v>
      </c>
      <c r="M594" s="2" t="n"/>
      <c r="N594" s="7" t="n">
        <v>0</v>
      </c>
      <c r="O594" s="4" t="n"/>
      <c r="P594" s="2" t="inlineStr">
        <is>
          <t>45230000</t>
        </is>
      </c>
      <c r="Q594" s="8" t="inlineStr">
        <is>
          <t>Ver</t>
        </is>
      </c>
      <c r="R594" s="8" t="inlineStr">
        <is>
          <t>PCAP</t>
        </is>
      </c>
      <c r="S594" s="9" t="n">
        <v>46321</v>
      </c>
      <c r="T594" s="3" t="n">
        <v>46318.53087962963</v>
      </c>
      <c r="U594" s="2" t="n"/>
    </row>
    <row r="595">
      <c r="A595" s="2" t="inlineStr">
        <is>
          <t>Pendiente de adjudicación</t>
        </is>
      </c>
      <c r="B595" s="3" t="n">
        <v>46314.99930555555</v>
      </c>
      <c r="C595" s="5" t="n">
        <v>7583128.97</v>
      </c>
      <c r="D595" s="5" t="n">
        <v>8341441.87</v>
      </c>
      <c r="E595" s="2" t="inlineStr">
        <is>
          <t>Comunitat Valenciana</t>
        </is>
      </c>
      <c r="F595" s="2" t="inlineStr">
        <is>
          <t>Valencia</t>
        </is>
      </c>
      <c r="G595" s="2" t="n"/>
      <c r="H595" s="2" t="inlineStr">
        <is>
          <t>Junta de Gobierno del Ajuntament de València</t>
        </is>
      </c>
      <c r="I595" s="2" t="inlineStr">
        <is>
          <t>Obras de construcción del edificio de la Segunda Unidad de Distrito de la Policía Local.-</t>
        </is>
      </c>
      <c r="J595" s="2" t="inlineStr">
        <is>
          <t>04101/2026/154-O</t>
        </is>
      </c>
      <c r="K595" s="2" t="inlineStr">
        <is>
          <t>Abierto</t>
        </is>
      </c>
      <c r="L595" s="6" t="n">
        <v>18</v>
      </c>
      <c r="M595" s="2" t="inlineStr">
        <is>
          <t>C*-6</t>
        </is>
      </c>
      <c r="N595" s="7" t="n">
        <v>0</v>
      </c>
      <c r="O595" s="4" t="n"/>
      <c r="P595" s="2" t="inlineStr">
        <is>
          <t>45000000</t>
        </is>
      </c>
      <c r="Q595" s="8" t="inlineStr">
        <is>
          <t>Ver</t>
        </is>
      </c>
      <c r="R595" s="8" t="inlineStr">
        <is>
          <t>PCAP</t>
        </is>
      </c>
      <c r="S595" s="9" t="n">
        <v>46318</v>
      </c>
      <c r="T595" s="3" t="n">
        <v>46318.53046296296</v>
      </c>
      <c r="U595" s="2" t="n"/>
    </row>
    <row r="596">
      <c r="A596" s="2" t="inlineStr">
        <is>
          <t>En plazo</t>
        </is>
      </c>
      <c r="B596" s="3" t="n">
        <v>46349.99930555555</v>
      </c>
      <c r="C596" s="5" t="n">
        <v>59505.36</v>
      </c>
      <c r="D596" s="5" t="n">
        <v>59505.36</v>
      </c>
      <c r="E596" s="2" t="inlineStr">
        <is>
          <t>Andalucía</t>
        </is>
      </c>
      <c r="F596" s="2" t="inlineStr">
        <is>
          <t>Cádiz</t>
        </is>
      </c>
      <c r="G596" s="2" t="n"/>
      <c r="H596" s="2" t="inlineStr">
        <is>
          <t>Gerencia de la Empresa Municipal de la Vivienda de Jerez, S.A.</t>
        </is>
      </c>
      <c r="I596" s="2" t="inlineStr">
        <is>
          <t>Contrato de obras de reparación y conservación de las pasarelas exteriores de acceso a los edificios de viviendas sitos en calle Tío Juanes n.º 2 y n.º 4 de Jerez de la Frontera.</t>
        </is>
      </c>
      <c r="J596" s="2" t="inlineStr">
        <is>
          <t>EMUVIJESA/PAS/10/2026</t>
        </is>
      </c>
      <c r="K596" s="2" t="inlineStr">
        <is>
          <t>Abierto simplificado</t>
        </is>
      </c>
      <c r="L596" s="6" t="n">
        <v>2.5</v>
      </c>
      <c r="M596" s="2" t="n"/>
      <c r="N596" s="7" t="n">
        <v>0</v>
      </c>
      <c r="O596" s="4" t="n"/>
      <c r="P596" s="2" t="inlineStr">
        <is>
          <t>45453100</t>
        </is>
      </c>
      <c r="Q596" s="8" t="inlineStr">
        <is>
          <t>Ver</t>
        </is>
      </c>
      <c r="R596" s="8" t="inlineStr">
        <is>
          <t>PCAP</t>
        </is>
      </c>
      <c r="S596" s="9" t="n">
        <v>46321</v>
      </c>
      <c r="T596" s="3" t="n">
        <v>46318.52998842593</v>
      </c>
      <c r="U596" s="2" t="n"/>
    </row>
    <row r="597">
      <c r="A597" s="2" t="inlineStr">
        <is>
          <t>Resuelta</t>
        </is>
      </c>
      <c r="B597" s="3" t="n">
        <v>46309.99930555555</v>
      </c>
      <c r="C597" s="5" t="n">
        <v>670701.35</v>
      </c>
      <c r="D597" s="5" t="n">
        <v>670701.35</v>
      </c>
      <c r="E597" s="2" t="inlineStr">
        <is>
          <t>Andalucía</t>
        </is>
      </c>
      <c r="F597" s="2" t="inlineStr">
        <is>
          <t>Málaga</t>
        </is>
      </c>
      <c r="G597" s="2" t="n"/>
      <c r="H597" s="2" t="inlineStr">
        <is>
          <t>Junta de Gobierno del Ayuntamiento de Vélez-Málaga</t>
        </is>
      </c>
      <c r="I597" s="2" t="inlineStr">
        <is>
          <t>Reurbanización de la Calle Doctor Fleming de Torre del Mar. Tramo Calle Eduardo Iglesias Pérez - Calle Doctor Laureano Casquero.</t>
        </is>
      </c>
      <c r="J597" s="2" t="inlineStr">
        <is>
          <t>AVM.OBR-2026000015</t>
        </is>
      </c>
      <c r="K597" s="2" t="inlineStr">
        <is>
          <t>Abierto simplificado</t>
        </is>
      </c>
      <c r="L597" s="6" t="n">
        <v>8</v>
      </c>
      <c r="M597" s="2" t="inlineStr">
        <is>
          <t>G6-2</t>
        </is>
      </c>
      <c r="N597" s="7" t="n">
        <v>0</v>
      </c>
      <c r="O597" s="4" t="n"/>
      <c r="P597" s="2" t="inlineStr">
        <is>
          <t>45233252</t>
        </is>
      </c>
      <c r="Q597" s="8" t="inlineStr">
        <is>
          <t>Ver</t>
        </is>
      </c>
      <c r="R597" s="8" t="inlineStr">
        <is>
          <t>PCAP</t>
        </is>
      </c>
      <c r="S597" s="9" t="n">
        <v>46321</v>
      </c>
      <c r="T597" s="3" t="n">
        <v>46318.5275925926</v>
      </c>
      <c r="U597" s="2" t="n"/>
    </row>
    <row r="598">
      <c r="A598" s="2" t="inlineStr">
        <is>
          <t>Pendiente de adjudicación</t>
        </is>
      </c>
      <c r="B598" s="3" t="n">
        <v>46311.54166666666</v>
      </c>
      <c r="C598" s="5" t="n">
        <v>424023.1</v>
      </c>
      <c r="D598" s="5" t="n">
        <v>424023.1</v>
      </c>
      <c r="E598" s="2" t="inlineStr">
        <is>
          <t>Andalucía</t>
        </is>
      </c>
      <c r="F598" s="2" t="inlineStr">
        <is>
          <t>Málaga</t>
        </is>
      </c>
      <c r="G598" s="2" t="n"/>
      <c r="H598" s="2" t="inlineStr">
        <is>
          <t>Junta de Gobierno del Ayuntamiento de Málaga</t>
        </is>
      </c>
      <c r="I598" s="2" t="inlineStr">
        <is>
          <t>Obras de subsanación de deficiencias de once centros de enseñanza infantil y primaria de la Ciudad de Málaga</t>
        </is>
      </c>
      <c r="J598" s="2" t="inlineStr">
        <is>
          <t>116/26</t>
        </is>
      </c>
      <c r="K598" s="2" t="inlineStr">
        <is>
          <t>Abierto simplificado</t>
        </is>
      </c>
      <c r="L598" s="6" t="n">
        <v>3</v>
      </c>
      <c r="M598" s="2" t="n"/>
      <c r="N598" s="7" t="n">
        <v>0</v>
      </c>
      <c r="O598" s="4" t="n"/>
      <c r="P598" s="2" t="inlineStr">
        <is>
          <t>45000000; 45259000</t>
        </is>
      </c>
      <c r="Q598" s="8" t="inlineStr">
        <is>
          <t>Ver</t>
        </is>
      </c>
      <c r="R598" s="8" t="inlineStr">
        <is>
          <t>PCAP</t>
        </is>
      </c>
      <c r="S598" s="9" t="n">
        <v>46321</v>
      </c>
      <c r="T598" s="3" t="n">
        <v>46318.52733796297</v>
      </c>
      <c r="U598" s="2" t="n"/>
    </row>
    <row r="599">
      <c r="A599" s="2" t="inlineStr">
        <is>
          <t>Pendiente de adjudicación</t>
        </is>
      </c>
      <c r="B599" s="3" t="n">
        <v>46314.99930555555</v>
      </c>
      <c r="C599" s="5" t="n">
        <v>1782917.77</v>
      </c>
      <c r="D599" s="5" t="n">
        <v>1782917.77</v>
      </c>
      <c r="E599" s="2" t="inlineStr">
        <is>
          <t>Comunitat Valenciana</t>
        </is>
      </c>
      <c r="F599" s="2" t="inlineStr">
        <is>
          <t>Valencia</t>
        </is>
      </c>
      <c r="G599" s="2" t="inlineStr">
        <is>
          <t>Ontinyent</t>
        </is>
      </c>
      <c r="H599" s="2" t="inlineStr">
        <is>
          <t>Alcaldia del Ayuntamiento de Ontinyent</t>
        </is>
      </c>
      <c r="I599" s="2" t="inlineStr">
        <is>
          <t>Contratación de las obras de "Ampliación del cementerio municipal de Ontinyent"</t>
        </is>
      </c>
      <c r="J599" s="2" t="inlineStr">
        <is>
          <t>2955403C</t>
        </is>
      </c>
      <c r="K599" s="2" t="inlineStr">
        <is>
          <t>Abierto simplificado</t>
        </is>
      </c>
      <c r="L599" s="6" t="n">
        <v>15</v>
      </c>
      <c r="M599" s="2" t="inlineStr">
        <is>
          <t>C2-4</t>
        </is>
      </c>
      <c r="N599" s="7" t="n">
        <v>0.25</v>
      </c>
      <c r="O599" s="4" t="n"/>
      <c r="P599" s="2" t="inlineStr">
        <is>
          <t>45112714; 45236300; 45215400; 45233200; 45223800</t>
        </is>
      </c>
      <c r="Q599" s="8" t="inlineStr">
        <is>
          <t>Ver</t>
        </is>
      </c>
      <c r="R599" s="8" t="inlineStr">
        <is>
          <t>PCAP</t>
        </is>
      </c>
      <c r="S599" s="9" t="n">
        <v>46321</v>
      </c>
      <c r="T599" s="3" t="n">
        <v>46318.52331018518</v>
      </c>
      <c r="U599" s="2" t="n"/>
    </row>
    <row r="600">
      <c r="A600" s="2" t="inlineStr">
        <is>
          <t>Pendiente de adjudicación</t>
        </is>
      </c>
      <c r="B600" s="3" t="n">
        <v>46314.99930555555</v>
      </c>
      <c r="C600" s="5" t="n">
        <v>66307.64999999999</v>
      </c>
      <c r="D600" s="5" t="n">
        <v>79569.17999999999</v>
      </c>
      <c r="E600" s="2" t="inlineStr">
        <is>
          <t>Comunitat Valenciana</t>
        </is>
      </c>
      <c r="F600" s="2" t="inlineStr">
        <is>
          <t>Alicante</t>
        </is>
      </c>
      <c r="G600" s="2" t="inlineStr">
        <is>
          <t>Dolores</t>
        </is>
      </c>
      <c r="H600" s="2" t="inlineStr">
        <is>
          <t>Alcaldía del Ayuntamiento de Dolores</t>
        </is>
      </c>
      <c r="I600" s="2" t="inlineStr">
        <is>
          <t>Adecuación de la Avenida Príncipe de Asturias</t>
        </is>
      </c>
      <c r="J600" s="2" t="inlineStr">
        <is>
          <t>3492/2026</t>
        </is>
      </c>
      <c r="K600" s="2" t="inlineStr">
        <is>
          <t>Abierto simplificado</t>
        </is>
      </c>
      <c r="L600" s="6" t="n">
        <v>3</v>
      </c>
      <c r="M600" s="2" t="n"/>
      <c r="N600" s="7" t="n">
        <v>0</v>
      </c>
      <c r="O600" s="4" t="n"/>
      <c r="P600" s="2" t="inlineStr">
        <is>
          <t>45233140; 45233220; 45316100; 77310000; 45231000</t>
        </is>
      </c>
      <c r="Q600" s="8" t="inlineStr">
        <is>
          <t>Ver</t>
        </is>
      </c>
      <c r="R600" s="8" t="inlineStr">
        <is>
          <t>PCAP</t>
        </is>
      </c>
      <c r="S600" s="9" t="n">
        <v>46321</v>
      </c>
      <c r="T600" s="3" t="n">
        <v>46318.52225694444</v>
      </c>
      <c r="U600" s="2" t="n"/>
    </row>
    <row r="601">
      <c r="A601" s="2" t="inlineStr">
        <is>
          <t>Plazo vencido</t>
        </is>
      </c>
      <c r="B601" s="3" t="n">
        <v>46322.45833333334</v>
      </c>
      <c r="C601" s="5" t="n">
        <v>50129.2</v>
      </c>
      <c r="D601" s="5" t="n">
        <v>50129.2</v>
      </c>
      <c r="E601" s="2" t="inlineStr">
        <is>
          <t>Andalucía</t>
        </is>
      </c>
      <c r="F601" s="2" t="inlineStr">
        <is>
          <t>Granada</t>
        </is>
      </c>
      <c r="G601" s="2" t="n"/>
      <c r="H601" s="2" t="inlineStr">
        <is>
          <t>Alcaldía del Ayuntamiento de Almuñécar</t>
        </is>
      </c>
      <c r="I601" s="2" t="inlineStr">
        <is>
          <t>Contrato de Obras de Mejora de protecciones y drenajes de varios caminos en el entorno del Río Jate, en el término municipal de Almuñécar, subvencionada por la Diputación Provincial de Granada `Subvención para inversiones de reparación de daños producidos por temporal e inversiones de carácter preventivo. - Línea 1. ´</t>
        </is>
      </c>
      <c r="J601" s="2" t="inlineStr">
        <is>
          <t>106/2026 (GEST 8481 BIS/2026)</t>
        </is>
      </c>
      <c r="K601" s="2" t="inlineStr">
        <is>
          <t>Negociado sin publicidad</t>
        </is>
      </c>
      <c r="L601" s="6" t="n">
        <v>3</v>
      </c>
      <c r="M601" s="2" t="n"/>
      <c r="N601" s="7" t="n">
        <v>0</v>
      </c>
      <c r="O601" s="4" t="n"/>
      <c r="P601" s="2" t="inlineStr">
        <is>
          <t>45233200</t>
        </is>
      </c>
      <c r="Q601" s="8" t="inlineStr">
        <is>
          <t>Ver</t>
        </is>
      </c>
      <c r="R601" s="8" t="inlineStr">
        <is>
          <t>PCAP</t>
        </is>
      </c>
      <c r="S601" s="9" t="n">
        <v>46314</v>
      </c>
      <c r="T601" s="3" t="n">
        <v>46318.52216435185</v>
      </c>
      <c r="U601" s="2" t="n"/>
    </row>
    <row r="602">
      <c r="A602" s="2" t="inlineStr">
        <is>
          <t>Plazo vencido</t>
        </is>
      </c>
      <c r="B602" s="3" t="n">
        <v>46322.45833333334</v>
      </c>
      <c r="C602" s="5" t="n">
        <v>61420.45</v>
      </c>
      <c r="D602" s="5" t="n">
        <v>61420.45</v>
      </c>
      <c r="E602" s="2" t="inlineStr">
        <is>
          <t>Andalucía</t>
        </is>
      </c>
      <c r="F602" s="2" t="inlineStr">
        <is>
          <t>Granada</t>
        </is>
      </c>
      <c r="G602" s="2" t="n"/>
      <c r="H602" s="2" t="inlineStr">
        <is>
          <t>Alcaldía del Ayuntamiento de Almuñécar</t>
        </is>
      </c>
      <c r="I602" s="2" t="inlineStr">
        <is>
          <t>Obras para mejoras de protecciones y drenajes de varios caminos en el entorno del Río Verde, en el término municipal de Almuñécar. Subvencionado por la Diputación Provincial de Granada.</t>
        </is>
      </c>
      <c r="J602" s="2" t="inlineStr">
        <is>
          <t>104/2026 (GEST 8478 BIS/2026)</t>
        </is>
      </c>
      <c r="K602" s="2" t="inlineStr">
        <is>
          <t>Negociado sin publicidad</t>
        </is>
      </c>
      <c r="L602" s="6" t="n">
        <v>3</v>
      </c>
      <c r="M602" s="2" t="n"/>
      <c r="N602" s="7" t="n">
        <v>0</v>
      </c>
      <c r="O602" s="4" t="n"/>
      <c r="P602" s="2" t="inlineStr">
        <is>
          <t>45233200</t>
        </is>
      </c>
      <c r="Q602" s="8" t="inlineStr">
        <is>
          <t>Ver</t>
        </is>
      </c>
      <c r="R602" s="8" t="inlineStr">
        <is>
          <t>PCAP</t>
        </is>
      </c>
      <c r="S602" s="9" t="n">
        <v>46314</v>
      </c>
      <c r="T602" s="3" t="n">
        <v>46318.52138888889</v>
      </c>
      <c r="U602" s="2" t="n"/>
    </row>
    <row r="603">
      <c r="A603" s="2" t="inlineStr">
        <is>
          <t>Plazo vencido</t>
        </is>
      </c>
      <c r="B603" s="3" t="n">
        <v>46322.45833333334</v>
      </c>
      <c r="C603" s="5" t="n">
        <v>65480.44</v>
      </c>
      <c r="D603" s="5" t="n">
        <v>65480.44</v>
      </c>
      <c r="E603" s="2" t="inlineStr">
        <is>
          <t>Andalucía</t>
        </is>
      </c>
      <c r="F603" s="2" t="inlineStr">
        <is>
          <t>Granada</t>
        </is>
      </c>
      <c r="G603" s="2" t="n"/>
      <c r="H603" s="2" t="inlineStr">
        <is>
          <t>Alcaldía del Ayuntamiento de Almuñécar</t>
        </is>
      </c>
      <c r="I603" s="2" t="inlineStr">
        <is>
          <t>Contrato de Obras de Mejora de protecciones y drenajes de varios caminos en el entorno del Río Seco, en el término municipal de Almuñécar, subvencionada por la Diputación Provincial de Granada `Subvención para reparación de daños producidos por temporal e inversiones de carácter preventivo. - Línea 1.`</t>
        </is>
      </c>
      <c r="J603" s="2" t="inlineStr">
        <is>
          <t>105/2026 (GEST 8480 BIS/2026)</t>
        </is>
      </c>
      <c r="K603" s="2" t="inlineStr">
        <is>
          <t>Negociado sin publicidad</t>
        </is>
      </c>
      <c r="L603" s="6" t="n">
        <v>3</v>
      </c>
      <c r="M603" s="2" t="n"/>
      <c r="N603" s="7" t="n">
        <v>0</v>
      </c>
      <c r="O603" s="4" t="n"/>
      <c r="P603" s="2" t="inlineStr">
        <is>
          <t>45233200</t>
        </is>
      </c>
      <c r="Q603" s="8" t="inlineStr">
        <is>
          <t>Ver</t>
        </is>
      </c>
      <c r="R603" s="8" t="inlineStr">
        <is>
          <t>PCAP</t>
        </is>
      </c>
      <c r="S603" s="9" t="n">
        <v>46314</v>
      </c>
      <c r="T603" s="3" t="n">
        <v>46318.52082175926</v>
      </c>
      <c r="U603" s="2" t="n"/>
    </row>
    <row r="604">
      <c r="A604" s="2" t="inlineStr">
        <is>
          <t>En plazo</t>
        </is>
      </c>
      <c r="B604" s="3" t="n">
        <v>46335.99930555555</v>
      </c>
      <c r="C604" s="5" t="n">
        <v>44811.5</v>
      </c>
      <c r="D604" s="5" t="n">
        <v>44811.5</v>
      </c>
      <c r="E604" s="2" t="inlineStr">
        <is>
          <t>Andalucía</t>
        </is>
      </c>
      <c r="F604" s="2" t="inlineStr">
        <is>
          <t>Huelva</t>
        </is>
      </c>
      <c r="G604" s="2" t="inlineStr">
        <is>
          <t>Cabezas Rubias</t>
        </is>
      </c>
      <c r="H604" s="2" t="inlineStr">
        <is>
          <t>Alcaldía del Ayuntamiento de Cabezas Rubias</t>
        </is>
      </c>
      <c r="I604" s="2" t="inlineStr">
        <is>
          <t>Contrato de Obras para La Intervención en los Espacios Libres de la Casa del Médico</t>
        </is>
      </c>
      <c r="J604" s="2" t="inlineStr">
        <is>
          <t>2026/CON_02/000011 - 71/2026</t>
        </is>
      </c>
      <c r="K604" s="2" t="inlineStr">
        <is>
          <t>Abierto simplificado</t>
        </is>
      </c>
      <c r="L604" s="6" t="n">
        <v>2</v>
      </c>
      <c r="M604" s="2" t="n"/>
      <c r="N604" s="7" t="n">
        <v>0</v>
      </c>
      <c r="O604" s="4" t="n"/>
      <c r="P604" s="2" t="inlineStr">
        <is>
          <t>45112710</t>
        </is>
      </c>
      <c r="Q604" s="8" t="inlineStr">
        <is>
          <t>Ver</t>
        </is>
      </c>
      <c r="R604" s="8" t="inlineStr">
        <is>
          <t>PCAP</t>
        </is>
      </c>
      <c r="S604" s="9" t="n">
        <v>46321</v>
      </c>
      <c r="T604" s="3" t="n">
        <v>46318.52</v>
      </c>
      <c r="U604" s="2" t="n"/>
    </row>
    <row r="605">
      <c r="A605" s="2" t="inlineStr">
        <is>
          <t>Pendiente de adjudicación</t>
        </is>
      </c>
      <c r="B605" s="3" t="n">
        <v>46233.99930555555</v>
      </c>
      <c r="C605" s="5" t="n">
        <v>216774.32</v>
      </c>
      <c r="D605" s="5" t="n">
        <v>216774.32</v>
      </c>
      <c r="E605" s="2" t="inlineStr">
        <is>
          <t>Comunitat Valenciana</t>
        </is>
      </c>
      <c r="F605" s="2" t="inlineStr">
        <is>
          <t>Valencia</t>
        </is>
      </c>
      <c r="G605" s="2" t="inlineStr">
        <is>
          <t>Ontinyent</t>
        </is>
      </c>
      <c r="H605" s="2" t="inlineStr">
        <is>
          <t>Alcaldia del Ayuntamiento de Ontinyent</t>
        </is>
      </c>
      <c r="I605" s="2" t="inlineStr">
        <is>
          <t>Contratación de las obras del "Proyecto de reforma de la iluminación y adecuación eléctrica de la pista de atletismo del Polideportivo Municipal de Ontinyent".</t>
        </is>
      </c>
      <c r="J605" s="2" t="inlineStr">
        <is>
          <t>2910703T</t>
        </is>
      </c>
      <c r="K605" s="2" t="inlineStr">
        <is>
          <t>Abierto simplificado</t>
        </is>
      </c>
      <c r="L605" s="6" t="n">
        <v>4</v>
      </c>
      <c r="M605" s="2" t="n"/>
      <c r="N605" s="7" t="n">
        <v>0</v>
      </c>
      <c r="O605" s="4" t="n"/>
      <c r="P605" s="2" t="inlineStr">
        <is>
          <t>45316100; 45310000</t>
        </is>
      </c>
      <c r="Q605" s="8" t="inlineStr">
        <is>
          <t>Ver</t>
        </is>
      </c>
      <c r="R605" s="8" t="inlineStr">
        <is>
          <t>PCAP</t>
        </is>
      </c>
      <c r="S605" s="9" t="n">
        <v>46321</v>
      </c>
      <c r="T605" s="3" t="n">
        <v>46318.51975694444</v>
      </c>
      <c r="U605" s="2" t="n"/>
    </row>
    <row r="606">
      <c r="A606" s="2" t="inlineStr">
        <is>
          <t>En plazo</t>
        </is>
      </c>
      <c r="B606" s="3" t="n">
        <v>46338.99930555555</v>
      </c>
      <c r="C606" s="5" t="n">
        <v>44187.31</v>
      </c>
      <c r="D606" s="5" t="n">
        <v>44187.31</v>
      </c>
      <c r="E606" s="2" t="inlineStr">
        <is>
          <t>Comunitat Valenciana</t>
        </is>
      </c>
      <c r="F606" s="2" t="inlineStr">
        <is>
          <t>Valencia</t>
        </is>
      </c>
      <c r="G606" s="2" t="inlineStr">
        <is>
          <t>Tavernes Blanques</t>
        </is>
      </c>
      <c r="H606" s="2" t="inlineStr">
        <is>
          <t>Alcaldía del Ayuntamiento de Tavernes Blanques</t>
        </is>
      </c>
      <c r="I606" s="2" t="inlineStr">
        <is>
          <t>Mejora de accesibilidad de los aseos púbicos de la biblioteca municipal de Tavernes Blanques</t>
        </is>
      </c>
      <c r="J606" s="2" t="inlineStr">
        <is>
          <t>OB-2026-4</t>
        </is>
      </c>
      <c r="K606" s="2" t="inlineStr">
        <is>
          <t>Abierto simplificado</t>
        </is>
      </c>
      <c r="L606" s="6" t="n">
        <v>1.5</v>
      </c>
      <c r="M606" s="2" t="n"/>
      <c r="N606" s="7" t="n">
        <v>0</v>
      </c>
      <c r="O606" s="4" t="n"/>
      <c r="P606" s="2" t="inlineStr">
        <is>
          <t>45000000; 45215500; 45111100</t>
        </is>
      </c>
      <c r="Q606" s="8" t="inlineStr">
        <is>
          <t>Ver</t>
        </is>
      </c>
      <c r="R606" s="8" t="inlineStr">
        <is>
          <t>PCAP</t>
        </is>
      </c>
      <c r="S606" s="9" t="n">
        <v>46321</v>
      </c>
      <c r="T606" s="3" t="n">
        <v>46318.51635416667</v>
      </c>
      <c r="U606" s="2" t="n"/>
    </row>
    <row r="607">
      <c r="A607" s="2" t="inlineStr">
        <is>
          <t>Resuelta</t>
        </is>
      </c>
      <c r="B607" s="3" t="n">
        <v>46240.58333333334</v>
      </c>
      <c r="C607" s="5" t="n">
        <v>57000</v>
      </c>
      <c r="D607" s="5" t="n">
        <v>68400</v>
      </c>
      <c r="E607" s="2" t="inlineStr">
        <is>
          <t>Comunitat Valenciana</t>
        </is>
      </c>
      <c r="F607" s="2" t="inlineStr">
        <is>
          <t>Valencia</t>
        </is>
      </c>
      <c r="G607" s="2" t="n"/>
      <c r="H607" s="2" t="inlineStr">
        <is>
          <t>Gerencia umivale Activa, Mutua Colaboradora con la Seguridad Social número 3</t>
        </is>
      </c>
      <c r="I607" s="2" t="inlineStr">
        <is>
          <t>Instalación de Placas fotovoltaicas para el centro de umivale Activa en Ontinyent (Llave en mano)</t>
        </is>
      </c>
      <c r="J607" s="2" t="inlineStr">
        <is>
          <t>OBR-26-0234-SOM</t>
        </is>
      </c>
      <c r="K607" s="2" t="inlineStr">
        <is>
          <t>Abierto</t>
        </is>
      </c>
      <c r="L607" s="6" t="n">
        <v>38</v>
      </c>
      <c r="M607" s="2" t="n"/>
      <c r="N607" s="7" t="n">
        <v>0.4</v>
      </c>
      <c r="O607" s="4" t="n"/>
      <c r="P607" s="2" t="inlineStr">
        <is>
          <t>45261215; 45310000; 45259000</t>
        </is>
      </c>
      <c r="Q607" s="8" t="inlineStr">
        <is>
          <t>Ver</t>
        </is>
      </c>
      <c r="R607" s="8" t="inlineStr">
        <is>
          <t>PCAP</t>
        </is>
      </c>
      <c r="S607" s="9" t="n">
        <v>46321</v>
      </c>
      <c r="T607" s="3" t="n">
        <v>46318.51152777778</v>
      </c>
      <c r="U607" s="2" t="n"/>
    </row>
    <row r="608">
      <c r="A608" s="2" t="inlineStr">
        <is>
          <t>Resuelta</t>
        </is>
      </c>
      <c r="B608" s="3" t="n">
        <v>46231.99930555555</v>
      </c>
      <c r="C608" s="5" t="n">
        <v>230737.69</v>
      </c>
      <c r="D608" s="5" t="n">
        <v>230737.69</v>
      </c>
      <c r="E608" s="2" t="inlineStr">
        <is>
          <t>Andalucía</t>
        </is>
      </c>
      <c r="F608" s="2" t="inlineStr">
        <is>
          <t>Huelva</t>
        </is>
      </c>
      <c r="G608" s="2" t="inlineStr">
        <is>
          <t>Cartaya</t>
        </is>
      </c>
      <c r="H608" s="2" t="inlineStr">
        <is>
          <t>Alcaldía del Ayuntamiento de Cartaya</t>
        </is>
      </c>
      <c r="I608" s="2" t="inlineStr">
        <is>
          <t>Obras de reparación y/o restitución de las infraestructuras dañadas en las Calles Alto Buenavista y Escalerilla del Alto en Cartaya (Huelva), Expediente S-32/2026.</t>
        </is>
      </c>
      <c r="J608" s="2" t="inlineStr">
        <is>
          <t>8264/2026</t>
        </is>
      </c>
      <c r="K608" s="2" t="inlineStr">
        <is>
          <t>Abierto simplificado</t>
        </is>
      </c>
      <c r="L608" s="6" t="n">
        <v>6</v>
      </c>
      <c r="M608" s="2" t="n"/>
      <c r="N608" s="7" t="n">
        <v>0.25</v>
      </c>
      <c r="O608" s="4" t="n"/>
      <c r="P608" s="2" t="inlineStr">
        <is>
          <t>45000000; 45233252</t>
        </is>
      </c>
      <c r="Q608" s="8" t="inlineStr">
        <is>
          <t>Ver</t>
        </is>
      </c>
      <c r="R608" s="8" t="inlineStr">
        <is>
          <t>PCAP</t>
        </is>
      </c>
      <c r="S608" s="9" t="n">
        <v>46321</v>
      </c>
      <c r="T608" s="3" t="n">
        <v>46318.50986111111</v>
      </c>
      <c r="U608" s="2" t="n"/>
    </row>
    <row r="609">
      <c r="A609" s="2" t="inlineStr">
        <is>
          <t>En plazo</t>
        </is>
      </c>
      <c r="B609" s="3" t="n">
        <v>46339.54166666666</v>
      </c>
      <c r="C609" s="5" t="n">
        <v>220533.97</v>
      </c>
      <c r="D609" s="5" t="n">
        <v>242587.36</v>
      </c>
      <c r="E609" s="2" t="inlineStr">
        <is>
          <t>Comunitat Valenciana</t>
        </is>
      </c>
      <c r="F609" s="2" t="inlineStr">
        <is>
          <t>Alicante</t>
        </is>
      </c>
      <c r="G609" s="2" t="n"/>
      <c r="H609" s="2" t="inlineStr">
        <is>
          <t>Comité Ejecutivo de la Mancomunidad de los Canales del Taibilla</t>
        </is>
      </c>
      <c r="I609" s="2" t="inlineStr">
        <is>
          <t>Proyecto 02/26 para el amojonamiento de los Canales de Alicante desde el Sifón de Argüeda hasta la Elevación Nº2 de Crevillente (AC/Varios).</t>
        </is>
      </c>
      <c r="J609" s="2" t="inlineStr">
        <is>
          <t>O-02/26-02</t>
        </is>
      </c>
      <c r="K609" s="2" t="inlineStr">
        <is>
          <t>Abierto simplificado</t>
        </is>
      </c>
      <c r="L609" s="6" t="n">
        <v>6</v>
      </c>
      <c r="M609" s="2" t="n"/>
      <c r="N609" s="7" t="n">
        <v>0</v>
      </c>
      <c r="O609" s="4" t="n"/>
      <c r="P609" s="2" t="inlineStr">
        <is>
          <t>45259000</t>
        </is>
      </c>
      <c r="Q609" s="8" t="inlineStr">
        <is>
          <t>Ver</t>
        </is>
      </c>
      <c r="R609" s="8" t="inlineStr">
        <is>
          <t>PCAP</t>
        </is>
      </c>
      <c r="S609" s="9" t="n">
        <v>46321</v>
      </c>
      <c r="T609" s="3" t="n">
        <v>46318.50847222222</v>
      </c>
      <c r="U609" s="2" t="n"/>
    </row>
    <row r="610">
      <c r="A610" s="2" t="inlineStr">
        <is>
          <t>En plazo</t>
        </is>
      </c>
      <c r="B610" s="3" t="n">
        <v>46335.58333333334</v>
      </c>
      <c r="C610" s="5" t="n">
        <v>237874.3</v>
      </c>
      <c r="D610" s="5" t="n">
        <v>237874.3</v>
      </c>
      <c r="E610" s="2" t="inlineStr">
        <is>
          <t>Comunitat Valenciana</t>
        </is>
      </c>
      <c r="F610" s="2" t="inlineStr">
        <is>
          <t>Valencia</t>
        </is>
      </c>
      <c r="G610" s="2" t="inlineStr">
        <is>
          <t>Anna (Valencia)</t>
        </is>
      </c>
      <c r="H610" s="2" t="inlineStr">
        <is>
          <t>Alcaldía del Ayuntamiento de Anna</t>
        </is>
      </c>
      <c r="I610" s="2" t="inlineStr">
        <is>
          <t>Rehabilitación de la zona de anidamiento de aves en la Albufera de Anna</t>
        </is>
      </c>
      <c r="J610" s="2" t="inlineStr">
        <is>
          <t>0659-2026-ANNA</t>
        </is>
      </c>
      <c r="K610" s="2" t="inlineStr">
        <is>
          <t>Abierto simplificado</t>
        </is>
      </c>
      <c r="L610" s="6" t="n">
        <v>3</v>
      </c>
      <c r="M610" s="2" t="n"/>
      <c r="N610" s="7" t="n">
        <v>0</v>
      </c>
      <c r="O610" s="4" t="n"/>
      <c r="P610" s="2" t="inlineStr">
        <is>
          <t>45262640; 45220000; 44111000</t>
        </is>
      </c>
      <c r="Q610" s="8" t="inlineStr">
        <is>
          <t>Ver</t>
        </is>
      </c>
      <c r="R610" s="8" t="inlineStr">
        <is>
          <t>PCAP</t>
        </is>
      </c>
      <c r="S610" s="9" t="n">
        <v>46317</v>
      </c>
      <c r="T610" s="3" t="n">
        <v>46318.508125</v>
      </c>
      <c r="U610" s="2" t="n"/>
    </row>
    <row r="611">
      <c r="A611" s="2" t="inlineStr">
        <is>
          <t>Pendiente de adjudicación</t>
        </is>
      </c>
      <c r="B611" s="3" t="n">
        <v>46315.99930555555</v>
      </c>
      <c r="C611" s="5" t="n">
        <v>627269.4399999999</v>
      </c>
      <c r="D611" s="5" t="n">
        <v>627269.4399999999</v>
      </c>
      <c r="E611" s="2" t="inlineStr">
        <is>
          <t>Comunitat Valenciana</t>
        </is>
      </c>
      <c r="F611" s="2" t="inlineStr">
        <is>
          <t>Valencia</t>
        </is>
      </c>
      <c r="G611" s="2" t="n"/>
      <c r="H611" s="2" t="inlineStr">
        <is>
          <t>Junta de Gobierno del Ayuntamiento de Benaguasil</t>
        </is>
      </c>
      <c r="I611" s="2" t="inlineStr">
        <is>
          <t>Contrato Administrativo Obras reasfaltado de viales urbanos (Lote 1) y reasfaltado de caminos rurales (Lote 2), del término municipal de Benaguasil, subvencionado por la Diputación Provincial de Valencia, Plan Abierto de Inversiones 2024-2027.</t>
        </is>
      </c>
      <c r="J611" s="2" t="inlineStr">
        <is>
          <t>3017766R</t>
        </is>
      </c>
      <c r="K611" s="2" t="inlineStr">
        <is>
          <t>Abierto simplificado</t>
        </is>
      </c>
      <c r="L611" s="6" t="n">
        <v>3</v>
      </c>
      <c r="M611" s="2" t="inlineStr">
        <is>
          <t>G4-3</t>
        </is>
      </c>
      <c r="N611" s="7" t="n">
        <v>0</v>
      </c>
      <c r="O611" s="4" t="n">
        <v>2</v>
      </c>
      <c r="P611" s="2" t="inlineStr">
        <is>
          <t>45233252; 45233251; 45233222</t>
        </is>
      </c>
      <c r="Q611" s="8" t="inlineStr">
        <is>
          <t>Ver</t>
        </is>
      </c>
      <c r="R611" s="8" t="inlineStr">
        <is>
          <t>PCAP</t>
        </is>
      </c>
      <c r="S611" s="9" t="n">
        <v>46321</v>
      </c>
      <c r="T611" s="3" t="n">
        <v>46318.50575231481</v>
      </c>
      <c r="U611" s="2" t="n"/>
    </row>
    <row r="612">
      <c r="A612" s="2" t="inlineStr">
        <is>
          <t>Resuelta</t>
        </is>
      </c>
      <c r="B612" s="3" t="n">
        <v>46204.79166666666</v>
      </c>
      <c r="C612" s="5" t="n">
        <v>283790.3</v>
      </c>
      <c r="D612" s="5" t="n">
        <v>340548.36</v>
      </c>
      <c r="E612" s="2" t="inlineStr">
        <is>
          <t>Comunitat Valenciana</t>
        </is>
      </c>
      <c r="F612" s="2" t="inlineStr">
        <is>
          <t>Valencia</t>
        </is>
      </c>
      <c r="G612" s="2" t="n"/>
      <c r="H612" s="2" t="inlineStr">
        <is>
          <t>Alcaldía del Ayuntamiento de Aldaia</t>
        </is>
      </c>
      <c r="I612" s="2" t="inlineStr">
        <is>
          <t>Mejora de la infraestructuras urbanas del Polígono Industrial el POU</t>
        </is>
      </c>
      <c r="J612" s="2" t="inlineStr">
        <is>
          <t>2025/C-OBRASA/6</t>
        </is>
      </c>
      <c r="K612" s="2" t="inlineStr">
        <is>
          <t>Abierto simplificado</t>
        </is>
      </c>
      <c r="L612" s="6" t="n">
        <v>5</v>
      </c>
      <c r="M612" s="2" t="n"/>
      <c r="N612" s="7" t="n">
        <v>0</v>
      </c>
      <c r="O612" s="4" t="n"/>
      <c r="P612" s="2" t="inlineStr">
        <is>
          <t>45200000; 45222000</t>
        </is>
      </c>
      <c r="Q612" s="8" t="inlineStr">
        <is>
          <t>Ver</t>
        </is>
      </c>
      <c r="R612" s="8" t="inlineStr">
        <is>
          <t>PCAP</t>
        </is>
      </c>
      <c r="S612" s="9" t="n">
        <v>46321</v>
      </c>
      <c r="T612" s="3" t="n">
        <v>46318.50458333334</v>
      </c>
      <c r="U612" s="2" t="n"/>
    </row>
    <row r="613">
      <c r="A613" s="2" t="inlineStr">
        <is>
          <t>Adjudicada</t>
        </is>
      </c>
      <c r="B613" s="3" t="n">
        <v>46245.99930555555</v>
      </c>
      <c r="C613" s="5" t="n">
        <v>269036.85</v>
      </c>
      <c r="D613" s="5" t="n">
        <v>322844.22</v>
      </c>
      <c r="E613" s="2" t="inlineStr">
        <is>
          <t>Andalucía</t>
        </is>
      </c>
      <c r="F613" s="2" t="inlineStr">
        <is>
          <t>Sevilla</t>
        </is>
      </c>
      <c r="G613" s="2" t="n"/>
      <c r="H613" s="2" t="inlineStr">
        <is>
          <t>Vicepresidencia del Instituto Municipal de Deportes del Ayuntamiento de Sevilla</t>
        </is>
      </c>
      <c r="I613" s="2" t="inlineStr">
        <is>
          <t>Obras de renovación del revestimiento del suelo deportivo de las pistas de fútbol sala en varios Centros Deportivos descritos en el punto 1.1.3 del PPT.</t>
        </is>
      </c>
      <c r="J613" s="2" t="inlineStr">
        <is>
          <t>2026/000689</t>
        </is>
      </c>
      <c r="K613" s="2" t="inlineStr">
        <is>
          <t>Abierto simplificado</t>
        </is>
      </c>
      <c r="L613" s="6" t="n">
        <v>2.5</v>
      </c>
      <c r="M613" s="2" t="n"/>
      <c r="N613" s="7" t="n">
        <v>0</v>
      </c>
      <c r="O613" s="4" t="n"/>
      <c r="P613" s="2" t="inlineStr">
        <is>
          <t>45212200; 45432100</t>
        </is>
      </c>
      <c r="Q613" s="8" t="inlineStr">
        <is>
          <t>Ver</t>
        </is>
      </c>
      <c r="R613" s="8" t="inlineStr">
        <is>
          <t>PCAP</t>
        </is>
      </c>
      <c r="S613" s="9" t="n">
        <v>46321</v>
      </c>
      <c r="T613" s="3" t="n">
        <v>46318.49658564815</v>
      </c>
      <c r="U613" s="2" t="n"/>
    </row>
    <row r="614">
      <c r="A614" s="2" t="inlineStr">
        <is>
          <t>En plazo</t>
        </is>
      </c>
      <c r="B614" s="3" t="n">
        <v>46338.99930555555</v>
      </c>
      <c r="C614" s="5" t="n">
        <v>120000</v>
      </c>
      <c r="D614" s="5" t="n">
        <v>120000</v>
      </c>
      <c r="E614" s="2" t="inlineStr">
        <is>
          <t>Andalucía</t>
        </is>
      </c>
      <c r="F614" s="2" t="inlineStr">
        <is>
          <t>Granada</t>
        </is>
      </c>
      <c r="G614" s="2" t="n"/>
      <c r="H614" s="2" t="inlineStr">
        <is>
          <t>Alcaldía del Ayuntamiento de Loja</t>
        </is>
      </c>
      <c r="I614" s="2" t="inlineStr">
        <is>
          <t>Ejecución de las obras para prestar el servicio de instalación, mantenimiento y desmontaje del alumbrado ornamental y de los elementos eléctricos afines para las Fiestas Navideñas 2026/2027.</t>
        </is>
      </c>
      <c r="J614" s="2" t="inlineStr">
        <is>
          <t>2026/4321</t>
        </is>
      </c>
      <c r="K614" s="2" t="inlineStr">
        <is>
          <t>Abierto simplificado</t>
        </is>
      </c>
      <c r="L614" s="6" t="n">
        <v>1.3</v>
      </c>
      <c r="M614" s="2" t="n"/>
      <c r="N614" s="7" t="n">
        <v>0</v>
      </c>
      <c r="O614" s="4" t="n"/>
      <c r="P614" s="2" t="inlineStr">
        <is>
          <t>45311200; 31527200; 31527260; 31680000</t>
        </is>
      </c>
      <c r="Q614" s="8" t="inlineStr">
        <is>
          <t>Ver</t>
        </is>
      </c>
      <c r="R614" s="8" t="inlineStr">
        <is>
          <t>PCAP</t>
        </is>
      </c>
      <c r="S614" s="9" t="n">
        <v>46321</v>
      </c>
      <c r="T614" s="3" t="n">
        <v>46318.49428240741</v>
      </c>
      <c r="U614" s="2" t="n"/>
    </row>
    <row r="615">
      <c r="A615" s="2" t="inlineStr">
        <is>
          <t>Pendiente de adjudicación</t>
        </is>
      </c>
      <c r="B615" s="3" t="n">
        <v>46304.58333333334</v>
      </c>
      <c r="C615" s="5" t="n">
        <v>12000000</v>
      </c>
      <c r="D615" s="5" t="n">
        <v>12000000</v>
      </c>
      <c r="E615" s="2" t="inlineStr">
        <is>
          <t>Andalucía</t>
        </is>
      </c>
      <c r="F615" s="2" t="inlineStr">
        <is>
          <t>Málaga</t>
        </is>
      </c>
      <c r="G615" s="2" t="n"/>
      <c r="H615" s="2" t="inlineStr">
        <is>
          <t>Empresa de Transformación Agraria S.A.,S.M.E., M.P., (TRAGSA)</t>
        </is>
      </c>
      <c r="I615" s="2" t="inlineStr">
        <is>
          <t>Conclusión del Acuerdo Marco para La Contratación de Acuerdo Marco para Alquiler de Maquinaria de Obra Civil, Agrícola y Forestal, y Camiones Para Obras de Construcción y Demolición, dotada de operario, para Las Actuaciones del Ámbito Territorial de La Gerencia Provincial de Tragsa en Málaga</t>
        </is>
      </c>
      <c r="J615" s="2" t="inlineStr">
        <is>
          <t>TSA0084086</t>
        </is>
      </c>
      <c r="K615" s="2" t="inlineStr">
        <is>
          <t>Abierto</t>
        </is>
      </c>
      <c r="L615" s="6" t="n">
        <v>24</v>
      </c>
      <c r="M615" s="2" t="inlineStr">
        <is>
          <t>D*-1; K*-1; A*-1; C*-1; G*-1; E*-1</t>
        </is>
      </c>
      <c r="N615" s="7" t="n">
        <v>0</v>
      </c>
      <c r="O615" s="4" t="n"/>
      <c r="P615" s="2" t="inlineStr">
        <is>
          <t>45500000</t>
        </is>
      </c>
      <c r="Q615" s="8" t="inlineStr">
        <is>
          <t>Ver</t>
        </is>
      </c>
      <c r="R615" s="8" t="inlineStr">
        <is>
          <t>PCAP</t>
        </is>
      </c>
      <c r="S615" s="9" t="n">
        <v>46314</v>
      </c>
      <c r="T615" s="3" t="n">
        <v>46318.48538194445</v>
      </c>
      <c r="U615" s="2" t="n"/>
    </row>
    <row r="616">
      <c r="A616" s="2" t="inlineStr">
        <is>
          <t>Resuelta</t>
        </is>
      </c>
      <c r="B616" s="3" t="n">
        <v>46233.99930555555</v>
      </c>
      <c r="C616" s="5" t="n">
        <v>112031.18</v>
      </c>
      <c r="D616" s="5" t="n">
        <v>112031.18</v>
      </c>
      <c r="E616" s="2" t="inlineStr">
        <is>
          <t>Andalucía</t>
        </is>
      </c>
      <c r="F616" s="2" t="inlineStr">
        <is>
          <t>Granada</t>
        </is>
      </c>
      <c r="G616" s="2" t="n"/>
      <c r="H616" s="2" t="inlineStr">
        <is>
          <t>Alcaldia del Ayuntamiento de Beas de Granada</t>
        </is>
      </c>
      <c r="I616" s="2" t="inlineStr">
        <is>
          <t>obras de reparación de los daños ocasionados por las borrascas «Leonardo» en caminos rurales e infraestructuras municipales de Beas de Granada, divididas en seis lotes</t>
        </is>
      </c>
      <c r="J616" s="2" t="inlineStr">
        <is>
          <t>259/2026</t>
        </is>
      </c>
      <c r="K616" s="2" t="inlineStr">
        <is>
          <t>Abierto simplificado</t>
        </is>
      </c>
      <c r="L616" s="6" t="n">
        <v>2</v>
      </c>
      <c r="M616" s="2" t="n"/>
      <c r="N616" s="7" t="n">
        <v>0</v>
      </c>
      <c r="O616" s="4" t="n">
        <v>6</v>
      </c>
      <c r="P616" s="2" t="inlineStr">
        <is>
          <t>45231000; 45000000; 45220000</t>
        </is>
      </c>
      <c r="Q616" s="8" t="inlineStr">
        <is>
          <t>Ver</t>
        </is>
      </c>
      <c r="R616" s="8" t="inlineStr">
        <is>
          <t>PCAP</t>
        </is>
      </c>
      <c r="S616" s="9" t="n">
        <v>46310</v>
      </c>
      <c r="T616" s="3" t="n">
        <v>46318.48510416667</v>
      </c>
      <c r="U616" s="2" t="inlineStr">
        <is>
          <t>2026-10-26: estado ADJ → RES</t>
        </is>
      </c>
    </row>
    <row r="617">
      <c r="A617" s="2" t="inlineStr">
        <is>
          <t>En plazo</t>
        </is>
      </c>
      <c r="B617" s="3" t="n">
        <v>46337.99930555555</v>
      </c>
      <c r="C617" s="5" t="n">
        <v>324648.81</v>
      </c>
      <c r="D617" s="5" t="n">
        <v>324648.81</v>
      </c>
      <c r="E617" s="2" t="inlineStr">
        <is>
          <t>Comunitat Valenciana</t>
        </is>
      </c>
      <c r="F617" s="2" t="inlineStr">
        <is>
          <t>Valencia</t>
        </is>
      </c>
      <c r="G617" s="2" t="n"/>
      <c r="H617" s="2" t="inlineStr">
        <is>
          <t>Junta de Gobierno del Ayuntamiento de Alzira</t>
        </is>
      </c>
      <c r="I617" s="2" t="inlineStr">
        <is>
          <t>Pavimentación de viales fase 3</t>
        </is>
      </c>
      <c r="J617" s="2" t="inlineStr">
        <is>
          <t>OC-7710/26</t>
        </is>
      </c>
      <c r="K617" s="2" t="inlineStr">
        <is>
          <t>Abierto simplificado</t>
        </is>
      </c>
      <c r="L617" s="6" t="n">
        <v>1</v>
      </c>
      <c r="M617" s="2" t="n"/>
      <c r="N617" s="7" t="n">
        <v>0</v>
      </c>
      <c r="O617" s="4" t="n"/>
      <c r="P617" s="2" t="inlineStr">
        <is>
          <t>45233252</t>
        </is>
      </c>
      <c r="Q617" s="8" t="inlineStr">
        <is>
          <t>Ver</t>
        </is>
      </c>
      <c r="R617" s="8" t="inlineStr">
        <is>
          <t>PCAP</t>
        </is>
      </c>
      <c r="S617" s="9" t="n">
        <v>46318</v>
      </c>
      <c r="T617" s="3" t="n">
        <v>46318.48466435185</v>
      </c>
      <c r="U617" s="2" t="n"/>
    </row>
    <row r="618">
      <c r="A618" s="2" t="inlineStr">
        <is>
          <t>Pendiente de adjudicación</t>
        </is>
      </c>
      <c r="B618" s="3" t="n">
        <v>46280.99930555555</v>
      </c>
      <c r="C618" s="5" t="n">
        <v>205639.8</v>
      </c>
      <c r="D618" s="5" t="n">
        <v>205639.8</v>
      </c>
      <c r="E618" s="2" t="inlineStr">
        <is>
          <t>Comunitat Valenciana</t>
        </is>
      </c>
      <c r="F618" s="2" t="inlineStr">
        <is>
          <t>Alicante</t>
        </is>
      </c>
      <c r="G618" s="2" t="n"/>
      <c r="H618" s="2" t="inlineStr">
        <is>
          <t>Presidencia de la Diputación Provincial de Alicante</t>
        </is>
      </c>
      <c r="I618" s="2" t="inlineStr">
        <is>
          <t>Obras de acondicionamiento de azarbe de Moncada para el Juzgado Privativo de Agua de Callosa de Segura.</t>
        </is>
      </c>
      <c r="J618" s="2" t="inlineStr">
        <is>
          <t>O6S-074/2026</t>
        </is>
      </c>
      <c r="K618" s="2" t="inlineStr">
        <is>
          <t>Abierto simplificado</t>
        </is>
      </c>
      <c r="L618" s="6" t="n">
        <v>3</v>
      </c>
      <c r="M618" s="2" t="n"/>
      <c r="N618" s="7" t="n">
        <v>0.25</v>
      </c>
      <c r="O618" s="4" t="n"/>
      <c r="P618" s="2" t="inlineStr">
        <is>
          <t>45232121</t>
        </is>
      </c>
      <c r="Q618" s="8" t="inlineStr">
        <is>
          <t>Ver</t>
        </is>
      </c>
      <c r="R618" s="8" t="inlineStr">
        <is>
          <t>PCAP</t>
        </is>
      </c>
      <c r="S618" s="9" t="n">
        <v>46321</v>
      </c>
      <c r="T618" s="3" t="n">
        <v>46318.47806712963</v>
      </c>
      <c r="U618" s="2" t="n"/>
    </row>
    <row r="619">
      <c r="A619" s="2" t="inlineStr">
        <is>
          <t>En plazo</t>
        </is>
      </c>
      <c r="B619" s="3" t="n">
        <v>46335.99930555555</v>
      </c>
      <c r="C619" s="5" t="n">
        <v>682807.9300000001</v>
      </c>
      <c r="D619" s="5" t="n">
        <v>819369.52</v>
      </c>
      <c r="E619" s="2" t="inlineStr">
        <is>
          <t>Andalucía</t>
        </is>
      </c>
      <c r="F619" s="2" t="inlineStr">
        <is>
          <t>Almería</t>
        </is>
      </c>
      <c r="G619" s="2" t="n"/>
      <c r="H619" s="2" t="inlineStr">
        <is>
          <t>Presidencia del Consorcio de Residuos Sólidos del Poniente Almeriense</t>
        </is>
      </c>
      <c r="I619"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J619" s="2" t="inlineStr">
        <is>
          <t>2026 1481</t>
        </is>
      </c>
      <c r="K619" s="2" t="inlineStr">
        <is>
          <t>Abierto simplificado</t>
        </is>
      </c>
      <c r="L619" s="6" t="n">
        <v>5</v>
      </c>
      <c r="M619" s="2" t="n"/>
      <c r="N619" s="7" t="n">
        <v>0.25</v>
      </c>
      <c r="O619" s="4" t="n"/>
      <c r="P619" s="2" t="inlineStr">
        <is>
          <t>45112000; 45261420</t>
        </is>
      </c>
      <c r="Q619" s="8" t="inlineStr">
        <is>
          <t>Ver</t>
        </is>
      </c>
      <c r="R619" s="8" t="inlineStr">
        <is>
          <t>PCAP</t>
        </is>
      </c>
      <c r="S619" s="9" t="n">
        <v>46317</v>
      </c>
      <c r="T619" s="3" t="n">
        <v>46318.47765046296</v>
      </c>
      <c r="U619" s="2" t="n"/>
    </row>
    <row r="620">
      <c r="A620" s="2" t="inlineStr">
        <is>
          <t>Resuelta</t>
        </is>
      </c>
      <c r="B620" s="3" t="n">
        <v>46260.99930555555</v>
      </c>
      <c r="C620" s="5" t="n">
        <v>402442.22</v>
      </c>
      <c r="D620" s="5" t="n">
        <v>402442.22</v>
      </c>
      <c r="E620" s="2" t="inlineStr">
        <is>
          <t>Comunitat Valenciana</t>
        </is>
      </c>
      <c r="F620" s="2" t="inlineStr">
        <is>
          <t>Alicante</t>
        </is>
      </c>
      <c r="G620" s="2" t="inlineStr">
        <is>
          <t>Rojales</t>
        </is>
      </c>
      <c r="H620" s="2" t="inlineStr">
        <is>
          <t>Alcaldía del Ayuntamiento de Rojales</t>
        </is>
      </c>
      <c r="I620" s="2" t="inlineStr">
        <is>
          <t>Cambio de cubierta y reforma interior del Mercado de Abastos de Rojales.</t>
        </is>
      </c>
      <c r="J620" s="2" t="inlineStr">
        <is>
          <t>72024-G.913</t>
        </is>
      </c>
      <c r="K620" s="2" t="inlineStr">
        <is>
          <t>Abierto simplificado</t>
        </is>
      </c>
      <c r="L620" s="6" t="n">
        <v>4</v>
      </c>
      <c r="M620" s="2" t="n"/>
      <c r="N620" s="7" t="n">
        <v>0</v>
      </c>
      <c r="O620" s="4" t="n"/>
      <c r="P620" s="2" t="inlineStr">
        <is>
          <t>45211350</t>
        </is>
      </c>
      <c r="Q620" s="8" t="inlineStr">
        <is>
          <t>Ver</t>
        </is>
      </c>
      <c r="R620" s="8" t="inlineStr">
        <is>
          <t>PCAP</t>
        </is>
      </c>
      <c r="S620" s="9" t="n">
        <v>46317</v>
      </c>
      <c r="T620" s="3" t="n">
        <v>46318.47505787037</v>
      </c>
      <c r="U620" s="2" t="inlineStr">
        <is>
          <t>2026-10-26: estado ADJ → RES</t>
        </is>
      </c>
    </row>
    <row r="621">
      <c r="A621" s="2" t="inlineStr">
        <is>
          <t>En plazo</t>
        </is>
      </c>
      <c r="B621" s="3" t="n">
        <v>46344.99930555555</v>
      </c>
      <c r="C621" s="5" t="n">
        <v>2520482.6</v>
      </c>
      <c r="D621" s="5" t="n">
        <v>2520482.6</v>
      </c>
      <c r="E621" s="2" t="inlineStr">
        <is>
          <t>Andalucía</t>
        </is>
      </c>
      <c r="F621" s="2" t="inlineStr">
        <is>
          <t>Málaga</t>
        </is>
      </c>
      <c r="G621" s="2" t="n"/>
      <c r="H621" s="2" t="inlineStr">
        <is>
          <t>Concejalía de Hacienda del Ayuntamiento de Benalmádena</t>
        </is>
      </c>
      <c r="I621" s="2" t="inlineStr">
        <is>
          <t>Plan de Asfaltado 2024 del T.M. de Benalmádena</t>
        </is>
      </c>
      <c r="J621" s="2" t="inlineStr">
        <is>
          <t>2026/60664M</t>
        </is>
      </c>
      <c r="K621" s="2" t="inlineStr">
        <is>
          <t>Abierto</t>
        </is>
      </c>
      <c r="L621" s="6" t="n">
        <v>5</v>
      </c>
      <c r="M621" s="2" t="inlineStr">
        <is>
          <t>G4-5</t>
        </is>
      </c>
      <c r="N621" s="7" t="n">
        <v>0</v>
      </c>
      <c r="O621" s="4" t="n"/>
      <c r="P621" s="2" t="inlineStr">
        <is>
          <t>45233252</t>
        </is>
      </c>
      <c r="Q621" s="8" t="inlineStr">
        <is>
          <t>Ver</t>
        </is>
      </c>
      <c r="R621" s="8" t="inlineStr">
        <is>
          <t>PCAP</t>
        </is>
      </c>
      <c r="S621" s="9" t="n">
        <v>46321</v>
      </c>
      <c r="T621" s="3" t="n">
        <v>46318.47469907408</v>
      </c>
      <c r="U621" s="2" t="n"/>
    </row>
    <row r="622">
      <c r="A622" s="2" t="inlineStr">
        <is>
          <t>Pendiente de adjudicación</t>
        </is>
      </c>
      <c r="B622" s="3" t="n">
        <v>46317.99930555555</v>
      </c>
      <c r="C622" s="5" t="n">
        <v>60846.64</v>
      </c>
      <c r="D622" s="5" t="n">
        <v>66931.3</v>
      </c>
      <c r="E622" s="2" t="inlineStr">
        <is>
          <t>Comunitat Valenciana</t>
        </is>
      </c>
      <c r="F622" s="2" t="inlineStr">
        <is>
          <t>Alicante</t>
        </is>
      </c>
      <c r="G622" s="2" t="inlineStr">
        <is>
          <t>Ondara</t>
        </is>
      </c>
      <c r="H622" s="2" t="inlineStr">
        <is>
          <t>Junta de Gobierno del Ayuntamiento de Ondara</t>
        </is>
      </c>
      <c r="I622" s="2" t="inlineStr">
        <is>
          <t>Pavimentació al barri del Crist i part del camí Vell de Beniarbeig. Pla Inversions 2026 IFS</t>
        </is>
      </c>
      <c r="J622" s="2" t="inlineStr">
        <is>
          <t>2958/2026</t>
        </is>
      </c>
      <c r="K622" s="2" t="inlineStr">
        <is>
          <t>Abierto simplificado</t>
        </is>
      </c>
      <c r="L622" s="6" t="n">
        <v>1.4</v>
      </c>
      <c r="M622" s="2" t="n"/>
      <c r="N622" s="7" t="n">
        <v>0</v>
      </c>
      <c r="O622" s="4" t="n"/>
      <c r="P622" s="2" t="inlineStr">
        <is>
          <t>45233222</t>
        </is>
      </c>
      <c r="Q622" s="8" t="inlineStr">
        <is>
          <t>Ver</t>
        </is>
      </c>
      <c r="R622" s="8" t="inlineStr">
        <is>
          <t>PCAP</t>
        </is>
      </c>
      <c r="S622" s="9" t="n">
        <v>46310</v>
      </c>
      <c r="T622" s="3" t="n">
        <v>46318.4730787037</v>
      </c>
      <c r="U622" s="2" t="inlineStr">
        <is>
          <t>2026-10-26: estado PUB → EV</t>
        </is>
      </c>
    </row>
    <row r="623">
      <c r="A623" s="2" t="inlineStr">
        <is>
          <t>Resuelta</t>
        </is>
      </c>
      <c r="B623" s="3" t="n">
        <v>46237.58333333334</v>
      </c>
      <c r="C623" s="5" t="n">
        <v>251053.84</v>
      </c>
      <c r="D623" s="5" t="n">
        <v>251053.84</v>
      </c>
      <c r="E623" s="2" t="inlineStr">
        <is>
          <t>Andalucía</t>
        </is>
      </c>
      <c r="F623" s="2" t="inlineStr">
        <is>
          <t>Almería</t>
        </is>
      </c>
      <c r="G623" s="2" t="inlineStr">
        <is>
          <t>Adra</t>
        </is>
      </c>
      <c r="H623" s="2" t="inlineStr">
        <is>
          <t>Junta de Gobierno Local del Ayuntamiento de Adra</t>
        </is>
      </c>
      <c r="I623" s="2" t="inlineStr">
        <is>
          <t>Contrato de Obras para la ejecución del Proyecto de "Reparación, Mejora y Remodelación del Acerado del Paseo Marítimo de Adra".</t>
        </is>
      </c>
      <c r="J623" s="2" t="inlineStr">
        <is>
          <t>5611/2026</t>
        </is>
      </c>
      <c r="K623" s="2" t="inlineStr">
        <is>
          <t>Abierto</t>
        </is>
      </c>
      <c r="L623" s="6" t="n">
        <v>4</v>
      </c>
      <c r="M623" s="2" t="n"/>
      <c r="N623" s="7" t="n">
        <v>0.25</v>
      </c>
      <c r="O623" s="4" t="n"/>
      <c r="P623" s="2" t="inlineStr">
        <is>
          <t>45233252; 45233293; 50232100; 45233340</t>
        </is>
      </c>
      <c r="Q623" s="8" t="inlineStr">
        <is>
          <t>Ver</t>
        </is>
      </c>
      <c r="R623" s="8" t="inlineStr">
        <is>
          <t>PCAP</t>
        </is>
      </c>
      <c r="S623" s="9" t="n">
        <v>46321</v>
      </c>
      <c r="T623" s="3" t="n">
        <v>46318.47129629629</v>
      </c>
      <c r="U623" s="2" t="n"/>
    </row>
    <row r="624">
      <c r="A624" s="2" t="inlineStr">
        <is>
          <t>Resuelta</t>
        </is>
      </c>
      <c r="B624" s="3" t="n">
        <v>46212.99930555555</v>
      </c>
      <c r="C624" s="5" t="n">
        <v>81502.66</v>
      </c>
      <c r="D624" s="5" t="n">
        <v>89652.92999999999</v>
      </c>
      <c r="E624" s="2" t="inlineStr">
        <is>
          <t>Andalucía</t>
        </is>
      </c>
      <c r="F624" s="2" t="inlineStr">
        <is>
          <t>Málaga</t>
        </is>
      </c>
      <c r="G624" s="2" t="n"/>
      <c r="H624" s="2" t="inlineStr">
        <is>
          <t>Teniente de Alcalde de Contratación del Ayuntamiento de Antequera</t>
        </is>
      </c>
      <c r="I624" s="2" t="inlineStr">
        <is>
          <t>Obra de renovación del parque infantil del barrio de los Remedios</t>
        </is>
      </c>
      <c r="J624" s="2" t="inlineStr">
        <is>
          <t>2026CONTRA000070</t>
        </is>
      </c>
      <c r="K624" s="2" t="inlineStr">
        <is>
          <t>Abierto simplificado</t>
        </is>
      </c>
      <c r="L624" s="6" t="n">
        <v>3</v>
      </c>
      <c r="M624" s="2" t="n"/>
      <c r="N624" s="7" t="n">
        <v>0.25</v>
      </c>
      <c r="O624" s="4" t="n"/>
      <c r="P624" s="2" t="inlineStr">
        <is>
          <t>45212100</t>
        </is>
      </c>
      <c r="Q624" s="8" t="inlineStr">
        <is>
          <t>Ver</t>
        </is>
      </c>
      <c r="R624" s="8" t="inlineStr">
        <is>
          <t>PCAP</t>
        </is>
      </c>
      <c r="S624" s="9" t="n">
        <v>46310</v>
      </c>
      <c r="T624" s="3" t="n">
        <v>46318.47122685185</v>
      </c>
      <c r="U624" s="2" t="inlineStr">
        <is>
          <t>2026-10-26: estado ADJ → RES</t>
        </is>
      </c>
    </row>
    <row r="625">
      <c r="A625" s="2" t="inlineStr">
        <is>
          <t>Resuelta</t>
        </is>
      </c>
      <c r="B625" s="3" t="n">
        <v>46188.99930555555</v>
      </c>
      <c r="C625" s="5" t="n">
        <v>150413.22</v>
      </c>
      <c r="D625" s="5" t="n">
        <v>150413.22</v>
      </c>
      <c r="E625" s="2" t="inlineStr">
        <is>
          <t>Andalucía</t>
        </is>
      </c>
      <c r="F625" s="2" t="inlineStr">
        <is>
          <t>Córdoba</t>
        </is>
      </c>
      <c r="G625" s="2" t="n"/>
      <c r="H625" s="2" t="inlineStr">
        <is>
          <t>Diputado delegado de Infraestructuras, Sostenibilidad y Agricultura</t>
        </is>
      </c>
      <c r="I625" s="2" t="inlineStr">
        <is>
          <t>Contratación de las obras de mejora y acondicionamiento del Camino "Del Vicario" en Lucena (Córdoba). Obra incluida en el Plan de Humanización de Entornos Urbanos y Agenda Rural 2024-2027. Programa de Agenda Rural (bienio 26-27)</t>
        </is>
      </c>
      <c r="J625" s="2" t="inlineStr">
        <is>
          <t>351/26</t>
        </is>
      </c>
      <c r="K625" s="2" t="inlineStr">
        <is>
          <t>Abierto</t>
        </is>
      </c>
      <c r="L625" s="6" t="n">
        <v>3</v>
      </c>
      <c r="M625" s="2" t="n"/>
      <c r="N625" s="7" t="n">
        <v>0.4</v>
      </c>
      <c r="O625" s="4" t="n"/>
      <c r="P625" s="2" t="inlineStr">
        <is>
          <t>45233160</t>
        </is>
      </c>
      <c r="Q625" s="8" t="inlineStr">
        <is>
          <t>Ver</t>
        </is>
      </c>
      <c r="R625" s="8" t="inlineStr">
        <is>
          <t>PCAP</t>
        </is>
      </c>
      <c r="S625" s="9" t="n">
        <v>46310</v>
      </c>
      <c r="T625" s="3" t="n">
        <v>46318.47100694444</v>
      </c>
      <c r="U625" s="2" t="inlineStr">
        <is>
          <t>2026-10-26: estado ADJ → RES</t>
        </is>
      </c>
    </row>
    <row r="626">
      <c r="A626" s="2" t="inlineStr">
        <is>
          <t>Resuelta</t>
        </is>
      </c>
      <c r="B626" s="3" t="n"/>
      <c r="C626" s="5" t="n">
        <v>12000</v>
      </c>
      <c r="D626" s="5" t="n">
        <v>12000</v>
      </c>
      <c r="E626" s="2" t="inlineStr">
        <is>
          <t>Andalucía</t>
        </is>
      </c>
      <c r="F626" s="2" t="inlineStr">
        <is>
          <t>Granada</t>
        </is>
      </c>
      <c r="G626" s="2" t="inlineStr">
        <is>
          <t>Granada</t>
        </is>
      </c>
      <c r="H626" s="2" t="inlineStr">
        <is>
          <t>Aena. Dirección del Aeropuerto de Granada-Jaén F.G.L.</t>
        </is>
      </c>
      <c r="I626" s="2" t="inlineStr">
        <is>
          <t>Reparación De Marquesina En Parking Público</t>
        </is>
      </c>
      <c r="J626" s="2" t="inlineStr">
        <is>
          <t>GRX-53/2026</t>
        </is>
      </c>
      <c r="K626" s="2" t="inlineStr">
        <is>
          <t>Normas internas</t>
        </is>
      </c>
      <c r="L626" s="6" t="n">
        <v>2</v>
      </c>
      <c r="M626" s="2" t="n"/>
      <c r="N626" s="7" t="n"/>
      <c r="O626" s="4" t="n"/>
      <c r="P626" s="2" t="inlineStr">
        <is>
          <t>45000000</t>
        </is>
      </c>
      <c r="Q626" s="8" t="inlineStr">
        <is>
          <t>Ver</t>
        </is>
      </c>
      <c r="R626" s="2" t="n"/>
      <c r="S626" s="9" t="n">
        <v>46321</v>
      </c>
      <c r="T626" s="3" t="n">
        <v>46318.46438657407</v>
      </c>
      <c r="U626" s="2" t="n"/>
    </row>
    <row r="627">
      <c r="A627" s="2" t="inlineStr">
        <is>
          <t>Adjudicada</t>
        </is>
      </c>
      <c r="B627" s="3" t="n">
        <v>46066.99930555555</v>
      </c>
      <c r="C627" s="5" t="n">
        <v>40261.4</v>
      </c>
      <c r="D627" s="5" t="n">
        <v>40261.4</v>
      </c>
      <c r="E627" s="2" t="inlineStr">
        <is>
          <t>Comunitat Valenciana</t>
        </is>
      </c>
      <c r="F627" s="2" t="inlineStr">
        <is>
          <t>Alicante</t>
        </is>
      </c>
      <c r="G627" s="2" t="n"/>
      <c r="H627" s="2" t="inlineStr">
        <is>
          <t>Presidencia de la Diputación Provincial de Alicante</t>
        </is>
      </c>
      <c r="I627" s="2" t="inlineStr">
        <is>
          <t>Obras de mejora de la eficiencia energética del alumbrado público y de la iluminación de los edificios municipales en Els Poblets.</t>
        </is>
      </c>
      <c r="J627" s="2" t="inlineStr">
        <is>
          <t>O4S-314/2025</t>
        </is>
      </c>
      <c r="K627" s="2" t="inlineStr">
        <is>
          <t>Abierto simplificado</t>
        </is>
      </c>
      <c r="L627" s="6" t="n">
        <v>3</v>
      </c>
      <c r="M627" s="2" t="n"/>
      <c r="N627" s="7" t="n">
        <v>0</v>
      </c>
      <c r="O627" s="4" t="n"/>
      <c r="P627" s="2" t="inlineStr">
        <is>
          <t>45316000; 45315600</t>
        </is>
      </c>
      <c r="Q627" s="8" t="inlineStr">
        <is>
          <t>Ver</t>
        </is>
      </c>
      <c r="R627" s="8" t="inlineStr">
        <is>
          <t>PCAP</t>
        </is>
      </c>
      <c r="S627" s="9" t="n">
        <v>46321</v>
      </c>
      <c r="T627" s="3" t="n">
        <v>46318.46143518519</v>
      </c>
      <c r="U627" s="2" t="n"/>
    </row>
    <row r="628">
      <c r="A628" s="2" t="inlineStr">
        <is>
          <t>Resuelta</t>
        </is>
      </c>
      <c r="B628" s="3" t="n">
        <v>45903.99930555555</v>
      </c>
      <c r="C628" s="5" t="n">
        <v>792704.64</v>
      </c>
      <c r="D628" s="5" t="n">
        <v>792704.64</v>
      </c>
      <c r="E628" s="2" t="inlineStr">
        <is>
          <t>Comunitat Valenciana</t>
        </is>
      </c>
      <c r="F628" s="2" t="inlineStr">
        <is>
          <t>Alicante</t>
        </is>
      </c>
      <c r="G628" s="2" t="inlineStr">
        <is>
          <t>Alicante / Alacant</t>
        </is>
      </c>
      <c r="H628" s="2" t="inlineStr">
        <is>
          <t>Aena. Dirección del Aeropuerto de Alicante-Elche</t>
        </is>
      </c>
      <c r="I628" s="2" t="inlineStr">
        <is>
          <t>Sistema De Control Parking Autobuses Discrecionales En Ps20 Y Bolsa</t>
        </is>
      </c>
      <c r="J628" s="2" t="inlineStr">
        <is>
          <t>ALC-56/2025</t>
        </is>
      </c>
      <c r="K628" s="2" t="inlineStr">
        <is>
          <t>Normas internas</t>
        </is>
      </c>
      <c r="L628" s="6" t="n"/>
      <c r="M628" s="2" t="n"/>
      <c r="N628" s="7" t="n">
        <v>0</v>
      </c>
      <c r="O628" s="4" t="n"/>
      <c r="P628" s="2" t="inlineStr">
        <is>
          <t>45300000</t>
        </is>
      </c>
      <c r="Q628" s="8" t="inlineStr">
        <is>
          <t>Ver</t>
        </is>
      </c>
      <c r="R628" s="8" t="inlineStr">
        <is>
          <t>PCAP</t>
        </is>
      </c>
      <c r="S628" s="9" t="n">
        <v>46321</v>
      </c>
      <c r="T628" s="3" t="n">
        <v>46318.46026620371</v>
      </c>
      <c r="U628" s="2" t="n"/>
    </row>
    <row r="629">
      <c r="A629" s="2" t="inlineStr">
        <is>
          <t>Adjudicada</t>
        </is>
      </c>
      <c r="B629" s="3" t="n">
        <v>46184.5</v>
      </c>
      <c r="C629" s="5" t="n">
        <v>799847.58</v>
      </c>
      <c r="D629" s="5" t="n">
        <v>799847.58</v>
      </c>
      <c r="E629" s="2" t="inlineStr">
        <is>
          <t>Comunitat Valenciana</t>
        </is>
      </c>
      <c r="F629" s="2" t="inlineStr">
        <is>
          <t>Alicante</t>
        </is>
      </c>
      <c r="G629" s="2" t="inlineStr">
        <is>
          <t>Alicante / Alacant</t>
        </is>
      </c>
      <c r="H629" s="2" t="inlineStr">
        <is>
          <t>Aena. Dirección del Aeropuerto de Alicante-Elche</t>
        </is>
      </c>
      <c r="I629" s="2" t="inlineStr">
        <is>
          <t>Adecuación De Aseos Y Caseta Control Parking P1</t>
        </is>
      </c>
      <c r="J629" s="2" t="inlineStr">
        <is>
          <t>ALC-36/2026</t>
        </is>
      </c>
      <c r="K629" s="2" t="inlineStr">
        <is>
          <t>Normas internas</t>
        </is>
      </c>
      <c r="L629" s="6" t="n">
        <v>7</v>
      </c>
      <c r="M629" s="2" t="n"/>
      <c r="N629" s="7" t="n">
        <v>0</v>
      </c>
      <c r="O629" s="4" t="n"/>
      <c r="P629" s="2" t="inlineStr">
        <is>
          <t>45223000</t>
        </is>
      </c>
      <c r="Q629" s="8" t="inlineStr">
        <is>
          <t>Ver</t>
        </is>
      </c>
      <c r="R629" s="8" t="inlineStr">
        <is>
          <t>PCAP</t>
        </is>
      </c>
      <c r="S629" s="9" t="n">
        <v>46321</v>
      </c>
      <c r="T629" s="3" t="n">
        <v>46318.45967592593</v>
      </c>
      <c r="U629" s="2" t="n"/>
    </row>
    <row r="630">
      <c r="A630" s="2" t="inlineStr">
        <is>
          <t>En plazo</t>
        </is>
      </c>
      <c r="B630" s="3" t="n">
        <v>46338.99930555555</v>
      </c>
      <c r="C630" s="5" t="n">
        <v>1900669.71</v>
      </c>
      <c r="D630" s="5" t="n">
        <v>1900669.71</v>
      </c>
      <c r="E630" s="2" t="inlineStr">
        <is>
          <t>Andalucía</t>
        </is>
      </c>
      <c r="F630" s="2" t="inlineStr">
        <is>
          <t>Cádiz</t>
        </is>
      </c>
      <c r="G630" s="2" t="inlineStr">
        <is>
          <t>Puerto Real</t>
        </is>
      </c>
      <c r="H630" s="2" t="inlineStr">
        <is>
          <t>Alcaldía del Ayuntamiento de Puerto Real</t>
        </is>
      </c>
      <c r="I630" s="2" t="inlineStr">
        <is>
          <t>B/006/2026: Ejecución de obras de recuperación integral mediante consolidación estructural del Pabellón municipal de deportes, Plan Cádiz Marcha + 2026.</t>
        </is>
      </c>
      <c r="J630" s="2" t="inlineStr">
        <is>
          <t>13881/2026</t>
        </is>
      </c>
      <c r="K630" s="2" t="inlineStr">
        <is>
          <t>Abierto simplificado</t>
        </is>
      </c>
      <c r="L630" s="6" t="n">
        <v>9</v>
      </c>
      <c r="M630" s="2" t="inlineStr">
        <is>
          <t>C*-4</t>
        </is>
      </c>
      <c r="N630" s="7" t="n">
        <v>0</v>
      </c>
      <c r="O630" s="4" t="n"/>
      <c r="P630" s="2" t="inlineStr">
        <is>
          <t>45200000; 45223210; 45261213; 45261910; 45111000; 45262400</t>
        </is>
      </c>
      <c r="Q630" s="8" t="inlineStr">
        <is>
          <t>Ver</t>
        </is>
      </c>
      <c r="R630" s="8" t="inlineStr">
        <is>
          <t>PCAP</t>
        </is>
      </c>
      <c r="S630" s="9" t="n">
        <v>46321</v>
      </c>
      <c r="T630" s="3" t="n">
        <v>46318.45962962963</v>
      </c>
      <c r="U630" s="2" t="n"/>
    </row>
    <row r="631">
      <c r="A631" s="2" t="inlineStr">
        <is>
          <t>Resuelta</t>
        </is>
      </c>
      <c r="B631" s="3" t="n">
        <v>45967.58333333334</v>
      </c>
      <c r="C631" s="5" t="n">
        <v>103154.21</v>
      </c>
      <c r="D631" s="5" t="n">
        <v>103154.21</v>
      </c>
      <c r="E631" s="2" t="inlineStr">
        <is>
          <t>Andalucía</t>
        </is>
      </c>
      <c r="F631" s="2" t="inlineStr">
        <is>
          <t>Sevilla</t>
        </is>
      </c>
      <c r="G631" s="2" t="n"/>
      <c r="H631" s="2" t="inlineStr">
        <is>
          <t>Alcaldia del Ayuntamiento de Pilas</t>
        </is>
      </c>
      <c r="I631" s="2" t="inlineStr">
        <is>
          <t>Contratación de la ejecución obra, así como suministros (mixto), para proyecto de "Instalación de equipamientos públicos Biosaludables en calle Venezuela n.º 6 de Pilas", incluido en el Plan Provincial Mas Sevilla</t>
        </is>
      </c>
      <c r="J631" s="2" t="inlineStr">
        <is>
          <t>P4107500C-2025/000086-PAAS</t>
        </is>
      </c>
      <c r="K631" s="2" t="inlineStr">
        <is>
          <t>Abierto simplificado</t>
        </is>
      </c>
      <c r="L631" s="6" t="n">
        <v>5</v>
      </c>
      <c r="M631" s="2" t="n"/>
      <c r="N631" s="7" t="n">
        <v>0</v>
      </c>
      <c r="O631" s="4" t="n">
        <v>2</v>
      </c>
      <c r="P631" s="2" t="inlineStr">
        <is>
          <t>45212200</t>
        </is>
      </c>
      <c r="Q631" s="8" t="inlineStr">
        <is>
          <t>Ver</t>
        </is>
      </c>
      <c r="R631" s="8" t="inlineStr">
        <is>
          <t>PCAP</t>
        </is>
      </c>
      <c r="S631" s="9" t="n">
        <v>46321</v>
      </c>
      <c r="T631" s="3" t="n">
        <v>46318.45946759259</v>
      </c>
      <c r="U631" s="2" t="n"/>
    </row>
    <row r="632">
      <c r="A632" s="2" t="inlineStr">
        <is>
          <t>Adjudicada</t>
        </is>
      </c>
      <c r="B632" s="3" t="n">
        <v>45957.99930555555</v>
      </c>
      <c r="C632" s="5" t="n">
        <v>60250</v>
      </c>
      <c r="D632" s="5" t="n">
        <v>60250</v>
      </c>
      <c r="E632" s="2" t="inlineStr">
        <is>
          <t>Andalucía</t>
        </is>
      </c>
      <c r="F632" s="2" t="inlineStr">
        <is>
          <t>Sevilla</t>
        </is>
      </c>
      <c r="G632" s="2" t="n"/>
      <c r="H632" s="2" t="inlineStr">
        <is>
          <t>Teniente Alcalde, Delegado de Contratación del Ayuntamiento de Lebrija</t>
        </is>
      </c>
      <c r="I632" s="2" t="inlineStr">
        <is>
          <t>Contratación de equipos de obras (con conducor) y maquinarias sin conductor para la ejecución del proyecto de pavimentación e infraestructuras en la calle Bosque.</t>
        </is>
      </c>
      <c r="J632" s="2" t="inlineStr">
        <is>
          <t>P4105300J-2025/000215-PAAB</t>
        </is>
      </c>
      <c r="K632" s="2" t="inlineStr">
        <is>
          <t>Abierto simplificado</t>
        </is>
      </c>
      <c r="L632" s="6" t="n">
        <v>6</v>
      </c>
      <c r="M632" s="2" t="n"/>
      <c r="N632" s="7" t="n">
        <v>0</v>
      </c>
      <c r="O632" s="4" t="n">
        <v>11</v>
      </c>
      <c r="P632" s="2" t="inlineStr">
        <is>
          <t>45500000; 60181000; 43300000</t>
        </is>
      </c>
      <c r="Q632" s="8" t="inlineStr">
        <is>
          <t>Ver</t>
        </is>
      </c>
      <c r="R632" s="8" t="inlineStr">
        <is>
          <t>PCAP</t>
        </is>
      </c>
      <c r="S632" s="9" t="n">
        <v>46321</v>
      </c>
      <c r="T632" s="3" t="n">
        <v>46318.45818287037</v>
      </c>
      <c r="U632" s="2" t="n"/>
    </row>
    <row r="633">
      <c r="A633" s="2" t="inlineStr">
        <is>
          <t>Pendiente de adjudicación</t>
        </is>
      </c>
      <c r="B633" s="3" t="n">
        <v>46294.99930555555</v>
      </c>
      <c r="C633" s="5" t="n">
        <v>62800.45</v>
      </c>
      <c r="D633" s="5" t="n">
        <v>62800.45</v>
      </c>
      <c r="E633" s="2" t="inlineStr">
        <is>
          <t>Andalucía</t>
        </is>
      </c>
      <c r="F633" s="2" t="inlineStr">
        <is>
          <t>Sevilla</t>
        </is>
      </c>
      <c r="G633" s="2" t="n"/>
      <c r="H633" s="2" t="inlineStr">
        <is>
          <t>Alcaldía del Ayuntamiento de Coria del Río</t>
        </is>
      </c>
      <c r="I633" s="2" t="inlineStr">
        <is>
          <t>Contrato de Obras de Reforma Salón de Plenos, a adjudicar por procedimiento abierto supersimplificado.</t>
        </is>
      </c>
      <c r="J633" s="2" t="inlineStr">
        <is>
          <t>P4103400J-2026/000308-PAAB</t>
        </is>
      </c>
      <c r="K633" s="2" t="inlineStr">
        <is>
          <t>Abierto simplificado</t>
        </is>
      </c>
      <c r="L633" s="6" t="n">
        <v>3</v>
      </c>
      <c r="M633" s="2" t="n"/>
      <c r="N633" s="7" t="n">
        <v>0</v>
      </c>
      <c r="O633" s="4" t="n"/>
      <c r="P633" s="2" t="inlineStr">
        <is>
          <t>45000000</t>
        </is>
      </c>
      <c r="Q633" s="8" t="inlineStr">
        <is>
          <t>Ver</t>
        </is>
      </c>
      <c r="R633" s="8" t="inlineStr">
        <is>
          <t>PCAP</t>
        </is>
      </c>
      <c r="S633" s="9" t="n">
        <v>46321</v>
      </c>
      <c r="T633" s="3" t="n">
        <v>46318.45640046296</v>
      </c>
      <c r="U633" s="2" t="n"/>
    </row>
    <row r="634">
      <c r="A634" s="2" t="inlineStr">
        <is>
          <t>Resuelta</t>
        </is>
      </c>
      <c r="B634" s="3" t="n">
        <v>45944.58333333334</v>
      </c>
      <c r="C634" s="5" t="n">
        <v>133095.92</v>
      </c>
      <c r="D634" s="5" t="n">
        <v>133095.92</v>
      </c>
      <c r="E634" s="2" t="inlineStr">
        <is>
          <t>Andalucía</t>
        </is>
      </c>
      <c r="F634" s="2" t="inlineStr">
        <is>
          <t>Sevilla</t>
        </is>
      </c>
      <c r="G634" s="2" t="n"/>
      <c r="H634" s="2" t="inlineStr">
        <is>
          <t>Alcaldia del Ayuntamiento de Pilas</t>
        </is>
      </c>
      <c r="I634" s="2" t="inlineStr">
        <is>
          <t>Contratación de la ejecución de la obra de construcción de un carril bici-eje Sur, en avenida Alcalde Jesús Calderón Moreno, incluida en el Plan Provincial MAS SEVILLA</t>
        </is>
      </c>
      <c r="J634" s="2" t="inlineStr">
        <is>
          <t>P4107500C-2025/000076-PAAS</t>
        </is>
      </c>
      <c r="K634" s="2" t="inlineStr">
        <is>
          <t>Abierto simplificado</t>
        </is>
      </c>
      <c r="L634" s="6" t="n">
        <v>4</v>
      </c>
      <c r="M634" s="2" t="n"/>
      <c r="N634" s="7" t="n">
        <v>0</v>
      </c>
      <c r="O634" s="4" t="n"/>
      <c r="P634" s="2" t="inlineStr">
        <is>
          <t>45233162</t>
        </is>
      </c>
      <c r="Q634" s="8" t="inlineStr">
        <is>
          <t>Ver</t>
        </is>
      </c>
      <c r="R634" s="8" t="inlineStr">
        <is>
          <t>PCAP</t>
        </is>
      </c>
      <c r="S634" s="9" t="n">
        <v>46321</v>
      </c>
      <c r="T634" s="3" t="n">
        <v>46318.45438657407</v>
      </c>
      <c r="U634" s="2" t="n"/>
    </row>
    <row r="635">
      <c r="A635" s="2" t="inlineStr">
        <is>
          <t>Resuelta</t>
        </is>
      </c>
      <c r="B635" s="3" t="n">
        <v>46304.375</v>
      </c>
      <c r="C635" s="5" t="n">
        <v>39961.95</v>
      </c>
      <c r="D635" s="5" t="n">
        <v>39961.95</v>
      </c>
      <c r="E635" s="2" t="inlineStr">
        <is>
          <t>Andalucía</t>
        </is>
      </c>
      <c r="F635" s="2" t="inlineStr">
        <is>
          <t>Cádiz</t>
        </is>
      </c>
      <c r="G635" s="2" t="n"/>
      <c r="H635" s="2" t="inlineStr">
        <is>
          <t>Intendente de San Fernando</t>
        </is>
      </c>
      <c r="I635" s="2" t="inlineStr">
        <is>
          <t>INFRA 26-061 CB Obras de resanado y conservación de muro perimetral de la factoría de subsistencias en la PMSC. Lote 7</t>
        </is>
      </c>
      <c r="J635" s="2" t="inlineStr">
        <is>
          <t>2026/AR43U/00002708E</t>
        </is>
      </c>
      <c r="K635" s="2" t="inlineStr">
        <is>
          <t>Abierto</t>
        </is>
      </c>
      <c r="L635" s="6" t="n">
        <v>2</v>
      </c>
      <c r="M635" s="2" t="n"/>
      <c r="N635" s="7" t="n">
        <v>0</v>
      </c>
      <c r="O635" s="4" t="n"/>
      <c r="P635" s="2" t="inlineStr">
        <is>
          <t>45000000</t>
        </is>
      </c>
      <c r="Q635" s="8" t="inlineStr">
        <is>
          <t>Ver</t>
        </is>
      </c>
      <c r="R635" s="8" t="inlineStr">
        <is>
          <t>PCAP</t>
        </is>
      </c>
      <c r="S635" s="9" t="n">
        <v>46315</v>
      </c>
      <c r="T635" s="3" t="n">
        <v>46318.45424768519</v>
      </c>
      <c r="U635" s="2" t="n"/>
    </row>
    <row r="636">
      <c r="A636" s="2" t="inlineStr">
        <is>
          <t>Pendiente de adjudicación</t>
        </is>
      </c>
      <c r="B636" s="3" t="n">
        <v>46308.99930555555</v>
      </c>
      <c r="C636" s="5" t="n">
        <v>111494.92</v>
      </c>
      <c r="D636" s="5" t="n">
        <v>111494.92</v>
      </c>
      <c r="E636" s="2" t="inlineStr">
        <is>
          <t>Comunitat Valenciana</t>
        </is>
      </c>
      <c r="F636" s="2" t="inlineStr">
        <is>
          <t>Alicante</t>
        </is>
      </c>
      <c r="G636" s="2" t="n"/>
      <c r="H636" s="2" t="inlineStr">
        <is>
          <t>Junta de Gobierno del Ayuntamiento de Elche</t>
        </is>
      </c>
      <c r="I636" s="2" t="inlineStr">
        <is>
          <t>Obras de derribo del edificio sito en la calle Ginés García Esquitino nº 101, de Elche.</t>
        </is>
      </c>
      <c r="J636" s="2" t="inlineStr">
        <is>
          <t>OBR/ABR_SMPL/2026000146</t>
        </is>
      </c>
      <c r="K636" s="2" t="inlineStr">
        <is>
          <t>Abierto simplificado</t>
        </is>
      </c>
      <c r="L636" s="6" t="n">
        <v>3</v>
      </c>
      <c r="M636" s="2" t="inlineStr">
        <is>
          <t>C1-1</t>
        </is>
      </c>
      <c r="N636" s="7" t="n">
        <v>0.2</v>
      </c>
      <c r="O636" s="4" t="n"/>
      <c r="P636" s="2" t="inlineStr">
        <is>
          <t>45110000</t>
        </is>
      </c>
      <c r="Q636" s="8" t="inlineStr">
        <is>
          <t>Ver</t>
        </is>
      </c>
      <c r="R636" s="8" t="inlineStr">
        <is>
          <t>PCAP</t>
        </is>
      </c>
      <c r="S636" s="9" t="n">
        <v>46310</v>
      </c>
      <c r="T636" s="3" t="n">
        <v>46318.45091435185</v>
      </c>
      <c r="U636" s="2" t="n"/>
    </row>
    <row r="637">
      <c r="A637" s="2" t="inlineStr">
        <is>
          <t>Resuelta</t>
        </is>
      </c>
      <c r="B637" s="3" t="n">
        <v>46239.99930555555</v>
      </c>
      <c r="C637" s="5" t="n">
        <v>247793.41</v>
      </c>
      <c r="D637" s="5" t="n">
        <v>247793.41</v>
      </c>
      <c r="E637" s="2" t="inlineStr">
        <is>
          <t>Comunitat Valenciana</t>
        </is>
      </c>
      <c r="F637" s="2" t="inlineStr">
        <is>
          <t>Alicante</t>
        </is>
      </c>
      <c r="G637" s="2" t="inlineStr">
        <is>
          <t>Guardamar del Segura</t>
        </is>
      </c>
      <c r="H637" s="2" t="inlineStr">
        <is>
          <t>Alcaldía del Ayuntamiento de Guardamar del Segura</t>
        </is>
      </c>
      <c r="I637" s="2" t="inlineStr">
        <is>
          <t>Contrato administrativo de obras de reducción de la isla de calor del espacio público urbano de la Av. del Mediterráneo mediante estrategias de renaturalización del entorno de la Plaza-Jardín de la Vega Baja en Guardamar del Segura.</t>
        </is>
      </c>
      <c r="J637" s="2" t="inlineStr">
        <is>
          <t>1171/2026</t>
        </is>
      </c>
      <c r="K637" s="2" t="inlineStr">
        <is>
          <t>Abierto simplificado</t>
        </is>
      </c>
      <c r="L637" s="6" t="n">
        <v>6</v>
      </c>
      <c r="M637" s="2" t="n"/>
      <c r="N637" s="7" t="n">
        <v>0</v>
      </c>
      <c r="O637" s="4" t="n"/>
      <c r="P637" s="2" t="inlineStr">
        <is>
          <t>45112700; 45233291; 45233290; 45233200; 45233293; 45233270; 45233262; 45233294</t>
        </is>
      </c>
      <c r="Q637" s="8" t="inlineStr">
        <is>
          <t>Ver</t>
        </is>
      </c>
      <c r="R637" s="8" t="inlineStr">
        <is>
          <t>PCAP</t>
        </is>
      </c>
      <c r="S637" s="9" t="n">
        <v>46321</v>
      </c>
      <c r="T637" s="3" t="n">
        <v>46318.44822916666</v>
      </c>
      <c r="U637" s="2" t="n"/>
    </row>
    <row r="638">
      <c r="A638" s="2" t="inlineStr">
        <is>
          <t>En plazo</t>
        </is>
      </c>
      <c r="B638" s="3" t="n">
        <v>46344.99930555555</v>
      </c>
      <c r="C638" s="5" t="n">
        <v>409179.74</v>
      </c>
      <c r="D638" s="5" t="n">
        <v>409189.74</v>
      </c>
      <c r="E638" s="2" t="inlineStr">
        <is>
          <t>Andalucía</t>
        </is>
      </c>
      <c r="F638" s="2" t="inlineStr">
        <is>
          <t>Málaga</t>
        </is>
      </c>
      <c r="G638" s="2" t="n"/>
      <c r="H638" s="2" t="inlineStr">
        <is>
          <t>Alcaldía del Ayuntamiento de Estepona</t>
        </is>
      </c>
      <c r="I638" s="2" t="inlineStr">
        <is>
          <t>Obras de acondicionamiento parcela destinada a usos múltiples en calle Nueva Atalaya del T.M. de Estepona</t>
        </is>
      </c>
      <c r="J638" s="2" t="inlineStr">
        <is>
          <t>39036/2026</t>
        </is>
      </c>
      <c r="K638" s="2" t="inlineStr">
        <is>
          <t>Abierto</t>
        </is>
      </c>
      <c r="L638" s="6" t="n">
        <v>3</v>
      </c>
      <c r="M638" s="2" t="n"/>
      <c r="N638" s="7" t="n">
        <v>0</v>
      </c>
      <c r="O638" s="4" t="n"/>
      <c r="P638" s="2" t="inlineStr">
        <is>
          <t>45233140; 45233340</t>
        </is>
      </c>
      <c r="Q638" s="8" t="inlineStr">
        <is>
          <t>Ver</t>
        </is>
      </c>
      <c r="R638" s="8" t="inlineStr">
        <is>
          <t>PCAP</t>
        </is>
      </c>
      <c r="S638" s="9" t="n">
        <v>46321</v>
      </c>
      <c r="T638" s="3" t="n">
        <v>46318.44004629629</v>
      </c>
      <c r="U638" s="2" t="n"/>
    </row>
    <row r="639">
      <c r="A639" s="2" t="inlineStr">
        <is>
          <t>Resuelta</t>
        </is>
      </c>
      <c r="B639" s="3" t="n"/>
      <c r="C639" s="5" t="n">
        <v>1704058.49</v>
      </c>
      <c r="D639" s="5" t="n">
        <v>2061910.78</v>
      </c>
      <c r="E639" s="2" t="inlineStr">
        <is>
          <t>Andalucía</t>
        </is>
      </c>
      <c r="F639" s="2" t="inlineStr">
        <is>
          <t>Granada</t>
        </is>
      </c>
      <c r="G639" s="2" t="n"/>
      <c r="H639" s="2" t="inlineStr">
        <is>
          <t>Demarcación de Carreteras del Estado en Andalucía Oriental</t>
        </is>
      </c>
      <c r="I639" s="2" t="inlineStr">
        <is>
          <t>Estabilización de taludes en la N-323 entre los PP.KK. 57+770 y 57+840, margen derecho e izquierdo, en el T.M de Cárcheres; en la A-44: entre los PP.KK. 56+670 y 56+700, mi y en el P.K. 57+350, MI en el T.M. de Pegalajar ; entre los PP.KK. 69+390 y 69+470, md y entre el PP.KK. 76+620 y 76+720 , M.D, el T.M. Campillo de Arenas, provincia de Jaén, LOTE 3-Clave: 38-J-260007</t>
        </is>
      </c>
      <c r="J639" s="2" t="inlineStr">
        <is>
          <t>EM38-J-260007.L3</t>
        </is>
      </c>
      <c r="K639" s="2" t="inlineStr">
        <is>
          <t>Negociado sin publicidad</t>
        </is>
      </c>
      <c r="L639" s="6" t="n">
        <v>6</v>
      </c>
      <c r="M639" s="2" t="n"/>
      <c r="N639" s="7" t="n"/>
      <c r="O639" s="4" t="n"/>
      <c r="P639" s="2" t="inlineStr">
        <is>
          <t>45000000</t>
        </is>
      </c>
      <c r="Q639" s="8" t="inlineStr">
        <is>
          <t>Ver</t>
        </is>
      </c>
      <c r="R639" s="2" t="n"/>
      <c r="S639" s="9" t="n">
        <v>46321</v>
      </c>
      <c r="T639" s="3" t="n">
        <v>46318.43965277778</v>
      </c>
      <c r="U639" s="2" t="n"/>
    </row>
    <row r="640">
      <c r="A640" s="2" t="inlineStr">
        <is>
          <t>Resuelta</t>
        </is>
      </c>
      <c r="B640" s="3" t="n">
        <v>46269.99930555555</v>
      </c>
      <c r="C640" s="5" t="n">
        <v>66173.63</v>
      </c>
      <c r="D640" s="5" t="n">
        <v>66173.63</v>
      </c>
      <c r="E640" s="2" t="inlineStr">
        <is>
          <t>Comunitat Valenciana</t>
        </is>
      </c>
      <c r="F640" s="2" t="inlineStr">
        <is>
          <t>Valencia</t>
        </is>
      </c>
      <c r="G640" s="2" t="inlineStr">
        <is>
          <t>Cullera</t>
        </is>
      </c>
      <c r="H640" s="2" t="inlineStr">
        <is>
          <t>Alcaldía del Ayuntamiento de Cullera</t>
        </is>
      </c>
      <c r="I640" s="2" t="inlineStr">
        <is>
          <t>Obras de ejecución de 48 nichos de 160 cm de anchura y urbanización para ampliación de bloque en Departamento Parte Nueva</t>
        </is>
      </c>
      <c r="J640" s="2" t="inlineStr">
        <is>
          <t>2877471N</t>
        </is>
      </c>
      <c r="K640" s="2" t="inlineStr">
        <is>
          <t>Abierto simplificado</t>
        </is>
      </c>
      <c r="L640" s="6" t="n">
        <v>3</v>
      </c>
      <c r="M640" s="2" t="n"/>
      <c r="N640" s="7" t="n">
        <v>0</v>
      </c>
      <c r="O640" s="4" t="n"/>
      <c r="P640" s="2" t="inlineStr">
        <is>
          <t>45000000; 45223500</t>
        </is>
      </c>
      <c r="Q640" s="8" t="inlineStr">
        <is>
          <t>Ver</t>
        </is>
      </c>
      <c r="R640" s="8" t="inlineStr">
        <is>
          <t>PCAP</t>
        </is>
      </c>
      <c r="S640" s="9" t="n">
        <v>46314</v>
      </c>
      <c r="T640" s="3" t="n">
        <v>46318.43744212963</v>
      </c>
      <c r="U640" s="2" t="inlineStr">
        <is>
          <t>2026-10-26: estado EV → RES</t>
        </is>
      </c>
    </row>
    <row r="641">
      <c r="A641" s="2" t="inlineStr">
        <is>
          <t>Resuelta</t>
        </is>
      </c>
      <c r="B641" s="3" t="n"/>
      <c r="C641" s="5" t="n">
        <v>512357.61</v>
      </c>
      <c r="D641" s="5" t="n">
        <v>619952.71</v>
      </c>
      <c r="E641" s="2" t="inlineStr">
        <is>
          <t>Andalucía</t>
        </is>
      </c>
      <c r="F641" s="2" t="inlineStr">
        <is>
          <t>Granada</t>
        </is>
      </c>
      <c r="G641" s="2" t="n"/>
      <c r="H641" s="2" t="inlineStr">
        <is>
          <t>Demarcación de Carreteras del Estado en Andalucía Oriental</t>
        </is>
      </c>
      <c r="I641" s="2" t="inlineStr">
        <is>
          <t>Obras de Estabilización de talud entre los PP.KK. 61+845 y 61+915, margen izquierdo de la N-323, en el T.M. de Cárcheles, y adecuación del drenaje en la margen derecha del enlace 67 de la A-44, en el T.M de Campillo de Arenas, para garantizar la seguridad viaria, subsanando la situación de grave peligro existente Lote2-Clave 38-J-260007</t>
        </is>
      </c>
      <c r="J641" s="2" t="inlineStr">
        <is>
          <t>EM38-J-260007.L2</t>
        </is>
      </c>
      <c r="K641" s="2" t="inlineStr">
        <is>
          <t>Negociado sin publicidad</t>
        </is>
      </c>
      <c r="L641" s="6" t="n">
        <v>6</v>
      </c>
      <c r="M641" s="2" t="n"/>
      <c r="N641" s="7" t="n"/>
      <c r="O641" s="4" t="n"/>
      <c r="P641" s="2" t="inlineStr">
        <is>
          <t>45000000</t>
        </is>
      </c>
      <c r="Q641" s="8" t="inlineStr">
        <is>
          <t>Ver</t>
        </is>
      </c>
      <c r="R641" s="2" t="n"/>
      <c r="S641" s="9" t="n">
        <v>46321</v>
      </c>
      <c r="T641" s="3" t="n">
        <v>46318.43638888889</v>
      </c>
      <c r="U641" s="2" t="n"/>
    </row>
    <row r="642">
      <c r="A642" s="2" t="inlineStr">
        <is>
          <t>Resuelta</t>
        </is>
      </c>
      <c r="B642" s="3" t="n">
        <v>46303.45833333334</v>
      </c>
      <c r="C642" s="5" t="n">
        <v>60000</v>
      </c>
      <c r="D642" s="5" t="n">
        <v>60000</v>
      </c>
      <c r="E642" s="2" t="inlineStr">
        <is>
          <t>Andalucía</t>
        </is>
      </c>
      <c r="F642" s="2" t="inlineStr">
        <is>
          <t>Málaga</t>
        </is>
      </c>
      <c r="G642" s="2" t="n"/>
      <c r="H642" s="2" t="inlineStr">
        <is>
          <t>Rectorado de la Universidad de Málaga</t>
        </is>
      </c>
      <c r="I642" s="2" t="inlineStr">
        <is>
          <t>Obras para la Adecuación a la Normativa Vigente y Adaptación Funcional de los Ascensores de la Universidad de Málaga</t>
        </is>
      </c>
      <c r="J642" s="2" t="inlineStr">
        <is>
          <t>OB.04/2026PASS</t>
        </is>
      </c>
      <c r="K642" s="2" t="inlineStr">
        <is>
          <t>Abierto simplificado</t>
        </is>
      </c>
      <c r="L642" s="6" t="n">
        <v>1</v>
      </c>
      <c r="M642" s="2" t="n"/>
      <c r="N642" s="7" t="n">
        <v>0</v>
      </c>
      <c r="O642" s="4" t="n"/>
      <c r="P642" s="2" t="inlineStr">
        <is>
          <t>45313100</t>
        </is>
      </c>
      <c r="Q642" s="8" t="inlineStr">
        <is>
          <t>Ver</t>
        </is>
      </c>
      <c r="R642" s="8" t="inlineStr">
        <is>
          <t>PCAP</t>
        </is>
      </c>
      <c r="S642" s="9" t="n">
        <v>46317</v>
      </c>
      <c r="T642" s="3" t="n">
        <v>46318.4343287037</v>
      </c>
      <c r="U642" s="2" t="inlineStr">
        <is>
          <t>2026-10-26: estado ADJ → RES</t>
        </is>
      </c>
    </row>
    <row r="643">
      <c r="A643" s="2" t="inlineStr">
        <is>
          <t>Resuelta</t>
        </is>
      </c>
      <c r="B643" s="3" t="n"/>
      <c r="C643" s="5" t="n">
        <v>437569.04</v>
      </c>
      <c r="D643" s="5" t="n">
        <v>529458.55</v>
      </c>
      <c r="E643" s="2" t="inlineStr">
        <is>
          <t>Andalucía</t>
        </is>
      </c>
      <c r="F643" s="2" t="inlineStr">
        <is>
          <t>Granada</t>
        </is>
      </c>
      <c r="G643" s="2" t="n"/>
      <c r="H643" s="2" t="inlineStr">
        <is>
          <t>Demarcación de Carreteras del Estado en Andalucía Oriental</t>
        </is>
      </c>
      <c r="I643" s="2" t="inlineStr">
        <is>
          <t>Reparación de taludes y sistemas de drenaje en la autovía A-44, entre los PP.KK. 68+930 Y 69+050, margen derecho, en el T.M de Campillo de Arenas</t>
        </is>
      </c>
      <c r="J643" s="2" t="inlineStr">
        <is>
          <t>EM38-J-260007.L1</t>
        </is>
      </c>
      <c r="K643" s="2" t="inlineStr">
        <is>
          <t>Negociado sin publicidad</t>
        </is>
      </c>
      <c r="L643" s="6" t="n">
        <v>6</v>
      </c>
      <c r="M643" s="2" t="n"/>
      <c r="N643" s="7" t="n"/>
      <c r="O643" s="4" t="n"/>
      <c r="P643" s="2" t="inlineStr">
        <is>
          <t>45000000</t>
        </is>
      </c>
      <c r="Q643" s="8" t="inlineStr">
        <is>
          <t>Ver</t>
        </is>
      </c>
      <c r="R643" s="2" t="n"/>
      <c r="S643" s="9" t="n">
        <v>46321</v>
      </c>
      <c r="T643" s="3" t="n">
        <v>46318.43349537037</v>
      </c>
      <c r="U643" s="2" t="n"/>
    </row>
    <row r="644">
      <c r="A644" s="2" t="inlineStr">
        <is>
          <t>Pendiente de adjudicación</t>
        </is>
      </c>
      <c r="B644" s="3" t="n">
        <v>46286.99930555555</v>
      </c>
      <c r="C644" s="5" t="n">
        <v>41576.65</v>
      </c>
      <c r="D644" s="5" t="n">
        <v>41576.65</v>
      </c>
      <c r="E644" s="2" t="inlineStr">
        <is>
          <t>Comunitat Valenciana</t>
        </is>
      </c>
      <c r="F644" s="2" t="inlineStr">
        <is>
          <t>Alicante</t>
        </is>
      </c>
      <c r="G644" s="2" t="n"/>
      <c r="H644" s="2" t="inlineStr">
        <is>
          <t>Presidencia de la Diputación Provincial de Alicante</t>
        </is>
      </c>
      <c r="I644" s="2" t="inlineStr">
        <is>
          <t>Obras de mejora de las instalaciones de control para el uso del agua procedente del terciario de la EDAR de Rincón de León para la Comunidad de Regantes Tercero de Levante de Elche.</t>
        </is>
      </c>
      <c r="J644" s="2" t="inlineStr">
        <is>
          <t>O4S-080/2026</t>
        </is>
      </c>
      <c r="K644" s="2" t="inlineStr">
        <is>
          <t>Abierto simplificado</t>
        </is>
      </c>
      <c r="L644" s="6" t="n">
        <v>1</v>
      </c>
      <c r="M644" s="2" t="n"/>
      <c r="N644" s="7" t="n">
        <v>0.2</v>
      </c>
      <c r="O644" s="4" t="n"/>
      <c r="P644" s="2" t="inlineStr">
        <is>
          <t>45314000</t>
        </is>
      </c>
      <c r="Q644" s="8" t="inlineStr">
        <is>
          <t>Ver</t>
        </is>
      </c>
      <c r="R644" s="8" t="inlineStr">
        <is>
          <t>PCAP</t>
        </is>
      </c>
      <c r="S644" s="9" t="n">
        <v>46321</v>
      </c>
      <c r="T644" s="3" t="n">
        <v>46318.42913194445</v>
      </c>
      <c r="U644" s="2" t="n"/>
    </row>
    <row r="645">
      <c r="A645" s="2" t="inlineStr">
        <is>
          <t>Pendiente de adjudicación</t>
        </is>
      </c>
      <c r="B645" s="3" t="n">
        <v>46295.99930555555</v>
      </c>
      <c r="C645" s="5" t="n">
        <v>0</v>
      </c>
      <c r="D645" s="5" t="n">
        <v>1402059.56</v>
      </c>
      <c r="E645" s="2" t="inlineStr">
        <is>
          <t>Comunitat Valenciana</t>
        </is>
      </c>
      <c r="F645" s="2" t="inlineStr">
        <is>
          <t>Valencia</t>
        </is>
      </c>
      <c r="G645" s="2" t="n"/>
      <c r="H645" s="2" t="inlineStr">
        <is>
          <t>Junta de Gobierno del Ajuntament de València</t>
        </is>
      </c>
      <c r="I645" s="2" t="inlineStr">
        <is>
          <t>Ejecución de las obras del Proyecto modificado de reforma de carpinterías en fachada norte del Parque de Bomberos de El Saler y del Proyecto de Diversas obras en los distintos Parques del Departamento de Bomberos, Prevención, Intervención en Emergencias y Protección Civil, (divido en dos lotes). --</t>
        </is>
      </c>
      <c r="J645" s="2" t="inlineStr">
        <is>
          <t>04101/2026/125-O</t>
        </is>
      </c>
      <c r="K645" s="2" t="inlineStr">
        <is>
          <t>Abierto</t>
        </is>
      </c>
      <c r="L645" s="6" t="n">
        <v>6</v>
      </c>
      <c r="M645" s="2" t="n"/>
      <c r="N645" s="7" t="n">
        <v>0.49</v>
      </c>
      <c r="O645" s="4" t="n">
        <v>2</v>
      </c>
      <c r="P645" s="2" t="inlineStr">
        <is>
          <t>45216100; 45216128</t>
        </is>
      </c>
      <c r="Q645" s="8" t="inlineStr">
        <is>
          <t>Ver</t>
        </is>
      </c>
      <c r="R645" s="8" t="inlineStr">
        <is>
          <t>PCAP</t>
        </is>
      </c>
      <c r="S645" s="9" t="n">
        <v>46314</v>
      </c>
      <c r="T645" s="3" t="n">
        <v>46318.428125</v>
      </c>
      <c r="U645" s="2" t="n"/>
    </row>
    <row r="646">
      <c r="A646" s="2" t="inlineStr">
        <is>
          <t>Resuelta</t>
        </is>
      </c>
      <c r="B646" s="3" t="n">
        <v>46290.45833333334</v>
      </c>
      <c r="C646" s="5" t="n">
        <v>29702.4</v>
      </c>
      <c r="D646" s="5" t="n">
        <v>29702.4</v>
      </c>
      <c r="E646" s="2" t="inlineStr">
        <is>
          <t>Comunitat Valenciana</t>
        </is>
      </c>
      <c r="F646" s="2" t="inlineStr">
        <is>
          <t>Alicante</t>
        </is>
      </c>
      <c r="G646" s="2" t="inlineStr">
        <is>
          <t>Alicante</t>
        </is>
      </c>
      <c r="H646" s="2" t="inlineStr">
        <is>
          <t>Jefatura de Intendencia de Asuntos Económicos Este</t>
        </is>
      </c>
      <c r="I646" s="2" t="inlineStr">
        <is>
          <t>USAC Alférez Rojas. Sustitución Ventanas en Edificios E0012 y E0013 por Mejora Eficiencia Energética en Acto. Alicante.</t>
        </is>
      </c>
      <c r="J646" s="2" t="inlineStr">
        <is>
          <t>2026/ETSAE0327/00005707E</t>
        </is>
      </c>
      <c r="K646" s="2" t="inlineStr">
        <is>
          <t>Abierto</t>
        </is>
      </c>
      <c r="L646" s="6" t="n">
        <v>1</v>
      </c>
      <c r="M646" s="2" t="n"/>
      <c r="N646" s="7" t="n">
        <v>0</v>
      </c>
      <c r="O646" s="4" t="n"/>
      <c r="P646" s="2" t="inlineStr">
        <is>
          <t>45421132</t>
        </is>
      </c>
      <c r="Q646" s="8" t="inlineStr">
        <is>
          <t>Ver</t>
        </is>
      </c>
      <c r="R646" s="8" t="inlineStr">
        <is>
          <t>PCAP</t>
        </is>
      </c>
      <c r="S646" s="9" t="n">
        <v>46321</v>
      </c>
      <c r="T646" s="3" t="n">
        <v>46318.42716435185</v>
      </c>
      <c r="U646" s="2" t="n"/>
    </row>
    <row r="647">
      <c r="A647" s="2" t="inlineStr">
        <is>
          <t>Resuelta</t>
        </is>
      </c>
      <c r="B647" s="3" t="n">
        <v>46225.5</v>
      </c>
      <c r="C647" s="5" t="n">
        <v>94260.33</v>
      </c>
      <c r="D647" s="5" t="n">
        <v>94260.33</v>
      </c>
      <c r="E647" s="2" t="inlineStr">
        <is>
          <t>Andalucía</t>
        </is>
      </c>
      <c r="F647" s="2" t="inlineStr">
        <is>
          <t>Málaga</t>
        </is>
      </c>
      <c r="G647" s="2" t="inlineStr">
        <is>
          <t>Casares (Málaga)</t>
        </is>
      </c>
      <c r="H647" s="2" t="inlineStr">
        <is>
          <t>Junta de Gobierno del Ayuntamiento de Casares</t>
        </is>
      </c>
      <c r="I647" s="2" t="inlineStr">
        <is>
          <t>"Arreglo camino la jordana. Caminos públicos: Jordana, Loma Matutes y Caules. T.M. de Casares (Málaga)"</t>
        </is>
      </c>
      <c r="J647" s="2" t="inlineStr">
        <is>
          <t>1403/2026</t>
        </is>
      </c>
      <c r="K647" s="2" t="inlineStr">
        <is>
          <t>Abierto simplificado</t>
        </is>
      </c>
      <c r="L647" s="6" t="n">
        <v>2</v>
      </c>
      <c r="M647" s="2" t="n"/>
      <c r="N647" s="7" t="n">
        <v>0</v>
      </c>
      <c r="O647" s="4" t="n"/>
      <c r="P647" s="2" t="inlineStr">
        <is>
          <t>45233222; 45233223</t>
        </is>
      </c>
      <c r="Q647" s="8" t="inlineStr">
        <is>
          <t>Ver</t>
        </is>
      </c>
      <c r="R647" s="8" t="inlineStr">
        <is>
          <t>PCAP</t>
        </is>
      </c>
      <c r="S647" s="9" t="n">
        <v>46318</v>
      </c>
      <c r="T647" s="3" t="n">
        <v>46318.4253587963</v>
      </c>
      <c r="U647" s="2" t="inlineStr">
        <is>
          <t>2026-10-26: estado ADJ → RES</t>
        </is>
      </c>
    </row>
    <row r="648">
      <c r="A648" s="2" t="inlineStr">
        <is>
          <t>En plazo</t>
        </is>
      </c>
      <c r="B648" s="3" t="n">
        <v>46344.99930555555</v>
      </c>
      <c r="C648" s="5" t="n">
        <v>2292565.93</v>
      </c>
      <c r="D648" s="5" t="n">
        <v>2292565.93</v>
      </c>
      <c r="E648" s="2" t="inlineStr">
        <is>
          <t>Comunitat Valenciana</t>
        </is>
      </c>
      <c r="F648" s="2" t="inlineStr">
        <is>
          <t>Valencia</t>
        </is>
      </c>
      <c r="G648" s="2" t="n"/>
      <c r="H648" s="2" t="inlineStr">
        <is>
          <t>Pleno del Ayuntamiento de Carlet</t>
        </is>
      </c>
      <c r="I648" s="2" t="inlineStr">
        <is>
          <t>Obras de restitución de la red de saneamiento y pluviales del barrio del Cortijo y reposición de pluviales en la calle Rafael Peris, financiadas con cargo al Fondo de Solidaridad de la Unión Europea</t>
        </is>
      </c>
      <c r="J648" s="2" t="inlineStr">
        <is>
          <t>3126/2026</t>
        </is>
      </c>
      <c r="K648" s="2" t="inlineStr">
        <is>
          <t>Abierto</t>
        </is>
      </c>
      <c r="L648" s="6" t="n">
        <v>9</v>
      </c>
      <c r="M648" s="2" t="inlineStr">
        <is>
          <t>E*-4</t>
        </is>
      </c>
      <c r="N648" s="7" t="n">
        <v>0</v>
      </c>
      <c r="O648" s="4" t="n"/>
      <c r="P648" s="2" t="inlineStr">
        <is>
          <t>45240000; 45232440; 45233200; 45232150</t>
        </is>
      </c>
      <c r="Q648" s="8" t="inlineStr">
        <is>
          <t>Ver</t>
        </is>
      </c>
      <c r="R648" s="8" t="inlineStr">
        <is>
          <t>PCAP</t>
        </is>
      </c>
      <c r="S648" s="9" t="n">
        <v>46321</v>
      </c>
      <c r="T648" s="3" t="n">
        <v>46318.42034722222</v>
      </c>
      <c r="U648" s="2" t="n"/>
    </row>
    <row r="649">
      <c r="A649" s="2" t="inlineStr">
        <is>
          <t>Pendiente de adjudicación</t>
        </is>
      </c>
      <c r="B649" s="3" t="n">
        <v>46308.5</v>
      </c>
      <c r="C649" s="5" t="n">
        <v>88488.39999999999</v>
      </c>
      <c r="D649" s="5" t="n">
        <v>88488.39999999999</v>
      </c>
      <c r="E649" s="2" t="inlineStr">
        <is>
          <t>Comunitat Valenciana</t>
        </is>
      </c>
      <c r="F649" s="2" t="inlineStr">
        <is>
          <t>Castellón</t>
        </is>
      </c>
      <c r="G649" s="2" t="inlineStr">
        <is>
          <t>Alfondeguilla</t>
        </is>
      </c>
      <c r="H649" s="2" t="inlineStr">
        <is>
          <t>Pleno del Ayuntamiento de Alfondeguilla</t>
        </is>
      </c>
      <c r="I649" s="2" t="inlineStr">
        <is>
          <t>Obra "acondicionamiento del acceso a la piscina municipal y casal jove de Alfondeguilla”</t>
        </is>
      </c>
      <c r="J649" s="2" t="inlineStr">
        <is>
          <t>310/2026</t>
        </is>
      </c>
      <c r="K649" s="2" t="inlineStr">
        <is>
          <t>Abierto simplificado</t>
        </is>
      </c>
      <c r="L649" s="6" t="n">
        <v>3</v>
      </c>
      <c r="M649" s="2" t="n"/>
      <c r="N649" s="7" t="n">
        <v>0</v>
      </c>
      <c r="O649" s="4" t="n"/>
      <c r="P649" s="2" t="inlineStr">
        <is>
          <t>45233252; 45212000; 45200000</t>
        </is>
      </c>
      <c r="Q649" s="8" t="inlineStr">
        <is>
          <t>Ver</t>
        </is>
      </c>
      <c r="R649" s="8" t="inlineStr">
        <is>
          <t>PCAP</t>
        </is>
      </c>
      <c r="S649" s="9" t="n">
        <v>46310</v>
      </c>
      <c r="T649" s="3" t="n">
        <v>46318.4194212963</v>
      </c>
      <c r="U649" s="2" t="n"/>
    </row>
    <row r="650">
      <c r="A650" s="2" t="inlineStr">
        <is>
          <t>Pendiente de adjudicación</t>
        </is>
      </c>
      <c r="B650" s="3" t="n">
        <v>46190.58333333334</v>
      </c>
      <c r="C650" s="5" t="n">
        <v>1116618.11</v>
      </c>
      <c r="D650" s="5" t="n">
        <v>1228279.92</v>
      </c>
      <c r="E650" s="2" t="inlineStr">
        <is>
          <t>Comunitat Valenciana</t>
        </is>
      </c>
      <c r="F650" s="2" t="inlineStr">
        <is>
          <t>Alicante</t>
        </is>
      </c>
      <c r="G650" s="2" t="n"/>
      <c r="H650" s="2" t="inlineStr">
        <is>
          <t>Vicepresidencia del Consejo de Administración de la Entidad Pública de Saneamiento de Aguas Residuales de la Comunidad Valenciana</t>
        </is>
      </c>
      <c r="I650" s="2" t="inlineStr">
        <is>
          <t>Ejecución de las obras de construcción del tratamiento terciario de la EDAR de Xixona (Alicante)</t>
        </is>
      </c>
      <c r="J650" s="2" t="inlineStr">
        <is>
          <t>CMAYOR/2026/EPSAR/0078</t>
        </is>
      </c>
      <c r="K650" s="2" t="inlineStr">
        <is>
          <t>Abierto simplificado</t>
        </is>
      </c>
      <c r="L650" s="6" t="n">
        <v>12</v>
      </c>
      <c r="M650" s="2" t="inlineStr">
        <is>
          <t>K8-4</t>
        </is>
      </c>
      <c r="N650" s="7" t="n">
        <v>0</v>
      </c>
      <c r="O650" s="4" t="n"/>
      <c r="P650" s="2" t="inlineStr">
        <is>
          <t>45232420</t>
        </is>
      </c>
      <c r="Q650" s="8" t="inlineStr">
        <is>
          <t>Ver</t>
        </is>
      </c>
      <c r="R650" s="8" t="inlineStr">
        <is>
          <t>PCAP</t>
        </is>
      </c>
      <c r="S650" s="9" t="n">
        <v>46321</v>
      </c>
      <c r="T650" s="3" t="n">
        <v>46318.41640046296</v>
      </c>
      <c r="U650" s="2" t="n"/>
    </row>
    <row r="651">
      <c r="A651" s="2" t="inlineStr">
        <is>
          <t>Pendiente de adjudicación</t>
        </is>
      </c>
      <c r="B651" s="3" t="n">
        <v>46279.99930555555</v>
      </c>
      <c r="C651" s="5" t="n">
        <v>155697.1</v>
      </c>
      <c r="D651" s="5" t="n">
        <v>202406.23</v>
      </c>
      <c r="E651" s="2" t="inlineStr">
        <is>
          <t>Comunitat Valenciana</t>
        </is>
      </c>
      <c r="F651" s="2" t="inlineStr">
        <is>
          <t>Castellón</t>
        </is>
      </c>
      <c r="G651" s="2" t="n"/>
      <c r="H651" s="2" t="inlineStr">
        <is>
          <t>Departamento de Salud de Vinaroz. Dirección Económica-Gerencia</t>
        </is>
      </c>
      <c r="I651" s="2" t="inlineStr">
        <is>
          <t>Ejecución de las obras de construcción y ampliación de salas destinadas a despachos en el hospital de Vinaròs</t>
        </is>
      </c>
      <c r="J651" s="2" t="inlineStr">
        <is>
          <t>PA 1245/2026</t>
        </is>
      </c>
      <c r="K651" s="2" t="inlineStr">
        <is>
          <t>Abierto</t>
        </is>
      </c>
      <c r="L651" s="6" t="n">
        <v>6</v>
      </c>
      <c r="M651" s="2" t="n"/>
      <c r="N651" s="7" t="n">
        <v>0.25</v>
      </c>
      <c r="O651" s="4" t="n"/>
      <c r="P651" s="2" t="inlineStr">
        <is>
          <t>45215100; 45000000; 45300000; 45215140; 45200000; 45262900</t>
        </is>
      </c>
      <c r="Q651" s="8" t="inlineStr">
        <is>
          <t>Ver</t>
        </is>
      </c>
      <c r="R651" s="8" t="inlineStr">
        <is>
          <t>PCAP</t>
        </is>
      </c>
      <c r="S651" s="9" t="n">
        <v>46310</v>
      </c>
      <c r="T651" s="3" t="n">
        <v>46318.41553240741</v>
      </c>
      <c r="U651" s="2" t="n"/>
    </row>
    <row r="652">
      <c r="A652" s="2" t="inlineStr">
        <is>
          <t>Pendiente de adjudicación</t>
        </is>
      </c>
      <c r="B652" s="3" t="n">
        <v>46279.99930555555</v>
      </c>
      <c r="C652" s="5" t="n">
        <v>2406538.47</v>
      </c>
      <c r="D652" s="5" t="n">
        <v>3128500.01</v>
      </c>
      <c r="E652" s="2" t="inlineStr">
        <is>
          <t>Comunitat Valenciana</t>
        </is>
      </c>
      <c r="F652" s="2" t="inlineStr">
        <is>
          <t>Castellón</t>
        </is>
      </c>
      <c r="G652" s="2" t="n"/>
      <c r="H652" s="2" t="inlineStr">
        <is>
          <t>Departamento de Salud de Vinaroz. Dirección Económica-Gerencia</t>
        </is>
      </c>
      <c r="I652" s="2" t="inlineStr">
        <is>
          <t>Ejecución de las obras de construcción de 18 nuevas consultas externas en el Hospital de Vinaròs</t>
        </is>
      </c>
      <c r="J652" s="2" t="inlineStr">
        <is>
          <t>PA 718/2026 bis</t>
        </is>
      </c>
      <c r="K652" s="2" t="inlineStr">
        <is>
          <t>Abierto</t>
        </is>
      </c>
      <c r="L652" s="6" t="n">
        <v>6</v>
      </c>
      <c r="M652" s="2" t="inlineStr">
        <is>
          <t>C*-5</t>
        </is>
      </c>
      <c r="N652" s="7" t="n">
        <v>0.2</v>
      </c>
      <c r="O652" s="4" t="n"/>
      <c r="P652" s="2" t="inlineStr">
        <is>
          <t>45215100; 45215140; 45300000; 45200000</t>
        </is>
      </c>
      <c r="Q652" s="8" t="inlineStr">
        <is>
          <t>Ver</t>
        </is>
      </c>
      <c r="R652" s="8" t="inlineStr">
        <is>
          <t>PCAP</t>
        </is>
      </c>
      <c r="S652" s="9" t="n">
        <v>46310</v>
      </c>
      <c r="T652" s="3" t="n">
        <v>46318.41462962963</v>
      </c>
      <c r="U652" s="2" t="n"/>
    </row>
    <row r="653">
      <c r="A653" s="2" t="inlineStr">
        <is>
          <t>Adjudicada</t>
        </is>
      </c>
      <c r="B653" s="3" t="n">
        <v>46272.99930555555</v>
      </c>
      <c r="C653" s="5" t="n">
        <v>48000</v>
      </c>
      <c r="D653" s="5" t="n">
        <v>48000</v>
      </c>
      <c r="E653" s="2" t="inlineStr">
        <is>
          <t>Andalucía</t>
        </is>
      </c>
      <c r="F653" s="2" t="inlineStr">
        <is>
          <t>Málaga</t>
        </is>
      </c>
      <c r="G653" s="2" t="n"/>
      <c r="H653" s="2" t="inlineStr">
        <is>
          <t>Dirección Gerencia de Limpieza de Málaga Sociedad Anónima Municipal</t>
        </is>
      </c>
      <c r="I653" s="2" t="inlineStr">
        <is>
          <t>Contratación de obras de adecuación, reposición y mantenimiento de diversos trabajos metálicos en diferentes zonas de las plantas existentes de tratamiento de residuos, con el fin de reparar zonas deterioradas, acondicionar zonas de paso, habilitar alternativas de alimentación, que mejoren la disponibilidad de las plantas.</t>
        </is>
      </c>
      <c r="J653" s="2" t="inlineStr">
        <is>
          <t>2026PL105</t>
        </is>
      </c>
      <c r="K653" s="2" t="inlineStr">
        <is>
          <t>Abierto simplificado</t>
        </is>
      </c>
      <c r="L653" s="6" t="n">
        <v>5</v>
      </c>
      <c r="M653" s="2" t="n"/>
      <c r="N653" s="7" t="n">
        <v>0</v>
      </c>
      <c r="O653" s="4" t="n"/>
      <c r="P653" s="2" t="inlineStr">
        <is>
          <t>45421160; 45223110</t>
        </is>
      </c>
      <c r="Q653" s="8" t="inlineStr">
        <is>
          <t>Ver</t>
        </is>
      </c>
      <c r="R653" s="8" t="inlineStr">
        <is>
          <t>PCAP</t>
        </is>
      </c>
      <c r="S653" s="9" t="n">
        <v>46321</v>
      </c>
      <c r="T653" s="3" t="n">
        <v>46318.41165509259</v>
      </c>
      <c r="U653" s="2" t="n"/>
    </row>
    <row r="654">
      <c r="A654" s="2" t="inlineStr">
        <is>
          <t>Adjudicada</t>
        </is>
      </c>
      <c r="B654" s="3" t="n">
        <v>45980.99930555555</v>
      </c>
      <c r="C654" s="5" t="n">
        <v>296216.74</v>
      </c>
      <c r="D654" s="5" t="n">
        <v>296216.74</v>
      </c>
      <c r="E654" s="2" t="inlineStr">
        <is>
          <t>Comunitat Valenciana</t>
        </is>
      </c>
      <c r="F654" s="2" t="inlineStr">
        <is>
          <t>Alicante</t>
        </is>
      </c>
      <c r="G654" s="2" t="n"/>
      <c r="H654" s="2" t="inlineStr">
        <is>
          <t>Presidencia de la Diputación Provincial de Alicante</t>
        </is>
      </c>
      <c r="I654" s="2" t="inlineStr">
        <is>
          <t>Obras Variante de la carretera CV-954, P.K. 0+550 en Torremendo – Alicante</t>
        </is>
      </c>
      <c r="J654" s="2" t="inlineStr">
        <is>
          <t>O6S-206/2025</t>
        </is>
      </c>
      <c r="K654" s="2" t="inlineStr">
        <is>
          <t>Abierto simplificado</t>
        </is>
      </c>
      <c r="L654" s="6" t="n">
        <v>3</v>
      </c>
      <c r="M654" s="2" t="n"/>
      <c r="N654" s="7" t="n">
        <v>0.25</v>
      </c>
      <c r="O654" s="4" t="n"/>
      <c r="P654" s="2" t="inlineStr">
        <is>
          <t>45233140</t>
        </is>
      </c>
      <c r="Q654" s="8" t="inlineStr">
        <is>
          <t>Ver</t>
        </is>
      </c>
      <c r="R654" s="8" t="inlineStr">
        <is>
          <t>PCAP</t>
        </is>
      </c>
      <c r="S654" s="9" t="n">
        <v>46321</v>
      </c>
      <c r="T654" s="3" t="n">
        <v>46318.4115625</v>
      </c>
      <c r="U654" s="2" t="n"/>
    </row>
    <row r="655">
      <c r="A655" s="2" t="inlineStr">
        <is>
          <t>Adjudicada</t>
        </is>
      </c>
      <c r="B655" s="3" t="n">
        <v>46251.99930555555</v>
      </c>
      <c r="C655" s="5" t="n">
        <v>259796.68</v>
      </c>
      <c r="D655" s="5" t="n">
        <v>259796.68</v>
      </c>
      <c r="E655" s="2" t="inlineStr">
        <is>
          <t>Andalucía</t>
        </is>
      </c>
      <c r="F655" s="2" t="inlineStr">
        <is>
          <t>Cádiz</t>
        </is>
      </c>
      <c r="G655" s="2" t="n"/>
      <c r="H655" s="2" t="inlineStr">
        <is>
          <t>Intendente de Rota</t>
        </is>
      </c>
      <c r="I655" s="2" t="inlineStr">
        <is>
          <t>Reparación y recorrido de portones en el sector de Polvorines, en la Base Naval de Rota.</t>
        </is>
      </c>
      <c r="J655" s="2" t="inlineStr">
        <is>
          <t>2026/AR46U/00001148E</t>
        </is>
      </c>
      <c r="K655" s="2" t="inlineStr">
        <is>
          <t>Abierto simplificado</t>
        </is>
      </c>
      <c r="L655" s="6" t="n">
        <v>6</v>
      </c>
      <c r="M655" s="2" t="n"/>
      <c r="N655" s="7" t="n">
        <v>0</v>
      </c>
      <c r="O655" s="4" t="n"/>
      <c r="P655" s="2" t="inlineStr">
        <is>
          <t>45421160</t>
        </is>
      </c>
      <c r="Q655" s="8" t="inlineStr">
        <is>
          <t>Ver</t>
        </is>
      </c>
      <c r="R655" s="8" t="inlineStr">
        <is>
          <t>PCAP</t>
        </is>
      </c>
      <c r="S655" s="9" t="n">
        <v>46321</v>
      </c>
      <c r="T655" s="3" t="n">
        <v>46318.40811342592</v>
      </c>
      <c r="U655" s="2" t="n"/>
    </row>
    <row r="656">
      <c r="A656" s="2" t="inlineStr">
        <is>
          <t>Resuelta</t>
        </is>
      </c>
      <c r="B656" s="3" t="n">
        <v>46296.45833333334</v>
      </c>
      <c r="C656" s="5" t="n">
        <v>39867.77</v>
      </c>
      <c r="D656" s="5" t="n">
        <v>39867.77</v>
      </c>
      <c r="E656" s="2" t="inlineStr">
        <is>
          <t>Comunitat Valenciana</t>
        </is>
      </c>
      <c r="F656" s="2" t="inlineStr">
        <is>
          <t>Castellón</t>
        </is>
      </c>
      <c r="G656" s="2" t="inlineStr">
        <is>
          <t>Grao de Castellón</t>
        </is>
      </c>
      <c r="H656" s="2" t="inlineStr">
        <is>
          <t>Jefatura de Intendencia de Asuntos Económicos Este</t>
        </is>
      </c>
      <c r="I656" s="2" t="inlineStr">
        <is>
          <t>Mantenimiento del pavimento de la explanada entre las pistas deportivas en la RM. La Plana - Castellón</t>
        </is>
      </c>
      <c r="J656" s="2" t="inlineStr">
        <is>
          <t>2026/ETSAE0327/00006212E</t>
        </is>
      </c>
      <c r="K656" s="2" t="inlineStr">
        <is>
          <t>Abierto</t>
        </is>
      </c>
      <c r="L656" s="6" t="n">
        <v>1</v>
      </c>
      <c r="M656" s="2" t="n"/>
      <c r="N656" s="7" t="n">
        <v>0</v>
      </c>
      <c r="O656" s="4" t="n"/>
      <c r="P656" s="2" t="inlineStr">
        <is>
          <t>45212290</t>
        </is>
      </c>
      <c r="Q656" s="8" t="inlineStr">
        <is>
          <t>Ver</t>
        </is>
      </c>
      <c r="R656" s="8" t="inlineStr">
        <is>
          <t>PCAP</t>
        </is>
      </c>
      <c r="S656" s="9" t="n">
        <v>46321</v>
      </c>
      <c r="T656" s="3" t="n">
        <v>46318.40513888889</v>
      </c>
      <c r="U656" s="2" t="n"/>
    </row>
    <row r="657">
      <c r="A657" s="2" t="inlineStr">
        <is>
          <t>Adjudicada</t>
        </is>
      </c>
      <c r="B657" s="3" t="n">
        <v>46238.99930555555</v>
      </c>
      <c r="C657" s="5" t="n">
        <v>53510.52</v>
      </c>
      <c r="D657" s="5" t="n">
        <v>53510.52</v>
      </c>
      <c r="E657" s="2" t="inlineStr">
        <is>
          <t>Andalucía</t>
        </is>
      </c>
      <c r="F657" s="2" t="inlineStr">
        <is>
          <t>Granada</t>
        </is>
      </c>
      <c r="G657" s="2" t="inlineStr">
        <is>
          <t>Monachil</t>
        </is>
      </c>
      <c r="H657" s="2" t="inlineStr">
        <is>
          <t>Junta de Gobierno del Ayuntamiento de Monachil</t>
        </is>
      </c>
      <c r="I657" s="2" t="inlineStr">
        <is>
          <t>Obras de Refuerzo de Firme</t>
        </is>
      </c>
      <c r="J657" s="2" t="inlineStr">
        <is>
          <t>2463/2026</t>
        </is>
      </c>
      <c r="K657" s="2" t="inlineStr">
        <is>
          <t>Abierto simplificado</t>
        </is>
      </c>
      <c r="L657" s="6" t="n">
        <v>1</v>
      </c>
      <c r="M657" s="2" t="n"/>
      <c r="N657" s="7" t="n">
        <v>0</v>
      </c>
      <c r="O657" s="4" t="n"/>
      <c r="P657" s="2" t="inlineStr">
        <is>
          <t>45233200; 45233222</t>
        </is>
      </c>
      <c r="Q657" s="8" t="inlineStr">
        <is>
          <t>Ver</t>
        </is>
      </c>
      <c r="R657" s="8" t="inlineStr">
        <is>
          <t>PCAP</t>
        </is>
      </c>
      <c r="S657" s="9" t="n">
        <v>46310</v>
      </c>
      <c r="T657" s="3" t="n">
        <v>46318.405</v>
      </c>
      <c r="U657" s="2" t="inlineStr">
        <is>
          <t>2026-10-26: estado EV → ADJ</t>
        </is>
      </c>
    </row>
    <row r="658">
      <c r="A658" s="2" t="inlineStr">
        <is>
          <t>Pendiente de adjudicación</t>
        </is>
      </c>
      <c r="B658" s="3" t="n">
        <v>46253.99930555555</v>
      </c>
      <c r="C658" s="5" t="n">
        <v>453634.2</v>
      </c>
      <c r="D658" s="5" t="n">
        <v>453634.2</v>
      </c>
      <c r="E658" s="2" t="inlineStr">
        <is>
          <t>Andalucía</t>
        </is>
      </c>
      <c r="F658" s="2" t="inlineStr">
        <is>
          <t>Sevilla</t>
        </is>
      </c>
      <c r="G658" s="2" t="n"/>
      <c r="H658" s="2" t="inlineStr">
        <is>
          <t>Junta de Gobierno del Ayuntamiento de Dos Hermanas</t>
        </is>
      </c>
      <c r="I658" s="2" t="inlineStr">
        <is>
          <t>Mejora Urbana en Calle Cerro de la Atalaya</t>
        </is>
      </c>
      <c r="J658" s="2" t="inlineStr">
        <is>
          <t>2026000001</t>
        </is>
      </c>
      <c r="K658" s="2" t="inlineStr">
        <is>
          <t>Abierto simplificado</t>
        </is>
      </c>
      <c r="L658" s="6" t="n">
        <v>8</v>
      </c>
      <c r="M658" s="2" t="n"/>
      <c r="N658" s="7" t="n">
        <v>0</v>
      </c>
      <c r="O658" s="4" t="n"/>
      <c r="P658" s="2" t="inlineStr">
        <is>
          <t>45112000; 45233200</t>
        </is>
      </c>
      <c r="Q658" s="8" t="inlineStr">
        <is>
          <t>Ver</t>
        </is>
      </c>
      <c r="R658" s="8" t="inlineStr">
        <is>
          <t>PCAP</t>
        </is>
      </c>
      <c r="S658" s="9" t="n">
        <v>46317</v>
      </c>
      <c r="T658" s="3" t="n">
        <v>46318.4044212963</v>
      </c>
      <c r="U658" s="2" t="n"/>
    </row>
    <row r="659">
      <c r="A659" s="2" t="inlineStr">
        <is>
          <t>En plazo</t>
        </is>
      </c>
      <c r="B659" s="3" t="n">
        <v>46330.99930555555</v>
      </c>
      <c r="C659" s="5" t="n">
        <v>125511.8</v>
      </c>
      <c r="D659" s="5" t="n">
        <v>125511.8</v>
      </c>
      <c r="E659" s="2" t="inlineStr">
        <is>
          <t>Comunitat Valenciana</t>
        </is>
      </c>
      <c r="F659" s="2" t="inlineStr">
        <is>
          <t>Valencia</t>
        </is>
      </c>
      <c r="G659" s="2" t="inlineStr">
        <is>
          <t>GUADASSUAR</t>
        </is>
      </c>
      <c r="H659" s="2" t="inlineStr">
        <is>
          <t>Junta de Gobierno del Ayuntamiento de Guadassuar</t>
        </is>
      </c>
      <c r="I659" s="2" t="inlineStr">
        <is>
          <t>Contrato de obras para la ejecución de la actuación de la obra civil para la implantación de la fibra óptica</t>
        </is>
      </c>
      <c r="J659" s="2" t="inlineStr">
        <is>
          <t>3031043H</t>
        </is>
      </c>
      <c r="K659" s="2" t="inlineStr">
        <is>
          <t>Abierto</t>
        </is>
      </c>
      <c r="L659" s="6" t="n">
        <v>2</v>
      </c>
      <c r="M659" s="2" t="n"/>
      <c r="N659" s="7" t="n">
        <v>0</v>
      </c>
      <c r="O659" s="4" t="n"/>
      <c r="P659" s="2" t="inlineStr">
        <is>
          <t>45231600</t>
        </is>
      </c>
      <c r="Q659" s="8" t="inlineStr">
        <is>
          <t>Ver</t>
        </is>
      </c>
      <c r="R659" s="8" t="inlineStr">
        <is>
          <t>PCAP</t>
        </is>
      </c>
      <c r="S659" s="9" t="n">
        <v>46318</v>
      </c>
      <c r="T659" s="3" t="n">
        <v>46318.40387731481</v>
      </c>
      <c r="U659" s="2" t="n"/>
    </row>
    <row r="660">
      <c r="A660" s="2" t="inlineStr">
        <is>
          <t>Resuelta</t>
        </is>
      </c>
      <c r="B660" s="3" t="n">
        <v>45462.58333333334</v>
      </c>
      <c r="C660" s="5" t="n">
        <v>747320.71</v>
      </c>
      <c r="D660" s="5" t="n">
        <v>747320.71</v>
      </c>
      <c r="E660" s="2" t="inlineStr">
        <is>
          <t>Comunitat Valenciana</t>
        </is>
      </c>
      <c r="F660" s="2" t="inlineStr">
        <is>
          <t>Valencia</t>
        </is>
      </c>
      <c r="G660" s="2" t="n"/>
      <c r="H660" s="2" t="inlineStr">
        <is>
          <t>Departamento de Salud Valencia Dr. Peset. Dirección Económica-Gerencia</t>
        </is>
      </c>
      <c r="I660" s="2" t="inlineStr">
        <is>
          <t>Obra de reparación estructural y bóvedas del Centro de Salud Fuente de San Luis del Departamento de Salud Valencia-Doctor Peset, sostenible y respetuosa con el medio ambiente. Lote único.</t>
        </is>
      </c>
      <c r="J660" s="2" t="inlineStr">
        <is>
          <t>PAS 616/2024</t>
        </is>
      </c>
      <c r="K660" s="2" t="inlineStr">
        <is>
          <t>Abierto simplificado</t>
        </is>
      </c>
      <c r="L660" s="6" t="n">
        <v>9</v>
      </c>
      <c r="M660" s="2" t="n"/>
      <c r="N660" s="7" t="n">
        <v>0.25</v>
      </c>
      <c r="O660" s="4" t="n"/>
      <c r="P660" s="2" t="inlineStr">
        <is>
          <t>45261000</t>
        </is>
      </c>
      <c r="Q660" s="8" t="inlineStr">
        <is>
          <t>Ver</t>
        </is>
      </c>
      <c r="R660" s="8" t="inlineStr">
        <is>
          <t>PCAP</t>
        </is>
      </c>
      <c r="S660" s="9" t="n">
        <v>46321</v>
      </c>
      <c r="T660" s="3" t="n">
        <v>46318.40346064815</v>
      </c>
      <c r="U660" s="2" t="n"/>
    </row>
    <row r="661">
      <c r="A661" s="2" t="inlineStr">
        <is>
          <t>Resuelta</t>
        </is>
      </c>
      <c r="B661" s="3" t="n">
        <v>46174.58333333334</v>
      </c>
      <c r="C661" s="5" t="n">
        <v>560234.4</v>
      </c>
      <c r="D661" s="5" t="n">
        <v>560234.4</v>
      </c>
      <c r="E661" s="2" t="inlineStr">
        <is>
          <t>Andalucía</t>
        </is>
      </c>
      <c r="F661" s="2" t="inlineStr">
        <is>
          <t>Córdoba</t>
        </is>
      </c>
      <c r="G661" s="2" t="n"/>
      <c r="H661" s="2" t="inlineStr">
        <is>
          <t>Consejo de Administración de la Empresa Municipal Saneamientos de Córdoba S.A. (SADECO)</t>
        </is>
      </c>
      <c r="I661" s="2" t="inlineStr">
        <is>
          <t>Contrato de obras para el sellado de la zona 5 del vertedero de apoyo del Complejo Medioambiental de Córdoba Juan Revilla</t>
        </is>
      </c>
      <c r="J661" s="2" t="inlineStr">
        <is>
          <t>Exp C26/40</t>
        </is>
      </c>
      <c r="K661" s="2" t="inlineStr">
        <is>
          <t>Abierto</t>
        </is>
      </c>
      <c r="L661" s="6" t="n">
        <v>3</v>
      </c>
      <c r="M661" s="2" t="inlineStr">
        <is>
          <t>A1-3</t>
        </is>
      </c>
      <c r="N661" s="7" t="n">
        <v>0.3</v>
      </c>
      <c r="O661" s="4" t="n"/>
      <c r="P661" s="2" t="inlineStr">
        <is>
          <t>45000000; 45100000</t>
        </is>
      </c>
      <c r="Q661" s="8" t="inlineStr">
        <is>
          <t>Ver</t>
        </is>
      </c>
      <c r="R661" s="8" t="inlineStr">
        <is>
          <t>PCAP</t>
        </is>
      </c>
      <c r="S661" s="9" t="n">
        <v>46321</v>
      </c>
      <c r="T661" s="3" t="n">
        <v>46318.40292824074</v>
      </c>
      <c r="U661" s="2" t="n"/>
    </row>
    <row r="662">
      <c r="A662" s="2" t="inlineStr">
        <is>
          <t>Adjudicada</t>
        </is>
      </c>
      <c r="B662" s="3" t="n">
        <v>46223.54166666666</v>
      </c>
      <c r="C662" s="5" t="n">
        <v>4839880.66</v>
      </c>
      <c r="D662" s="5" t="n">
        <v>4839880.66</v>
      </c>
      <c r="E662" s="2" t="inlineStr">
        <is>
          <t>Comunitat Valenciana</t>
        </is>
      </c>
      <c r="F662" s="2" t="inlineStr">
        <is>
          <t>Alicante</t>
        </is>
      </c>
      <c r="G662" s="2" t="n"/>
      <c r="H662" s="2" t="inlineStr">
        <is>
          <t>Junta de Gobierno Local del Ayuntamiento de Alicante</t>
        </is>
      </c>
      <c r="I662" s="2" t="inlineStr">
        <is>
          <t>Obras de ejecución del CEIP La Cañada del Fenollar, financiadas mediante el programa EDIFICANT de la Generalitat Valenciana</t>
        </is>
      </c>
      <c r="J662" s="2" t="inlineStr">
        <is>
          <t>70/26</t>
        </is>
      </c>
      <c r="K662" s="2" t="inlineStr">
        <is>
          <t>Abierto</t>
        </is>
      </c>
      <c r="L662" s="6" t="n">
        <v>22</v>
      </c>
      <c r="M662" s="2" t="inlineStr">
        <is>
          <t>C*-5</t>
        </is>
      </c>
      <c r="N662" s="7" t="n">
        <v>0.316</v>
      </c>
      <c r="O662" s="4" t="n"/>
      <c r="P662" s="2" t="inlineStr">
        <is>
          <t>45214200</t>
        </is>
      </c>
      <c r="Q662" s="8" t="inlineStr">
        <is>
          <t>Ver</t>
        </is>
      </c>
      <c r="R662" s="8" t="inlineStr">
        <is>
          <t>PCAP</t>
        </is>
      </c>
      <c r="S662" s="9" t="n">
        <v>46321</v>
      </c>
      <c r="T662" s="3" t="n">
        <v>46318.39940972222</v>
      </c>
      <c r="U662" s="2" t="n"/>
    </row>
    <row r="663">
      <c r="A663" s="2" t="inlineStr">
        <is>
          <t>En plazo</t>
        </is>
      </c>
      <c r="B663" s="3" t="n">
        <v>46337.58333333334</v>
      </c>
      <c r="C663" s="5" t="n">
        <v>153220.61</v>
      </c>
      <c r="D663" s="5" t="n">
        <v>153220.61</v>
      </c>
      <c r="E663" s="2" t="inlineStr">
        <is>
          <t>Andalucía</t>
        </is>
      </c>
      <c r="F663" s="2" t="inlineStr">
        <is>
          <t>Jaén</t>
        </is>
      </c>
      <c r="G663" s="2" t="n"/>
      <c r="H663" s="2" t="inlineStr">
        <is>
          <t>Rectorado de la Universidad de Jaén</t>
        </is>
      </c>
      <c r="I663" s="2" t="inlineStr">
        <is>
          <t>Obras de adaptación de la planta baja del Edificio Aulario para la Casa del Estudiantado de Linares</t>
        </is>
      </c>
      <c r="J663" s="2" t="inlineStr">
        <is>
          <t>EXO-2026/06</t>
        </is>
      </c>
      <c r="K663" s="2" t="inlineStr">
        <is>
          <t>Abierto simplificado</t>
        </is>
      </c>
      <c r="L663" s="6" t="n">
        <v>4</v>
      </c>
      <c r="M663" s="2" t="n"/>
      <c r="N663" s="7" t="n">
        <v>0.25</v>
      </c>
      <c r="O663" s="4" t="n"/>
      <c r="P663" s="2" t="inlineStr">
        <is>
          <t>45000000</t>
        </is>
      </c>
      <c r="Q663" s="8" t="inlineStr">
        <is>
          <t>Ver</t>
        </is>
      </c>
      <c r="R663" s="8" t="inlineStr">
        <is>
          <t>PCAP</t>
        </is>
      </c>
      <c r="S663" s="9" t="n">
        <v>46318</v>
      </c>
      <c r="T663" s="3" t="n">
        <v>46318.39936342592</v>
      </c>
      <c r="U663" s="2" t="n"/>
    </row>
    <row r="664">
      <c r="A664" s="2" t="inlineStr">
        <is>
          <t>Pendiente de adjudicación</t>
        </is>
      </c>
      <c r="B664" s="3" t="n">
        <v>46276.99930555555</v>
      </c>
      <c r="C664" s="5" t="n">
        <v>982418.9</v>
      </c>
      <c r="D664" s="5" t="n">
        <v>982418.9</v>
      </c>
      <c r="E664" s="2" t="inlineStr">
        <is>
          <t>Andalucía</t>
        </is>
      </c>
      <c r="F664" s="2" t="inlineStr">
        <is>
          <t>Sevilla</t>
        </is>
      </c>
      <c r="G664" s="2" t="n"/>
      <c r="H664" s="2" t="inlineStr">
        <is>
          <t>Presidencia de la Diputación Provincial de Sevilla</t>
        </is>
      </c>
      <c r="I664" s="2" t="inlineStr">
        <is>
          <t>Obras de electrificación para culminación del nuevo bombeo en el sistema de abastecimiento de Las Navas de la Concepción (Sevilla)</t>
        </is>
      </c>
      <c r="J664" s="2" t="inlineStr">
        <is>
          <t>2026/000603-PAAS</t>
        </is>
      </c>
      <c r="K664" s="2" t="inlineStr">
        <is>
          <t>Abierto simplificado</t>
        </is>
      </c>
      <c r="L664" s="6" t="n">
        <v>12</v>
      </c>
      <c r="M664" s="2" t="inlineStr">
        <is>
          <t>I6-2; I5-3</t>
        </is>
      </c>
      <c r="N664" s="7" t="n">
        <v>0.25</v>
      </c>
      <c r="O664" s="4" t="n"/>
      <c r="P664" s="2" t="inlineStr">
        <is>
          <t>45315300</t>
        </is>
      </c>
      <c r="Q664" s="8" t="inlineStr">
        <is>
          <t>Ver</t>
        </is>
      </c>
      <c r="R664" s="8" t="inlineStr">
        <is>
          <t>PCAP</t>
        </is>
      </c>
      <c r="S664" s="9" t="n">
        <v>46321</v>
      </c>
      <c r="T664" s="3" t="n">
        <v>46318.39857638889</v>
      </c>
      <c r="U664" s="2" t="n"/>
    </row>
    <row r="665">
      <c r="A665" s="2" t="inlineStr">
        <is>
          <t>Pendiente de adjudicación</t>
        </is>
      </c>
      <c r="B665" s="3" t="n">
        <v>46316.99930555555</v>
      </c>
      <c r="C665" s="5" t="n">
        <v>296679.88</v>
      </c>
      <c r="D665" s="5" t="n">
        <v>296679.88</v>
      </c>
      <c r="E665" s="2" t="inlineStr">
        <is>
          <t>Comunitat Valenciana</t>
        </is>
      </c>
      <c r="F665" s="2" t="inlineStr">
        <is>
          <t>Castellón</t>
        </is>
      </c>
      <c r="G665" s="2" t="n"/>
      <c r="H665" s="2" t="inlineStr">
        <is>
          <t>Junta de Gobierno del Ayuntamiento de Castellón de la Plana</t>
        </is>
      </c>
      <c r="I665" s="2" t="inlineStr">
        <is>
          <t>Obras de reforma de las escuelas municipales infantiles: Chupetes, Biberons y Peücs.</t>
        </is>
      </c>
      <c r="J665" s="2" t="inlineStr">
        <is>
          <t>3632_1/2026</t>
        </is>
      </c>
      <c r="K665" s="2" t="inlineStr">
        <is>
          <t>Abierto</t>
        </is>
      </c>
      <c r="L665" s="6" t="n">
        <v>1.9</v>
      </c>
      <c r="M665" s="2" t="n"/>
      <c r="N665" s="7" t="n">
        <v>0.471</v>
      </c>
      <c r="O665" s="4" t="n"/>
      <c r="P665" s="2" t="inlineStr">
        <is>
          <t>45453100; 45331000</t>
        </is>
      </c>
      <c r="Q665" s="8" t="inlineStr">
        <is>
          <t>Ver</t>
        </is>
      </c>
      <c r="R665" s="8" t="inlineStr">
        <is>
          <t>PCAP</t>
        </is>
      </c>
      <c r="S665" s="9" t="n">
        <v>46321</v>
      </c>
      <c r="T665" s="3" t="n">
        <v>46318.39800925926</v>
      </c>
      <c r="U665" s="2" t="n"/>
    </row>
    <row r="666">
      <c r="A666" s="2" t="inlineStr">
        <is>
          <t>Resuelta</t>
        </is>
      </c>
      <c r="B666" s="3" t="n">
        <v>46280.99930555555</v>
      </c>
      <c r="C666" s="5" t="n">
        <v>380165.29</v>
      </c>
      <c r="D666" s="5" t="n">
        <v>380165.29</v>
      </c>
      <c r="E666" s="2" t="inlineStr">
        <is>
          <t>Andalucía</t>
        </is>
      </c>
      <c r="F666" s="2" t="inlineStr">
        <is>
          <t>Cádiz</t>
        </is>
      </c>
      <c r="G666" s="2" t="inlineStr">
        <is>
          <t>SAN JOSE DEL VALLE</t>
        </is>
      </c>
      <c r="H666" s="2" t="inlineStr">
        <is>
          <t>Alcaldía del Ayuntamiento de San José del Valle</t>
        </is>
      </c>
      <c r="I666" s="2" t="inlineStr">
        <is>
          <t>Rehabilitación del Pabellón Polideportivo Municipal Manuel Barroso Garrido. Plan de Cooperación a las Obras y Servicios de Competencia Municipal PPCOS 2026-2027 (Diputación de Cádiz).Subvención Ministerio Política Territorial Real Decreto Ley 5-2026</t>
        </is>
      </c>
      <c r="J666" s="2" t="inlineStr">
        <is>
          <t>2254-2026</t>
        </is>
      </c>
      <c r="K666" s="2" t="inlineStr">
        <is>
          <t>Abierto simplificado</t>
        </is>
      </c>
      <c r="L666" s="6" t="n">
        <v>6</v>
      </c>
      <c r="M666" s="2" t="n"/>
      <c r="N666" s="7" t="n">
        <v>0</v>
      </c>
      <c r="O666" s="4" t="n"/>
      <c r="P666" s="2" t="inlineStr">
        <is>
          <t>45000000; 45200000</t>
        </is>
      </c>
      <c r="Q666" s="8" t="inlineStr">
        <is>
          <t>Ver</t>
        </is>
      </c>
      <c r="R666" s="8" t="inlineStr">
        <is>
          <t>PCAP</t>
        </is>
      </c>
      <c r="S666" s="9" t="n">
        <v>46321</v>
      </c>
      <c r="T666" s="3" t="n">
        <v>46318.39741898148</v>
      </c>
      <c r="U666" s="2" t="n"/>
    </row>
    <row r="667">
      <c r="A667" s="2" t="inlineStr">
        <is>
          <t>Resuelta</t>
        </is>
      </c>
      <c r="B667" s="3" t="n">
        <v>46308.45833333334</v>
      </c>
      <c r="C667" s="5" t="n">
        <v>85856.34</v>
      </c>
      <c r="D667" s="5" t="n">
        <v>85856.34</v>
      </c>
      <c r="E667" s="2" t="inlineStr">
        <is>
          <t>Andalucía</t>
        </is>
      </c>
      <c r="F667" s="2" t="inlineStr">
        <is>
          <t>Córdoba</t>
        </is>
      </c>
      <c r="G667" s="2" t="n"/>
      <c r="H667" s="2" t="inlineStr">
        <is>
          <t>ADIF - Presidencia</t>
        </is>
      </c>
      <c r="I667" s="2" t="inlineStr">
        <is>
          <t>Obras de ejecución del Proyecto de Nuevo Gabinete de Circulación Tipo en la Estación de Palma del Río (Córdoba).</t>
        </is>
      </c>
      <c r="J667" s="2" t="inlineStr">
        <is>
          <t>3.26/46506.0046</t>
        </is>
      </c>
      <c r="K667" s="2" t="inlineStr">
        <is>
          <t>Abierto simplificado</t>
        </is>
      </c>
      <c r="L667" s="6" t="n">
        <v>6</v>
      </c>
      <c r="M667" s="2" t="inlineStr">
        <is>
          <t>C2-1</t>
        </is>
      </c>
      <c r="N667" s="7" t="n">
        <v>0</v>
      </c>
      <c r="O667" s="4" t="n"/>
      <c r="P667" s="2" t="inlineStr">
        <is>
          <t>45223000</t>
        </is>
      </c>
      <c r="Q667" s="8" t="inlineStr">
        <is>
          <t>Ver</t>
        </is>
      </c>
      <c r="R667" s="8" t="inlineStr">
        <is>
          <t>PCAP</t>
        </is>
      </c>
      <c r="S667" s="9" t="n">
        <v>46321</v>
      </c>
      <c r="T667" s="3" t="n">
        <v>46318.39679398148</v>
      </c>
      <c r="U667" s="2" t="n"/>
    </row>
    <row r="668">
      <c r="A668" s="2" t="inlineStr">
        <is>
          <t>Pendiente de adjudicación</t>
        </is>
      </c>
      <c r="B668" s="3" t="n">
        <v>46300.99930555555</v>
      </c>
      <c r="C668" s="5" t="n">
        <v>485250</v>
      </c>
      <c r="D668" s="5" t="n">
        <v>485250</v>
      </c>
      <c r="E668" s="2" t="inlineStr">
        <is>
          <t>Comunitat Valenciana</t>
        </is>
      </c>
      <c r="F668" s="2" t="inlineStr">
        <is>
          <t>Valencia</t>
        </is>
      </c>
      <c r="G668" s="2" t="inlineStr">
        <is>
          <t>Real</t>
        </is>
      </c>
      <c r="H668" s="2" t="inlineStr">
        <is>
          <t>Pleno del Ajuntament de Real</t>
        </is>
      </c>
      <c r="I668" s="2" t="inlineStr">
        <is>
          <t>Contrato de obras de adecuación de aparcamiento público previsto en el PMUS de Real e integración ambiental de su entorno en las parcelas 61,62 y 64 del polígono 1 y en el número 6 de la calle Mariano Nieto y Vicente Galdón.</t>
        </is>
      </c>
      <c r="J668" s="2" t="inlineStr">
        <is>
          <t>1211/2026</t>
        </is>
      </c>
      <c r="K668" s="2" t="inlineStr">
        <is>
          <t>Abierto simplificado</t>
        </is>
      </c>
      <c r="L668" s="6" t="n">
        <v>5</v>
      </c>
      <c r="M668" s="2" t="n"/>
      <c r="N668" s="7" t="n">
        <v>0</v>
      </c>
      <c r="O668" s="4" t="n"/>
      <c r="P668" s="2" t="inlineStr">
        <is>
          <t>45233140; 45112723; 45200000; 45316100; 45233262; 45232452; 45233222</t>
        </is>
      </c>
      <c r="Q668" s="8" t="inlineStr">
        <is>
          <t>Ver</t>
        </is>
      </c>
      <c r="R668" s="8" t="inlineStr">
        <is>
          <t>PCAP</t>
        </is>
      </c>
      <c r="S668" s="9" t="n">
        <v>46321</v>
      </c>
      <c r="T668" s="3" t="n">
        <v>46318.3946412037</v>
      </c>
      <c r="U668" s="2" t="n"/>
    </row>
    <row r="669">
      <c r="A669" s="2" t="inlineStr">
        <is>
          <t>Pendiente de adjudicación</t>
        </is>
      </c>
      <c r="B669" s="3" t="n">
        <v>46280.99930555555</v>
      </c>
      <c r="C669" s="5" t="n">
        <v>382644.51</v>
      </c>
      <c r="D669" s="5" t="n">
        <v>382644.51</v>
      </c>
      <c r="E669" s="2" t="inlineStr">
        <is>
          <t>Comunitat Valenciana</t>
        </is>
      </c>
      <c r="F669" s="2" t="inlineStr">
        <is>
          <t>Alicante</t>
        </is>
      </c>
      <c r="G669" s="2" t="n"/>
      <c r="H669" s="2" t="inlineStr">
        <is>
          <t>Presidencia de la Diputación Provincial de Alicante</t>
        </is>
      </c>
      <c r="I669" s="2" t="inlineStr">
        <is>
          <t>"Obras de mejora de la captación de agua en alta por medio de la conexión del depósito Busot con el depósito municipal, en el municipio de Busot"</t>
        </is>
      </c>
      <c r="J669" s="2" t="inlineStr">
        <is>
          <t>O6S-077/2026</t>
        </is>
      </c>
      <c r="K669" s="2" t="inlineStr">
        <is>
          <t>Abierto simplificado</t>
        </is>
      </c>
      <c r="L669" s="6" t="n">
        <v>4</v>
      </c>
      <c r="M669" s="2" t="n"/>
      <c r="N669" s="7" t="n">
        <v>0.25</v>
      </c>
      <c r="O669" s="4" t="n"/>
      <c r="P669" s="2" t="inlineStr">
        <is>
          <t>45232150; 45232152</t>
        </is>
      </c>
      <c r="Q669" s="8" t="inlineStr">
        <is>
          <t>Ver</t>
        </is>
      </c>
      <c r="R669" s="8" t="inlineStr">
        <is>
          <t>PCAP</t>
        </is>
      </c>
      <c r="S669" s="9" t="n">
        <v>46321</v>
      </c>
      <c r="T669" s="3" t="n">
        <v>46318.39335648148</v>
      </c>
      <c r="U669" s="2" t="n"/>
    </row>
    <row r="670">
      <c r="A670" s="2" t="inlineStr">
        <is>
          <t>Resuelta</t>
        </is>
      </c>
      <c r="B670" s="3" t="n">
        <v>46315.99930555555</v>
      </c>
      <c r="C670" s="5" t="n">
        <v>826446.28</v>
      </c>
      <c r="D670" s="5" t="n">
        <v>826446.28</v>
      </c>
      <c r="E670" s="2" t="inlineStr">
        <is>
          <t>Andalucía</t>
        </is>
      </c>
      <c r="F670" s="2" t="inlineStr">
        <is>
          <t>Málaga</t>
        </is>
      </c>
      <c r="G670" s="2" t="n"/>
      <c r="H670" s="2" t="inlineStr">
        <is>
          <t>Alcaldía del Ayuntamiento de Parauta</t>
        </is>
      </c>
      <c r="I670" s="2" t="inlineStr">
        <is>
          <t>Construccion de aparcamiento de Parauta</t>
        </is>
      </c>
      <c r="J670" s="2" t="inlineStr">
        <is>
          <t>2026/195</t>
        </is>
      </c>
      <c r="K670" s="2" t="inlineStr">
        <is>
          <t>Abierto simplificado</t>
        </is>
      </c>
      <c r="L670" s="6" t="n">
        <v>11</v>
      </c>
      <c r="M670" s="2" t="inlineStr">
        <is>
          <t>C2-3</t>
        </is>
      </c>
      <c r="N670" s="7" t="n">
        <v>0.15</v>
      </c>
      <c r="O670" s="4" t="n"/>
      <c r="P670" s="2" t="inlineStr">
        <is>
          <t>45223310</t>
        </is>
      </c>
      <c r="Q670" s="8" t="inlineStr">
        <is>
          <t>Ver</t>
        </is>
      </c>
      <c r="R670" s="8" t="inlineStr">
        <is>
          <t>PCAP</t>
        </is>
      </c>
      <c r="S670" s="9" t="n">
        <v>46321</v>
      </c>
      <c r="T670" s="3" t="n">
        <v>46318.38969907408</v>
      </c>
      <c r="U670" s="2" t="n"/>
    </row>
    <row r="671">
      <c r="A671" s="2" t="inlineStr">
        <is>
          <t>Adjudicada</t>
        </is>
      </c>
      <c r="B671" s="3" t="n">
        <v>46272.99930555555</v>
      </c>
      <c r="C671" s="5" t="n">
        <v>247843.76</v>
      </c>
      <c r="D671" s="5" t="n">
        <v>247843.76</v>
      </c>
      <c r="E671" s="2" t="inlineStr">
        <is>
          <t>Andalucía</t>
        </is>
      </c>
      <c r="F671" s="2" t="inlineStr">
        <is>
          <t>Málaga</t>
        </is>
      </c>
      <c r="G671" s="2" t="n"/>
      <c r="H671" s="2" t="inlineStr">
        <is>
          <t>Junta de Gobierno del Ayuntamiento de Fuengirola</t>
        </is>
      </c>
      <c r="I671" s="2" t="inlineStr">
        <is>
          <t>Obras de adecuación de zona verde y construcción de pista de baloncesto 3x3</t>
        </is>
      </c>
      <c r="J671" s="2" t="inlineStr">
        <is>
          <t>CONTR-2026000073</t>
        </is>
      </c>
      <c r="K671" s="2" t="inlineStr">
        <is>
          <t>Abierto simplificado</t>
        </is>
      </c>
      <c r="L671" s="6" t="n">
        <v>2.5</v>
      </c>
      <c r="M671" s="2" t="n"/>
      <c r="N671" s="7" t="n">
        <v>0.25</v>
      </c>
      <c r="O671" s="4" t="n"/>
      <c r="P671" s="2" t="inlineStr">
        <is>
          <t>45233140; 45212200</t>
        </is>
      </c>
      <c r="Q671" s="8" t="inlineStr">
        <is>
          <t>Ver</t>
        </is>
      </c>
      <c r="R671" s="8" t="inlineStr">
        <is>
          <t>PCAP</t>
        </is>
      </c>
      <c r="S671" s="9" t="n">
        <v>46317</v>
      </c>
      <c r="T671" s="3" t="n">
        <v>46318.38921296296</v>
      </c>
      <c r="U671" s="2" t="inlineStr">
        <is>
          <t>2026-10-26: estado EV → ADJ</t>
        </is>
      </c>
    </row>
    <row r="672">
      <c r="A672" s="2" t="inlineStr">
        <is>
          <t>Resuelta</t>
        </is>
      </c>
      <c r="B672" s="3" t="n">
        <v>45964.99930555555</v>
      </c>
      <c r="C672" s="5" t="n">
        <v>49586.78</v>
      </c>
      <c r="D672" s="5" t="n">
        <v>49586.78</v>
      </c>
      <c r="E672" s="2" t="inlineStr">
        <is>
          <t>Comunitat Valenciana</t>
        </is>
      </c>
      <c r="F672" s="2" t="inlineStr">
        <is>
          <t>Valencia</t>
        </is>
      </c>
      <c r="G672" s="2" t="n"/>
      <c r="H672" s="2" t="inlineStr">
        <is>
          <t>Alcaldía del Ajuntament de Massamagrell</t>
        </is>
      </c>
      <c r="I672" s="2" t="inlineStr">
        <is>
          <t>El objeto del contrato comprende la realización de las obras necesarias el reasfaltado del vial nº4 del polígono industrial “El bobalar”, la reparación de alcorques y aceras y la reparación de algunas zonas de aparcamiento.</t>
        </is>
      </c>
      <c r="J672" s="2" t="inlineStr">
        <is>
          <t>4830/2025</t>
        </is>
      </c>
      <c r="K672" s="2" t="inlineStr">
        <is>
          <t>Abierto simplificado</t>
        </is>
      </c>
      <c r="L672" s="6" t="n">
        <v>1</v>
      </c>
      <c r="M672" s="2" t="n"/>
      <c r="N672" s="7" t="n">
        <v>0</v>
      </c>
      <c r="O672" s="4" t="n"/>
      <c r="P672" s="2" t="inlineStr">
        <is>
          <t>45000000; 45233200; 45233251; 45233222; 45233252</t>
        </is>
      </c>
      <c r="Q672" s="8" t="inlineStr">
        <is>
          <t>Ver</t>
        </is>
      </c>
      <c r="R672" s="8" t="inlineStr">
        <is>
          <t>PCAP</t>
        </is>
      </c>
      <c r="S672" s="9" t="n">
        <v>46321</v>
      </c>
      <c r="T672" s="3" t="n">
        <v>46318.38622685185</v>
      </c>
      <c r="U672" s="2" t="n"/>
    </row>
    <row r="673">
      <c r="A673" s="2" t="inlineStr">
        <is>
          <t>Pendiente de adjudicación</t>
        </is>
      </c>
      <c r="B673" s="3" t="n">
        <v>46302.99930555555</v>
      </c>
      <c r="C673" s="5" t="n">
        <v>18122.63</v>
      </c>
      <c r="D673" s="5" t="n">
        <v>18122.63</v>
      </c>
      <c r="E673" s="2" t="inlineStr">
        <is>
          <t>Comunitat Valenciana</t>
        </is>
      </c>
      <c r="F673" s="2" t="inlineStr">
        <is>
          <t>Alicante</t>
        </is>
      </c>
      <c r="G673" s="2" t="n"/>
      <c r="H673" s="2" t="inlineStr">
        <is>
          <t>Teniente de Alcalde de Contratación Pública del Ayuntamiento de Elche</t>
        </is>
      </c>
      <c r="I673" s="2" t="inlineStr">
        <is>
          <t>Obras de reforma de la instalación de la red de saneamiento del cementerio viejo de Elche.</t>
        </is>
      </c>
      <c r="J673" s="2" t="inlineStr">
        <is>
          <t>OBR/ABR_SP_SMPL/2026000152</t>
        </is>
      </c>
      <c r="K673" s="2" t="inlineStr">
        <is>
          <t>Abierto simplificado</t>
        </is>
      </c>
      <c r="L673" s="6" t="n">
        <v>2</v>
      </c>
      <c r="M673" s="2" t="n"/>
      <c r="N673" s="7" t="n">
        <v>0</v>
      </c>
      <c r="O673" s="4" t="n"/>
      <c r="P673" s="2" t="inlineStr">
        <is>
          <t>45232410; 45232400</t>
        </is>
      </c>
      <c r="Q673" s="8" t="inlineStr">
        <is>
          <t>Ver</t>
        </is>
      </c>
      <c r="R673" s="8" t="inlineStr">
        <is>
          <t>PCAP</t>
        </is>
      </c>
      <c r="S673" s="9" t="n">
        <v>46315</v>
      </c>
      <c r="T673" s="3" t="n">
        <v>46318.38515046296</v>
      </c>
      <c r="U673" s="2" t="n"/>
    </row>
    <row r="674">
      <c r="A674" s="2" t="inlineStr">
        <is>
          <t>Pendiente de adjudicación</t>
        </is>
      </c>
      <c r="B674" s="3" t="n">
        <v>46309.99930555555</v>
      </c>
      <c r="C674" s="5" t="n">
        <v>573975.21</v>
      </c>
      <c r="D674" s="5" t="n">
        <v>573975.21</v>
      </c>
      <c r="E674" s="2" t="inlineStr">
        <is>
          <t>Andalucía</t>
        </is>
      </c>
      <c r="F674" s="2" t="inlineStr">
        <is>
          <t>Jaén</t>
        </is>
      </c>
      <c r="G674" s="2" t="inlineStr">
        <is>
          <t>Jaén</t>
        </is>
      </c>
      <c r="H674" s="2" t="inlineStr">
        <is>
          <t>Presidencia de la Diputación Provincial de Jaén</t>
        </is>
      </c>
      <c r="I674" s="2" t="inlineStr">
        <is>
          <t>Obras de rehabilitación de estancias de la academia de la Guardia Civil en Ubeda Jaén</t>
        </is>
      </c>
      <c r="J674" s="2" t="inlineStr">
        <is>
          <t>CO-2026/000237</t>
        </is>
      </c>
      <c r="K674" s="2" t="inlineStr">
        <is>
          <t>Abierto</t>
        </is>
      </c>
      <c r="L674" s="6" t="n">
        <v>8</v>
      </c>
      <c r="M674" s="2" t="inlineStr">
        <is>
          <t>C4-3</t>
        </is>
      </c>
      <c r="N674" s="7" t="n">
        <v>0.4</v>
      </c>
      <c r="O674" s="4" t="n"/>
      <c r="P674" s="2" t="inlineStr">
        <is>
          <t>45453100</t>
        </is>
      </c>
      <c r="Q674" s="8" t="inlineStr">
        <is>
          <t>Ver</t>
        </is>
      </c>
      <c r="R674" s="8" t="inlineStr">
        <is>
          <t>PCAP</t>
        </is>
      </c>
      <c r="S674" s="9" t="n">
        <v>46321</v>
      </c>
      <c r="T674" s="3" t="n">
        <v>46318.38296296296</v>
      </c>
      <c r="U674" s="2" t="n"/>
    </row>
    <row r="675">
      <c r="A675" s="2" t="inlineStr">
        <is>
          <t>Resuelta</t>
        </is>
      </c>
      <c r="B675" s="3" t="n">
        <v>46294.41666666666</v>
      </c>
      <c r="C675" s="5" t="n">
        <v>19580</v>
      </c>
      <c r="D675" s="5" t="n">
        <v>19580</v>
      </c>
      <c r="E675" s="2" t="inlineStr">
        <is>
          <t>Andalucía</t>
        </is>
      </c>
      <c r="F675" s="2" t="inlineStr">
        <is>
          <t>Granada</t>
        </is>
      </c>
      <c r="G675" s="2" t="n"/>
      <c r="H675" s="2" t="inlineStr">
        <is>
          <t>Empresa de Transformación Agraria S.A.,S.M.E., M.P., (TRAGSA)</t>
        </is>
      </c>
      <c r="I67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675" s="2" t="inlineStr">
        <is>
          <t>TSA0077561-343</t>
        </is>
      </c>
      <c r="K675" s="2" t="inlineStr">
        <is>
          <t>Abierto</t>
        </is>
      </c>
      <c r="L675" s="6" t="n">
        <v>1</v>
      </c>
      <c r="M675" s="2" t="n"/>
      <c r="N675" s="7" t="n">
        <v>0</v>
      </c>
      <c r="O675" s="4" t="n"/>
      <c r="P675" s="2" t="inlineStr">
        <is>
          <t>45500000</t>
        </is>
      </c>
      <c r="Q675" s="8" t="inlineStr">
        <is>
          <t>Ver</t>
        </is>
      </c>
      <c r="R675" s="8" t="inlineStr">
        <is>
          <t>PCAP</t>
        </is>
      </c>
      <c r="S675" s="9" t="n">
        <v>46321</v>
      </c>
      <c r="T675" s="3" t="n">
        <v>46318.37831018519</v>
      </c>
      <c r="U675" s="2" t="n"/>
    </row>
    <row r="676">
      <c r="A676" s="2" t="inlineStr">
        <is>
          <t>Pendiente de adjudicación</t>
        </is>
      </c>
      <c r="B676" s="3" t="n">
        <v>46308.58333333334</v>
      </c>
      <c r="C676" s="5" t="n">
        <v>211475.81</v>
      </c>
      <c r="D676" s="5" t="n">
        <v>253770.97</v>
      </c>
      <c r="E676" s="2" t="inlineStr">
        <is>
          <t>Comunitat Valenciana</t>
        </is>
      </c>
      <c r="F676" s="2" t="inlineStr">
        <is>
          <t>Valencia</t>
        </is>
      </c>
      <c r="G676" s="2" t="n"/>
      <c r="H676" s="2" t="inlineStr">
        <is>
          <t>Junta de Gobierno del Ayuntamiento de Paterna</t>
        </is>
      </c>
      <c r="I676" s="2" t="inlineStr">
        <is>
          <t>Obras de restauración de la Torre de Paterna.</t>
        </is>
      </c>
      <c r="J676" s="2" t="inlineStr">
        <is>
          <t>172/2026/123</t>
        </is>
      </c>
      <c r="K676" s="2" t="inlineStr">
        <is>
          <t>Abierto</t>
        </is>
      </c>
      <c r="L676" s="6" t="n">
        <v>6</v>
      </c>
      <c r="M676" s="2" t="inlineStr">
        <is>
          <t>K7-2</t>
        </is>
      </c>
      <c r="N676" s="7" t="n">
        <v>0.4</v>
      </c>
      <c r="O676" s="4" t="n"/>
      <c r="P676" s="2" t="inlineStr">
        <is>
          <t>45000000</t>
        </is>
      </c>
      <c r="Q676" s="8" t="inlineStr">
        <is>
          <t>Ver</t>
        </is>
      </c>
      <c r="R676" s="8" t="inlineStr">
        <is>
          <t>PCAP</t>
        </is>
      </c>
      <c r="S676" s="9" t="n">
        <v>46321</v>
      </c>
      <c r="T676" s="3" t="n">
        <v>46318.37829861111</v>
      </c>
      <c r="U676" s="2" t="n"/>
    </row>
    <row r="677">
      <c r="A677" s="2" t="inlineStr">
        <is>
          <t>En plazo</t>
        </is>
      </c>
      <c r="B677" s="3" t="n">
        <v>46329.45833333334</v>
      </c>
      <c r="C677" s="5" t="n">
        <v>590000</v>
      </c>
      <c r="D677" s="5" t="n">
        <v>590000</v>
      </c>
      <c r="E677" s="2" t="inlineStr">
        <is>
          <t>Andalucía</t>
        </is>
      </c>
      <c r="F677" s="2" t="inlineStr">
        <is>
          <t>Cádiz</t>
        </is>
      </c>
      <c r="G677" s="2" t="n"/>
      <c r="H677" s="2" t="inlineStr">
        <is>
          <t>Comité Central de Compras de Navantia S.A., S.M.E.</t>
        </is>
      </c>
      <c r="I677" s="2" t="inlineStr">
        <is>
          <t>Licitación para la adjudicación de un Contrato para los trabajos de rehabilitación de accesos, protecciones colectivas y líneas de vida en grúas en Navantia Cádiz.</t>
        </is>
      </c>
      <c r="J677" s="2" t="inlineStr">
        <is>
          <t>5100075545 Líneas Vida Grúas Navantia Cádiz</t>
        </is>
      </c>
      <c r="K677" s="2" t="inlineStr">
        <is>
          <t>Normas internas</t>
        </is>
      </c>
      <c r="L677" s="6" t="n">
        <v>7</v>
      </c>
      <c r="M677" s="2" t="n"/>
      <c r="N677" s="7" t="n">
        <v>1</v>
      </c>
      <c r="O677" s="4" t="n"/>
      <c r="P677" s="2" t="inlineStr">
        <is>
          <t>45262600; 45340000</t>
        </is>
      </c>
      <c r="Q677" s="8" t="inlineStr">
        <is>
          <t>Ver</t>
        </is>
      </c>
      <c r="R677" s="8" t="inlineStr">
        <is>
          <t>PCAP</t>
        </is>
      </c>
      <c r="S677" s="9" t="n">
        <v>46310</v>
      </c>
      <c r="T677" s="3" t="n">
        <v>46318.37800925926</v>
      </c>
      <c r="U677" s="2" t="inlineStr">
        <is>
          <t>2026-10-26: plazo 2026-10-28 12:00 → 2026-11-03 11:00</t>
        </is>
      </c>
    </row>
    <row r="678">
      <c r="A678" s="2" t="inlineStr">
        <is>
          <t>Pendiente de adjudicación</t>
        </is>
      </c>
      <c r="B678" s="3" t="n">
        <v>46301.99930555555</v>
      </c>
      <c r="C678" s="5" t="n">
        <v>422756.96</v>
      </c>
      <c r="D678" s="5" t="n">
        <v>422756.96</v>
      </c>
      <c r="E678" s="2" t="inlineStr">
        <is>
          <t>Andalucía</t>
        </is>
      </c>
      <c r="F678" s="2" t="inlineStr">
        <is>
          <t>Granada</t>
        </is>
      </c>
      <c r="G678" s="2" t="n"/>
      <c r="H678" s="2" t="inlineStr">
        <is>
          <t>Junta de Gobierno Local del Ayuntamiento de Vélez de Benaudalla</t>
        </is>
      </c>
      <c r="I678" s="2" t="inlineStr">
        <is>
          <t>Contrato de obras que comprende conjuntamente la elaboración del proyecto y la ejecución de las obras de reposición del puente sobre el río Guadalfeo, en el Camino «Barranco de las Viñas y las Madres», Vélez de Benaudalla (Granada).</t>
        </is>
      </c>
      <c r="J678" s="2" t="inlineStr">
        <is>
          <t>485.1/2026</t>
        </is>
      </c>
      <c r="K678" s="2" t="inlineStr">
        <is>
          <t>Abierto</t>
        </is>
      </c>
      <c r="L678" s="6" t="n">
        <v>12</v>
      </c>
      <c r="M678" s="2" t="n"/>
      <c r="N678" s="7" t="n">
        <v>0.45</v>
      </c>
      <c r="O678" s="4" t="n"/>
      <c r="P678" s="2" t="inlineStr">
        <is>
          <t>45200000; 71322300; 45221110</t>
        </is>
      </c>
      <c r="Q678" s="8" t="inlineStr">
        <is>
          <t>Ver</t>
        </is>
      </c>
      <c r="R678" s="8" t="inlineStr">
        <is>
          <t>PCAP</t>
        </is>
      </c>
      <c r="S678" s="9" t="n">
        <v>46318</v>
      </c>
      <c r="T678" s="3" t="n">
        <v>46318.37606481482</v>
      </c>
      <c r="U678" s="2" t="n"/>
    </row>
    <row r="679">
      <c r="A679" s="2" t="inlineStr">
        <is>
          <t>En plazo</t>
        </is>
      </c>
      <c r="B679" s="3" t="n">
        <v>46342.99930555555</v>
      </c>
      <c r="C679" s="5" t="n">
        <v>207893.88</v>
      </c>
      <c r="D679" s="5" t="n">
        <v>207893.88</v>
      </c>
      <c r="E679" s="2" t="inlineStr">
        <is>
          <t>Comunitat Valenciana</t>
        </is>
      </c>
      <c r="F679" s="2" t="inlineStr">
        <is>
          <t>Alicante</t>
        </is>
      </c>
      <c r="G679" s="2" t="inlineStr">
        <is>
          <t>Dénia</t>
        </is>
      </c>
      <c r="H679" s="2" t="inlineStr">
        <is>
          <t>Departamento de Salud de Denia. Dirección Económica-Gerencia</t>
        </is>
      </c>
      <c r="I679" s="2" t="inlineStr">
        <is>
          <t>Obras de adecuación y reforma de diversos espacios en el Hospital de Dénia, Hall de celadores, Medicina Preventiva/UHD y consulta Odontológica.</t>
        </is>
      </c>
      <c r="J679" s="2" t="inlineStr">
        <is>
          <t>PAS 736/2026</t>
        </is>
      </c>
      <c r="K679" s="2" t="inlineStr">
        <is>
          <t>Abierto simplificado</t>
        </is>
      </c>
      <c r="L679" s="6" t="n">
        <v>2</v>
      </c>
      <c r="M679" s="2" t="inlineStr">
        <is>
          <t>C4-2</t>
        </is>
      </c>
      <c r="N679" s="7" t="n">
        <v>0</v>
      </c>
      <c r="O679" s="4" t="n"/>
      <c r="P679" s="2" t="inlineStr">
        <is>
          <t>45215140</t>
        </is>
      </c>
      <c r="Q679" s="8" t="inlineStr">
        <is>
          <t>Ver</t>
        </is>
      </c>
      <c r="R679" s="8" t="inlineStr">
        <is>
          <t>PCAP</t>
        </is>
      </c>
      <c r="S679" s="9" t="n">
        <v>46321</v>
      </c>
      <c r="T679" s="3" t="n">
        <v>46318.37556712963</v>
      </c>
      <c r="U679" s="2" t="n"/>
    </row>
    <row r="680">
      <c r="A680" s="2" t="inlineStr">
        <is>
          <t>Resuelta</t>
        </is>
      </c>
      <c r="B680" s="3" t="n">
        <v>46223.58333333334</v>
      </c>
      <c r="C680" s="5" t="n">
        <v>173206.63</v>
      </c>
      <c r="D680" s="5" t="n">
        <v>173206.63</v>
      </c>
      <c r="E680" s="2" t="inlineStr">
        <is>
          <t>Andalucía</t>
        </is>
      </c>
      <c r="F680" s="2" t="inlineStr">
        <is>
          <t>Almería</t>
        </is>
      </c>
      <c r="G680" s="2" t="inlineStr">
        <is>
          <t>Adra</t>
        </is>
      </c>
      <c r="H680" s="2" t="inlineStr">
        <is>
          <t>Junta de Gobierno Local del Ayuntamiento de Adra</t>
        </is>
      </c>
      <c r="I680" s="2" t="inlineStr">
        <is>
          <t>Construcción de 304 Nuevos Nichos en el Cementerio Municipal de Adra</t>
        </is>
      </c>
      <c r="J680" s="2" t="inlineStr">
        <is>
          <t>5488/2026</t>
        </is>
      </c>
      <c r="K680" s="2" t="inlineStr">
        <is>
          <t>Abierto</t>
        </is>
      </c>
      <c r="L680" s="6" t="n">
        <v>3</v>
      </c>
      <c r="M680" s="2" t="n"/>
      <c r="N680" s="7" t="n">
        <v>0.25</v>
      </c>
      <c r="O680" s="4" t="n"/>
      <c r="P680" s="2" t="inlineStr">
        <is>
          <t>45215400</t>
        </is>
      </c>
      <c r="Q680" s="8" t="inlineStr">
        <is>
          <t>Ver</t>
        </is>
      </c>
      <c r="R680" s="8" t="inlineStr">
        <is>
          <t>PCAP</t>
        </is>
      </c>
      <c r="S680" s="9" t="n">
        <v>46321</v>
      </c>
      <c r="T680" s="3" t="n">
        <v>46318.37545138889</v>
      </c>
      <c r="U680" s="2" t="n"/>
    </row>
    <row r="681">
      <c r="A681" s="2" t="inlineStr">
        <is>
          <t>En plazo</t>
        </is>
      </c>
      <c r="B681" s="3" t="n">
        <v>46338.5</v>
      </c>
      <c r="C681" s="5" t="n">
        <v>13595000</v>
      </c>
      <c r="D681" s="5" t="n">
        <v>14138800</v>
      </c>
      <c r="E681" s="2" t="inlineStr">
        <is>
          <t>Andalucía</t>
        </is>
      </c>
      <c r="F681" s="2" t="inlineStr">
        <is>
          <t>Sevilla</t>
        </is>
      </c>
      <c r="G681" s="2" t="inlineStr">
        <is>
          <t>Sevilla</t>
        </is>
      </c>
      <c r="H681" s="2" t="inlineStr">
        <is>
          <t>Aena. Presidencia. Consejero Delegado</t>
        </is>
      </c>
      <c r="I681" s="2" t="inlineStr">
        <is>
          <t>Renovación Del Sistema De Climatización Y Adecuación De La Protección Contra Incendios. Aeropuerto De Sevilla</t>
        </is>
      </c>
      <c r="J681" s="2" t="inlineStr">
        <is>
          <t>DIN-434/2026</t>
        </is>
      </c>
      <c r="K681" s="2" t="inlineStr">
        <is>
          <t>Abierto</t>
        </is>
      </c>
      <c r="L681" s="6" t="n">
        <v>39</v>
      </c>
      <c r="M681" s="2" t="n"/>
      <c r="N681" s="7" t="n">
        <v>0</v>
      </c>
      <c r="O681" s="4" t="n"/>
      <c r="P681" s="2" t="inlineStr">
        <is>
          <t>45331200</t>
        </is>
      </c>
      <c r="Q681" s="8" t="inlineStr">
        <is>
          <t>Ver</t>
        </is>
      </c>
      <c r="R681" s="8" t="inlineStr">
        <is>
          <t>PCAP</t>
        </is>
      </c>
      <c r="S681" s="9" t="n">
        <v>46311</v>
      </c>
      <c r="T681" s="3" t="n">
        <v>46318.375</v>
      </c>
      <c r="U681" s="2" t="inlineStr">
        <is>
          <t>2026-10-23: plazo 2026-10-28 12:00 → 2026-11-12 12:00</t>
        </is>
      </c>
    </row>
    <row r="682">
      <c r="A682" s="2" t="inlineStr">
        <is>
          <t>Resuelta</t>
        </is>
      </c>
      <c r="B682" s="3" t="n">
        <v>46280.99930555555</v>
      </c>
      <c r="C682" s="5" t="n">
        <v>330578.51</v>
      </c>
      <c r="D682" s="5" t="n">
        <v>330578.51</v>
      </c>
      <c r="E682" s="2" t="inlineStr">
        <is>
          <t>Andalucía</t>
        </is>
      </c>
      <c r="F682" s="2" t="inlineStr">
        <is>
          <t>Cádiz</t>
        </is>
      </c>
      <c r="G682" s="2" t="inlineStr">
        <is>
          <t>SAN JOSE DEL VALLE</t>
        </is>
      </c>
      <c r="H682" s="2" t="inlineStr">
        <is>
          <t>Alcaldía del Ayuntamiento de San José del Valle</t>
        </is>
      </c>
      <c r="I682" s="2" t="inlineStr">
        <is>
          <t>Asfaltado Avenida de la Independencia y aparcamiento de Plaza de Juan Durán. Plan + Inversión Cádiz 2026</t>
        </is>
      </c>
      <c r="J682" s="2" t="inlineStr">
        <is>
          <t>2261-2026</t>
        </is>
      </c>
      <c r="K682" s="2" t="inlineStr">
        <is>
          <t>Abierto simplificado</t>
        </is>
      </c>
      <c r="L682" s="6" t="n">
        <v>3</v>
      </c>
      <c r="M682" s="2" t="n"/>
      <c r="N682" s="7" t="n">
        <v>0</v>
      </c>
      <c r="O682" s="4" t="n"/>
      <c r="P682" s="2" t="inlineStr">
        <is>
          <t>45233222; 45000000</t>
        </is>
      </c>
      <c r="Q682" s="8" t="inlineStr">
        <is>
          <t>Ver</t>
        </is>
      </c>
      <c r="R682" s="8" t="inlineStr">
        <is>
          <t>PCAP</t>
        </is>
      </c>
      <c r="S682" s="9" t="n">
        <v>46321</v>
      </c>
      <c r="T682" s="3" t="n">
        <v>46318.37474537037</v>
      </c>
      <c r="U682" s="2" t="n"/>
    </row>
    <row r="683">
      <c r="A683" s="2" t="inlineStr">
        <is>
          <t>Resuelta</t>
        </is>
      </c>
      <c r="B683" s="3" t="n">
        <v>46287.41666666666</v>
      </c>
      <c r="C683" s="5" t="n">
        <v>5600</v>
      </c>
      <c r="D683" s="5" t="n">
        <v>5600</v>
      </c>
      <c r="E683" s="2" t="inlineStr">
        <is>
          <t>Andalucía</t>
        </is>
      </c>
      <c r="F683" s="2" t="inlineStr">
        <is>
          <t>Granada</t>
        </is>
      </c>
      <c r="G683" s="2" t="n"/>
      <c r="H683" s="2" t="inlineStr">
        <is>
          <t>Empresa de Transformación Agraria S.A.,S.M.E., M.P., (TRAGSA)</t>
        </is>
      </c>
      <c r="I68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683" s="2" t="inlineStr">
        <is>
          <t>TSA0077561-342</t>
        </is>
      </c>
      <c r="K683" s="2" t="inlineStr">
        <is>
          <t>Abierto</t>
        </is>
      </c>
      <c r="L683" s="6" t="n">
        <v>2</v>
      </c>
      <c r="M683" s="2" t="n"/>
      <c r="N683" s="7" t="n">
        <v>0</v>
      </c>
      <c r="O683" s="4" t="n"/>
      <c r="P683" s="2" t="inlineStr">
        <is>
          <t>45500000</t>
        </is>
      </c>
      <c r="Q683" s="8" t="inlineStr">
        <is>
          <t>Ver</t>
        </is>
      </c>
      <c r="R683" s="8" t="inlineStr">
        <is>
          <t>PCAP</t>
        </is>
      </c>
      <c r="S683" s="9" t="n">
        <v>46321</v>
      </c>
      <c r="T683" s="3" t="n">
        <v>46318.37434027778</v>
      </c>
      <c r="U683" s="2" t="n"/>
    </row>
    <row r="684">
      <c r="A684" s="2" t="inlineStr">
        <is>
          <t>Resuelta</t>
        </is>
      </c>
      <c r="B684" s="3" t="n">
        <v>46239.99930555555</v>
      </c>
      <c r="C684" s="5" t="n">
        <v>519280.24</v>
      </c>
      <c r="D684" s="5" t="n">
        <v>519280.24</v>
      </c>
      <c r="E684" s="2" t="inlineStr">
        <is>
          <t>Andalucía</t>
        </is>
      </c>
      <c r="F684" s="2" t="inlineStr">
        <is>
          <t>Huelva</t>
        </is>
      </c>
      <c r="G684" s="2" t="n"/>
      <c r="H684" s="2" t="inlineStr">
        <is>
          <t>Junta de Gobierno de la Diputación Provincial de Huelva</t>
        </is>
      </c>
      <c r="I684" s="2" t="inlineStr">
        <is>
          <t>Contrato de Obras correspondientes a "Rehabiliatacióm de firmes en diversas carreteras provinciales - lote 1C.P. HU-3301 Lepe, El Terrón.</t>
        </is>
      </c>
      <c r="J684" s="2" t="inlineStr">
        <is>
          <t>2025/CMY_03/000088NSP</t>
        </is>
      </c>
      <c r="K684" s="2" t="inlineStr">
        <is>
          <t>Negociado sin publicidad</t>
        </is>
      </c>
      <c r="L684" s="6" t="n">
        <v>45</v>
      </c>
      <c r="M684" s="2" t="n"/>
      <c r="N684" s="7" t="n">
        <v>0</v>
      </c>
      <c r="O684" s="4" t="n"/>
      <c r="P684" s="2" t="inlineStr">
        <is>
          <t>45233000</t>
        </is>
      </c>
      <c r="Q684" s="8" t="inlineStr">
        <is>
          <t>Ver</t>
        </is>
      </c>
      <c r="R684" s="8" t="inlineStr">
        <is>
          <t>PCAP</t>
        </is>
      </c>
      <c r="S684" s="9" t="n">
        <v>46310</v>
      </c>
      <c r="T684" s="3" t="n">
        <v>46318.37335648148</v>
      </c>
      <c r="U684" s="2" t="inlineStr">
        <is>
          <t>2026-10-26: estado ADJ → RES</t>
        </is>
      </c>
    </row>
    <row r="685">
      <c r="A685" s="2" t="inlineStr">
        <is>
          <t>Pendiente de adjudicación</t>
        </is>
      </c>
      <c r="B685" s="3" t="n">
        <v>46280.99930555555</v>
      </c>
      <c r="C685" s="5" t="n">
        <v>103433.16</v>
      </c>
      <c r="D685" s="5" t="n">
        <v>103433.16</v>
      </c>
      <c r="E685" s="2" t="inlineStr">
        <is>
          <t>Comunitat Valenciana</t>
        </is>
      </c>
      <c r="F685" s="2" t="inlineStr">
        <is>
          <t>Alicante</t>
        </is>
      </c>
      <c r="G685" s="2" t="n"/>
      <c r="H685" s="2" t="inlineStr">
        <is>
          <t>Presidencia de la Diputación Provincial de Alicante</t>
        </is>
      </c>
      <c r="I685" s="2" t="inlineStr">
        <is>
          <t>"Obras de reparación y reforma del pozo de captación nº 4 del servicio de abastecimiento de agua potable en Ibi"</t>
        </is>
      </c>
      <c r="J685" s="2" t="inlineStr">
        <is>
          <t>O4S-079/2026</t>
        </is>
      </c>
      <c r="K685" s="2" t="inlineStr">
        <is>
          <t>Abierto simplificado</t>
        </is>
      </c>
      <c r="L685" s="6" t="n">
        <v>2</v>
      </c>
      <c r="M685" s="2" t="n"/>
      <c r="N685" s="7" t="n">
        <v>0.25</v>
      </c>
      <c r="O685" s="4" t="n"/>
      <c r="P685" s="2" t="inlineStr">
        <is>
          <t>45262220</t>
        </is>
      </c>
      <c r="Q685" s="8" t="inlineStr">
        <is>
          <t>Ver</t>
        </is>
      </c>
      <c r="R685" s="8" t="inlineStr">
        <is>
          <t>PCAP</t>
        </is>
      </c>
      <c r="S685" s="9" t="n">
        <v>46321</v>
      </c>
      <c r="T685" s="3" t="n">
        <v>46318.37306712963</v>
      </c>
      <c r="U685" s="2" t="n"/>
    </row>
    <row r="686">
      <c r="A686" s="2" t="inlineStr">
        <is>
          <t>Resuelta</t>
        </is>
      </c>
      <c r="B686" s="3" t="n">
        <v>46260.99930555555</v>
      </c>
      <c r="C686" s="5" t="n">
        <v>249741.95</v>
      </c>
      <c r="D686" s="5" t="n">
        <v>249741.95</v>
      </c>
      <c r="E686" s="2" t="inlineStr">
        <is>
          <t>Andalucía</t>
        </is>
      </c>
      <c r="F686" s="2" t="inlineStr">
        <is>
          <t>Sevilla</t>
        </is>
      </c>
      <c r="G686" s="2" t="inlineStr">
        <is>
          <t>Écija</t>
        </is>
      </c>
      <c r="H686" s="2" t="inlineStr">
        <is>
          <t>Junta de Gobierno del Ayuntamiento de Ecija</t>
        </is>
      </c>
      <c r="I686" s="2" t="inlineStr">
        <is>
          <t>Obras consistentes en "Renovación de equipos de climatización del Mercado Municipal de Abastos situado en Calle Compañía, 6". Financiado con cargo al Plan de Cooperación General "Sevilla 107" de la Excma. Diputación Provincial de Sevilla.</t>
        </is>
      </c>
      <c r="J686" s="2" t="inlineStr">
        <is>
          <t>1824/2026</t>
        </is>
      </c>
      <c r="K686" s="2" t="inlineStr">
        <is>
          <t>Abierto simplificado</t>
        </is>
      </c>
      <c r="L686" s="6" t="n">
        <v>3</v>
      </c>
      <c r="M686" s="2" t="n"/>
      <c r="N686" s="7" t="n">
        <v>0</v>
      </c>
      <c r="O686" s="4" t="n"/>
      <c r="P686" s="2" t="inlineStr">
        <is>
          <t>45331000</t>
        </is>
      </c>
      <c r="Q686" s="8" t="inlineStr">
        <is>
          <t>Ver</t>
        </is>
      </c>
      <c r="R686" s="8" t="inlineStr">
        <is>
          <t>PCAP</t>
        </is>
      </c>
      <c r="S686" s="9" t="n">
        <v>46310</v>
      </c>
      <c r="T686" s="3" t="n">
        <v>46318.37261574074</v>
      </c>
      <c r="U686" s="2" t="inlineStr">
        <is>
          <t>2026-10-26: estado ADJ → RES</t>
        </is>
      </c>
    </row>
    <row r="687">
      <c r="A687" s="2" t="inlineStr">
        <is>
          <t>En plazo</t>
        </is>
      </c>
      <c r="B687" s="3" t="n">
        <v>46338.79166666666</v>
      </c>
      <c r="C687" s="5" t="n">
        <v>230820.7</v>
      </c>
      <c r="D687" s="5" t="n">
        <v>230820.7</v>
      </c>
      <c r="E687" s="2" t="inlineStr">
        <is>
          <t>Comunitat Valenciana</t>
        </is>
      </c>
      <c r="F687" s="2" t="inlineStr">
        <is>
          <t>Alicante</t>
        </is>
      </c>
      <c r="G687" s="2" t="inlineStr">
        <is>
          <t>Alicante (Alacant)</t>
        </is>
      </c>
      <c r="H687" s="2" t="inlineStr">
        <is>
          <t>Junta de Gobierno del Ayuntamiento de Santa Pola</t>
        </is>
      </c>
      <c r="I687" s="2" t="inlineStr">
        <is>
          <t>Licitación para la contratación de las Obras de ejecución de pista de pádel, calistenia y retopping de pistas de tenis en Polideportivo José Antonio Alemany.</t>
        </is>
      </c>
      <c r="J687" s="2" t="inlineStr">
        <is>
          <t>18861/2026</t>
        </is>
      </c>
      <c r="K687" s="2" t="inlineStr">
        <is>
          <t>Abierto simplificado</t>
        </is>
      </c>
      <c r="L687" s="6" t="n">
        <v>3</v>
      </c>
      <c r="M687" s="2" t="n"/>
      <c r="N687" s="7" t="n">
        <v>0.2</v>
      </c>
      <c r="O687" s="4" t="n"/>
      <c r="P687" s="2" t="inlineStr">
        <is>
          <t>45212200</t>
        </is>
      </c>
      <c r="Q687" s="8" t="inlineStr">
        <is>
          <t>Ver</t>
        </is>
      </c>
      <c r="R687" s="8" t="inlineStr">
        <is>
          <t>PCAP</t>
        </is>
      </c>
      <c r="S687" s="9" t="n">
        <v>46321</v>
      </c>
      <c r="T687" s="3" t="n">
        <v>46318.37166666667</v>
      </c>
      <c r="U687" s="2" t="n"/>
    </row>
    <row r="688">
      <c r="A688" s="2" t="inlineStr">
        <is>
          <t>Resuelta</t>
        </is>
      </c>
      <c r="B688" s="3" t="n">
        <v>46309.99930555555</v>
      </c>
      <c r="C688" s="5" t="n">
        <v>111570.25</v>
      </c>
      <c r="D688" s="5" t="n">
        <v>111570.25</v>
      </c>
      <c r="E688" s="2" t="inlineStr">
        <is>
          <t>Andalucía</t>
        </is>
      </c>
      <c r="F688" s="2" t="inlineStr">
        <is>
          <t>Sevilla</t>
        </is>
      </c>
      <c r="G688" s="2" t="inlineStr">
        <is>
          <t>CABEZAS DE SAN JUAN (LAS)</t>
        </is>
      </c>
      <c r="H688" s="2" t="inlineStr">
        <is>
          <t>Alcaldia del Ayuntamiento de Las Cabezas de San Juan</t>
        </is>
      </c>
      <c r="I688" s="2" t="inlineStr">
        <is>
          <t>Realización de un corredor verde, para conexión de la zona urbana con el parque periurbano "El Ranchillo", ejecutándolo con materiales sostenibles.</t>
        </is>
      </c>
      <c r="J688" s="2" t="inlineStr">
        <is>
          <t>1971/2026</t>
        </is>
      </c>
      <c r="K688" s="2" t="inlineStr">
        <is>
          <t>Abierto simplificado</t>
        </is>
      </c>
      <c r="L688" s="6" t="n">
        <v>6</v>
      </c>
      <c r="M688" s="2" t="n"/>
      <c r="N688" s="7" t="n">
        <v>0</v>
      </c>
      <c r="O688" s="4" t="n"/>
      <c r="P688" s="2" t="inlineStr">
        <is>
          <t>45000000</t>
        </is>
      </c>
      <c r="Q688" s="8" t="inlineStr">
        <is>
          <t>Ver</t>
        </is>
      </c>
      <c r="R688" s="8" t="inlineStr">
        <is>
          <t>PCAP</t>
        </is>
      </c>
      <c r="S688" s="9" t="n">
        <v>46311</v>
      </c>
      <c r="T688" s="3" t="n">
        <v>46318.36929398148</v>
      </c>
      <c r="U688" s="2" t="inlineStr">
        <is>
          <t>2026-10-23: estado EV → ADJ | 2026-10-26: estado ADJ → RES</t>
        </is>
      </c>
    </row>
    <row r="689">
      <c r="A689" s="2" t="inlineStr">
        <is>
          <t>Pendiente de adjudicación</t>
        </is>
      </c>
      <c r="B689" s="3" t="n">
        <v>46310.99930555555</v>
      </c>
      <c r="C689" s="5" t="n">
        <v>393831.58</v>
      </c>
      <c r="D689" s="5" t="n">
        <v>393831.58</v>
      </c>
      <c r="E689" s="2" t="inlineStr">
        <is>
          <t>Andalucía</t>
        </is>
      </c>
      <c r="F689" s="2" t="inlineStr">
        <is>
          <t>Jaén</t>
        </is>
      </c>
      <c r="G689" s="2" t="inlineStr">
        <is>
          <t>Linares</t>
        </is>
      </c>
      <c r="H689" s="2" t="inlineStr">
        <is>
          <t>Alcaldía del Ayuntamiento de Linares</t>
        </is>
      </c>
      <c r="I689" s="2" t="inlineStr">
        <is>
          <t>Rehabilitación de las pistas de atletismo del centro deportivo municipal "Mariano de la Paz"</t>
        </is>
      </c>
      <c r="J689" s="2" t="inlineStr">
        <is>
          <t>2026/8575</t>
        </is>
      </c>
      <c r="K689" s="2" t="inlineStr">
        <is>
          <t>Abierto simplificado</t>
        </is>
      </c>
      <c r="L689" s="6" t="n">
        <v>3</v>
      </c>
      <c r="M689" s="2" t="n"/>
      <c r="N689" s="7" t="n">
        <v>0</v>
      </c>
      <c r="O689" s="4" t="n"/>
      <c r="P689" s="2" t="inlineStr">
        <is>
          <t>45212200</t>
        </is>
      </c>
      <c r="Q689" s="8" t="inlineStr">
        <is>
          <t>Ver</t>
        </is>
      </c>
      <c r="R689" s="8" t="inlineStr">
        <is>
          <t>PCAP</t>
        </is>
      </c>
      <c r="S689" s="9" t="n">
        <v>46321</v>
      </c>
      <c r="T689" s="3" t="n">
        <v>46318.36511574074</v>
      </c>
      <c r="U689" s="2" t="n"/>
    </row>
    <row r="690">
      <c r="A690" s="2" t="inlineStr">
        <is>
          <t>Plazo vencido</t>
        </is>
      </c>
      <c r="B690" s="3" t="n">
        <v>46322.58333333334</v>
      </c>
      <c r="C690" s="5" t="n">
        <v>141825.96</v>
      </c>
      <c r="D690" s="5" t="n">
        <v>141825.96</v>
      </c>
      <c r="E690" s="2" t="inlineStr">
        <is>
          <t>Comunitat Valenciana</t>
        </is>
      </c>
      <c r="F690" s="2" t="inlineStr">
        <is>
          <t>Valencia</t>
        </is>
      </c>
      <c r="G690" s="2" t="inlineStr">
        <is>
          <t>Tuéjar</t>
        </is>
      </c>
      <c r="H690" s="2" t="inlineStr">
        <is>
          <t>Alcaldía del Ayuntamiento de Tuéjar</t>
        </is>
      </c>
      <c r="I690"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690" s="2" t="inlineStr">
        <is>
          <t>420/2026</t>
        </is>
      </c>
      <c r="K690" s="2" t="inlineStr">
        <is>
          <t>Abierto simplificado</t>
        </is>
      </c>
      <c r="L690" s="6" t="n">
        <v>4.2</v>
      </c>
      <c r="M690" s="2" t="n"/>
      <c r="N690" s="7" t="n">
        <v>0</v>
      </c>
      <c r="O690" s="4" t="n"/>
      <c r="P690" s="2" t="inlineStr">
        <is>
          <t>45212290</t>
        </is>
      </c>
      <c r="Q690" s="8" t="inlineStr">
        <is>
          <t>Ver</t>
        </is>
      </c>
      <c r="R690" s="8" t="inlineStr">
        <is>
          <t>PCAP</t>
        </is>
      </c>
      <c r="S690" s="9" t="n">
        <v>46310</v>
      </c>
      <c r="T690" s="3" t="n">
        <v>46318.36486111111</v>
      </c>
      <c r="U690" s="2" t="n"/>
    </row>
    <row r="691">
      <c r="A691" s="2" t="inlineStr">
        <is>
          <t>Pendiente de adjudicación</t>
        </is>
      </c>
      <c r="B691" s="3" t="n">
        <v>46310.99930555555</v>
      </c>
      <c r="C691" s="5" t="n">
        <v>181818.17</v>
      </c>
      <c r="D691" s="5" t="n">
        <v>181818.17</v>
      </c>
      <c r="E691" s="2" t="inlineStr">
        <is>
          <t>Andalucía</t>
        </is>
      </c>
      <c r="F691" s="2" t="inlineStr">
        <is>
          <t>Jaén</t>
        </is>
      </c>
      <c r="G691" s="2" t="inlineStr">
        <is>
          <t>Linares</t>
        </is>
      </c>
      <c r="H691" s="2" t="inlineStr">
        <is>
          <t>Alcaldía del Ayuntamiento de Linares</t>
        </is>
      </c>
      <c r="I691" s="2" t="inlineStr">
        <is>
          <t>Cerramiento perimetral e iluminación de las pistas semicubiertas de las instalaciones deportivas municipales de San José</t>
        </is>
      </c>
      <c r="J691" s="2" t="inlineStr">
        <is>
          <t>2026/13134</t>
        </is>
      </c>
      <c r="K691" s="2" t="inlineStr">
        <is>
          <t>Abierto simplificado</t>
        </is>
      </c>
      <c r="L691" s="6" t="n">
        <v>2</v>
      </c>
      <c r="M691" s="2" t="n"/>
      <c r="N691" s="7" t="n">
        <v>0</v>
      </c>
      <c r="O691" s="4" t="n"/>
      <c r="P691" s="2" t="inlineStr">
        <is>
          <t>45450000</t>
        </is>
      </c>
      <c r="Q691" s="8" t="inlineStr">
        <is>
          <t>Ver</t>
        </is>
      </c>
      <c r="R691" s="8" t="inlineStr">
        <is>
          <t>PCAP</t>
        </is>
      </c>
      <c r="S691" s="9" t="n">
        <v>46321</v>
      </c>
      <c r="T691" s="3" t="n">
        <v>46318.36152777778</v>
      </c>
      <c r="U691" s="2" t="n"/>
    </row>
    <row r="692">
      <c r="A692" s="2" t="inlineStr">
        <is>
          <t>Resuelta</t>
        </is>
      </c>
      <c r="B692" s="3" t="n">
        <v>46287.99930555555</v>
      </c>
      <c r="C692" s="5" t="n">
        <v>34907.3</v>
      </c>
      <c r="D692" s="5" t="n">
        <v>34907.3</v>
      </c>
      <c r="E692" s="2" t="inlineStr">
        <is>
          <t>Andalucía</t>
        </is>
      </c>
      <c r="F692" s="2" t="inlineStr">
        <is>
          <t>Jaén</t>
        </is>
      </c>
      <c r="G692" s="2" t="inlineStr">
        <is>
          <t>Castellar</t>
        </is>
      </c>
      <c r="H692" s="2" t="inlineStr">
        <is>
          <t>Alcaldía del Ayuntamiento de Castellar</t>
        </is>
      </c>
      <c r="I692" s="2" t="inlineStr">
        <is>
          <t>El objeto es regir la ejecución del contrato de obra Intervención en la fachada este del edificio de la Colegiata de Santiago declarado como Bien de Interés Cultural.</t>
        </is>
      </c>
      <c r="J692" s="2" t="inlineStr">
        <is>
          <t>301/2026</t>
        </is>
      </c>
      <c r="K692" s="2" t="inlineStr">
        <is>
          <t>Abierto simplificado</t>
        </is>
      </c>
      <c r="L692" s="6" t="n">
        <v>1</v>
      </c>
      <c r="M692" s="2" t="n"/>
      <c r="N692" s="7" t="n">
        <v>0</v>
      </c>
      <c r="O692" s="4" t="n"/>
      <c r="P692" s="2" t="inlineStr">
        <is>
          <t>45212350</t>
        </is>
      </c>
      <c r="Q692" s="8" t="inlineStr">
        <is>
          <t>Ver</t>
        </is>
      </c>
      <c r="R692" s="8" t="inlineStr">
        <is>
          <t>PCAP</t>
        </is>
      </c>
      <c r="S692" s="9" t="n">
        <v>46321</v>
      </c>
      <c r="T692" s="3" t="n">
        <v>46318.35990740741</v>
      </c>
      <c r="U692" s="2" t="n"/>
    </row>
    <row r="693">
      <c r="A693" s="2" t="inlineStr">
        <is>
          <t>En plazo</t>
        </is>
      </c>
      <c r="B693" s="3" t="n">
        <v>46335.99930555555</v>
      </c>
      <c r="C693" s="5" t="n">
        <v>10454.99</v>
      </c>
      <c r="D693" s="5" t="n">
        <v>10454.99</v>
      </c>
      <c r="E693" s="2" t="inlineStr">
        <is>
          <t>Andalucía</t>
        </is>
      </c>
      <c r="F693" s="2" t="inlineStr">
        <is>
          <t>Córdoba</t>
        </is>
      </c>
      <c r="G693" s="2" t="n"/>
      <c r="H693" s="2" t="inlineStr">
        <is>
          <t>Diputado delegado de Infraestructuras, Sostenibilidad y Agricultura</t>
        </is>
      </c>
      <c r="I693" s="2" t="inlineStr">
        <is>
          <t>Contratación de la obra Remodelación de la instalación eléctrica de edificio para Escuela de Adultos en la aldea de El Alcornocal, en Fuente Obejuna (Córdoba). Obra incluida en el Plan de Aldeas 2024-2027.</t>
        </is>
      </c>
      <c r="J693" s="2" t="inlineStr">
        <is>
          <t>913/26</t>
        </is>
      </c>
      <c r="K693" s="2" t="inlineStr">
        <is>
          <t>Abierto simplificado</t>
        </is>
      </c>
      <c r="L693" s="6" t="n">
        <v>2</v>
      </c>
      <c r="M693" s="2" t="n"/>
      <c r="N693" s="7" t="n">
        <v>0</v>
      </c>
      <c r="O693" s="4" t="n"/>
      <c r="P693" s="2" t="inlineStr">
        <is>
          <t>45310000</t>
        </is>
      </c>
      <c r="Q693" s="8" t="inlineStr">
        <is>
          <t>Ver</t>
        </is>
      </c>
      <c r="R693" s="8" t="inlineStr">
        <is>
          <t>PCAP</t>
        </is>
      </c>
      <c r="S693" s="9" t="n">
        <v>46321</v>
      </c>
      <c r="T693" s="3" t="n">
        <v>46318.35966435185</v>
      </c>
      <c r="U693" s="2" t="n"/>
    </row>
    <row r="694">
      <c r="A694" s="2" t="inlineStr">
        <is>
          <t>Pendiente de adjudicación</t>
        </is>
      </c>
      <c r="B694" s="3" t="n">
        <v>46310.99930555555</v>
      </c>
      <c r="C694" s="5" t="n">
        <v>165289.26</v>
      </c>
      <c r="D694" s="5" t="n">
        <v>165289.26</v>
      </c>
      <c r="E694" s="2" t="inlineStr">
        <is>
          <t>Andalucía</t>
        </is>
      </c>
      <c r="F694" s="2" t="inlineStr">
        <is>
          <t>Jaén</t>
        </is>
      </c>
      <c r="G694" s="2" t="n"/>
      <c r="H694" s="2" t="inlineStr">
        <is>
          <t>Alcaldía del Ayuntamiento de Linares</t>
        </is>
      </c>
      <c r="I694" s="2" t="inlineStr">
        <is>
          <t>Contrato de obra para la renovación de pavimentos y jardinería en el Paseo de Linarejos en Linares (Jaén)</t>
        </is>
      </c>
      <c r="J694" s="2" t="inlineStr">
        <is>
          <t>2026/12945</t>
        </is>
      </c>
      <c r="K694" s="2" t="inlineStr">
        <is>
          <t>Abierto simplificado</t>
        </is>
      </c>
      <c r="L694" s="6" t="n">
        <v>2.5</v>
      </c>
      <c r="M694" s="2" t="inlineStr">
        <is>
          <t>G6-2</t>
        </is>
      </c>
      <c r="N694" s="7" t="n">
        <v>0</v>
      </c>
      <c r="O694" s="4" t="n"/>
      <c r="P694" s="2" t="inlineStr">
        <is>
          <t>45233252</t>
        </is>
      </c>
      <c r="Q694" s="8" t="inlineStr">
        <is>
          <t>Ver</t>
        </is>
      </c>
      <c r="R694" s="8" t="inlineStr">
        <is>
          <t>PCAP</t>
        </is>
      </c>
      <c r="S694" s="9" t="n">
        <v>46321</v>
      </c>
      <c r="T694" s="3" t="n">
        <v>46318.35934027778</v>
      </c>
      <c r="U694" s="2" t="n"/>
    </row>
    <row r="695">
      <c r="A695" s="2" t="inlineStr">
        <is>
          <t>Adjudicada</t>
        </is>
      </c>
      <c r="B695" s="3" t="n">
        <v>46203.99930555555</v>
      </c>
      <c r="C695" s="5" t="n">
        <v>400785.31</v>
      </c>
      <c r="D695" s="5" t="n">
        <v>480942.37</v>
      </c>
      <c r="E695" s="2" t="inlineStr">
        <is>
          <t>Comunitat Valenciana</t>
        </is>
      </c>
      <c r="F695" s="2" t="inlineStr">
        <is>
          <t>Alicante</t>
        </is>
      </c>
      <c r="G695" s="2" t="inlineStr">
        <is>
          <t>Alicante</t>
        </is>
      </c>
      <c r="H695" s="2" t="inlineStr">
        <is>
          <t>Departamento de Salud Alicante. Dirección Económica-Gerencia</t>
        </is>
      </c>
      <c r="I695" s="2" t="inlineStr">
        <is>
          <t>Obra de reforma para las sustitución de tuberías generales de distribución ACS y retorno (torres a, b, c, y d) en el Hospital General Universitario Dr. Balmis de Alicante</t>
        </is>
      </c>
      <c r="J695" s="2" t="inlineStr">
        <is>
          <t>PAS 198/2026</t>
        </is>
      </c>
      <c r="K695" s="2" t="inlineStr">
        <is>
          <t>Abierto simplificado</t>
        </is>
      </c>
      <c r="L695" s="6" t="n">
        <v>6</v>
      </c>
      <c r="M695" s="2" t="n"/>
      <c r="N695" s="7" t="n">
        <v>0.25</v>
      </c>
      <c r="O695" s="4" t="n"/>
      <c r="P695" s="2" t="inlineStr">
        <is>
          <t>45330000</t>
        </is>
      </c>
      <c r="Q695" s="8" t="inlineStr">
        <is>
          <t>Ver</t>
        </is>
      </c>
      <c r="R695" s="8" t="inlineStr">
        <is>
          <t>PCAP</t>
        </is>
      </c>
      <c r="S695" s="9" t="n">
        <v>46321</v>
      </c>
      <c r="T695" s="3" t="n">
        <v>46318.34877314815</v>
      </c>
      <c r="U695" s="2" t="n"/>
    </row>
    <row r="696">
      <c r="A696" s="2" t="inlineStr">
        <is>
          <t>Pendiente de adjudicación</t>
        </is>
      </c>
      <c r="B696" s="3" t="n">
        <v>46311.99930555555</v>
      </c>
      <c r="C696" s="5" t="n">
        <v>79929.78999999999</v>
      </c>
      <c r="D696" s="5" t="n">
        <v>79929.78999999999</v>
      </c>
      <c r="E696" s="2" t="inlineStr">
        <is>
          <t>Comunitat Valenciana</t>
        </is>
      </c>
      <c r="F696" s="2" t="inlineStr">
        <is>
          <t>Castellón</t>
        </is>
      </c>
      <c r="G696" s="2" t="n"/>
      <c r="H696" s="2" t="inlineStr">
        <is>
          <t>Junta de Gobierno del Ayuntamiento de Castellón de la Plana</t>
        </is>
      </c>
      <c r="I696" s="2" t="inlineStr">
        <is>
          <t>Trabajos de limpieza, reparación, impermeabilización y pintura en el Templete y Vallados del Parque Ribalta de Castellón</t>
        </is>
      </c>
      <c r="J696" s="2" t="inlineStr">
        <is>
          <t>98577/2026</t>
        </is>
      </c>
      <c r="K696" s="2" t="inlineStr">
        <is>
          <t>Abierto simplificado</t>
        </is>
      </c>
      <c r="L696" s="6" t="n">
        <v>0.5</v>
      </c>
      <c r="M696" s="2" t="n"/>
      <c r="N696" s="7" t="n">
        <v>0</v>
      </c>
      <c r="O696" s="4" t="n"/>
      <c r="P696" s="2" t="inlineStr">
        <is>
          <t>45212350</t>
        </is>
      </c>
      <c r="Q696" s="8" t="inlineStr">
        <is>
          <t>Ver</t>
        </is>
      </c>
      <c r="R696" s="8" t="inlineStr">
        <is>
          <t>PCAP</t>
        </is>
      </c>
      <c r="S696" s="9" t="n">
        <v>46315</v>
      </c>
      <c r="T696" s="3" t="n">
        <v>46318.3484837963</v>
      </c>
      <c r="U696" s="2" t="n"/>
    </row>
    <row r="697">
      <c r="A697" s="2" t="inlineStr">
        <is>
          <t>Pendiente de adjudicación</t>
        </is>
      </c>
      <c r="B697" s="3" t="n">
        <v>46311.99930555555</v>
      </c>
      <c r="C697" s="5" t="n">
        <v>79722.62</v>
      </c>
      <c r="D697" s="5" t="n">
        <v>79722.62</v>
      </c>
      <c r="E697" s="2" t="inlineStr">
        <is>
          <t>Comunitat Valenciana</t>
        </is>
      </c>
      <c r="F697" s="2" t="inlineStr">
        <is>
          <t>Castellón</t>
        </is>
      </c>
      <c r="G697" s="2" t="n"/>
      <c r="H697" s="2" t="inlineStr">
        <is>
          <t>Junta de Gobierno del Ayuntamiento de Castellón de la Plana</t>
        </is>
      </c>
      <c r="I697" s="2" t="inlineStr">
        <is>
          <t>Trabajos de subsanación de patologías estructurales y desperfectos en edificaciones, mejora del mobiliario y equipamiento del Parque Ribalta de Castellón.</t>
        </is>
      </c>
      <c r="J697" s="2" t="inlineStr">
        <is>
          <t>98704/2026</t>
        </is>
      </c>
      <c r="K697" s="2" t="inlineStr">
        <is>
          <t>Abierto simplificado</t>
        </is>
      </c>
      <c r="L697" s="6" t="n">
        <v>0.5</v>
      </c>
      <c r="M697" s="2" t="n"/>
      <c r="N697" s="7" t="n">
        <v>0</v>
      </c>
      <c r="O697" s="4" t="n"/>
      <c r="P697" s="2" t="inlineStr">
        <is>
          <t>45212350</t>
        </is>
      </c>
      <c r="Q697" s="8" t="inlineStr">
        <is>
          <t>Ver</t>
        </is>
      </c>
      <c r="R697" s="8" t="inlineStr">
        <is>
          <t>PCAP</t>
        </is>
      </c>
      <c r="S697" s="9" t="n">
        <v>46315</v>
      </c>
      <c r="T697" s="3" t="n">
        <v>46318.34681712963</v>
      </c>
      <c r="U697" s="2" t="n"/>
    </row>
    <row r="698">
      <c r="A698" s="2" t="inlineStr">
        <is>
          <t>Pendiente de adjudicación</t>
        </is>
      </c>
      <c r="B698" s="3" t="n">
        <v>46296.99930555555</v>
      </c>
      <c r="C698" s="5" t="n">
        <v>447605.75</v>
      </c>
      <c r="D698" s="5" t="n">
        <v>492366.33</v>
      </c>
      <c r="E698" s="2" t="inlineStr">
        <is>
          <t>Comunitat Valenciana</t>
        </is>
      </c>
      <c r="F698" s="2" t="inlineStr">
        <is>
          <t>Valencia</t>
        </is>
      </c>
      <c r="G698" s="2" t="n"/>
      <c r="H698" s="2" t="inlineStr">
        <is>
          <t>Junta de Gobierno del Ajuntament de València</t>
        </is>
      </c>
      <c r="I698" s="2" t="inlineStr">
        <is>
          <t>Obras de creación del jardín de Monteolivete, en la plaza ubicada entre la calle Escultor José Capuz, avenida Reino de València y calle Luis Oliag.-</t>
        </is>
      </c>
      <c r="J698" s="2" t="inlineStr">
        <is>
          <t>04101/2026/175-O</t>
        </is>
      </c>
      <c r="K698" s="2" t="inlineStr">
        <is>
          <t>Abierto simplificado</t>
        </is>
      </c>
      <c r="L698" s="6" t="n">
        <v>5</v>
      </c>
      <c r="M698" s="2" t="n"/>
      <c r="N698" s="7" t="n">
        <v>0</v>
      </c>
      <c r="O698" s="4" t="n"/>
      <c r="P698" s="2" t="inlineStr">
        <is>
          <t>45112712</t>
        </is>
      </c>
      <c r="Q698" s="8" t="inlineStr">
        <is>
          <t>Ver</t>
        </is>
      </c>
      <c r="R698" s="8" t="inlineStr">
        <is>
          <t>PCAP</t>
        </is>
      </c>
      <c r="S698" s="9" t="n">
        <v>46310</v>
      </c>
      <c r="T698" s="3" t="n">
        <v>46318.34384259259</v>
      </c>
      <c r="U698" s="2" t="n"/>
    </row>
    <row r="699">
      <c r="A699" s="2" t="inlineStr">
        <is>
          <t>En plazo</t>
        </is>
      </c>
      <c r="B699" s="3" t="n">
        <v>46337.79166666666</v>
      </c>
      <c r="C699" s="5" t="n">
        <v>639142.6800000001</v>
      </c>
      <c r="D699" s="5" t="n">
        <v>692237.37</v>
      </c>
      <c r="E699" s="2" t="inlineStr">
        <is>
          <t>Comunitat Valenciana</t>
        </is>
      </c>
      <c r="F699" s="2" t="inlineStr">
        <is>
          <t>Alicante</t>
        </is>
      </c>
      <c r="G699" s="2" t="inlineStr">
        <is>
          <t>Alicante (Alacant)</t>
        </is>
      </c>
      <c r="H699" s="2" t="inlineStr">
        <is>
          <t>Junta de Gobierno del Ayuntamiento de Santa Pola</t>
        </is>
      </c>
      <c r="I699" s="2" t="inlineStr">
        <is>
          <t>Licitación para la contratación de las Obras de urbanización de los viales de la parcela del polígono 7.2.C de Gran Alacant (Consultorio)</t>
        </is>
      </c>
      <c r="J699" s="2" t="inlineStr">
        <is>
          <t>21085/2026</t>
        </is>
      </c>
      <c r="K699" s="2" t="inlineStr">
        <is>
          <t>Abierto simplificado</t>
        </is>
      </c>
      <c r="L699" s="6" t="n">
        <v>5</v>
      </c>
      <c r="M699" s="2" t="inlineStr">
        <is>
          <t>G*-3</t>
        </is>
      </c>
      <c r="N699" s="7" t="n">
        <v>0.45</v>
      </c>
      <c r="O699" s="4" t="n"/>
      <c r="P699" s="2" t="inlineStr">
        <is>
          <t>45112500; 45211360</t>
        </is>
      </c>
      <c r="Q699" s="8" t="inlineStr">
        <is>
          <t>Ver</t>
        </is>
      </c>
      <c r="R699" s="8" t="inlineStr">
        <is>
          <t>PCAP</t>
        </is>
      </c>
      <c r="S699" s="9" t="n">
        <v>46321</v>
      </c>
      <c r="T699" s="3" t="n">
        <v>46318.32799768518</v>
      </c>
      <c r="U699" s="2" t="n"/>
    </row>
    <row r="700">
      <c r="A700" s="2" t="inlineStr">
        <is>
          <t>Resuelta</t>
        </is>
      </c>
      <c r="B700" s="3" t="n">
        <v>46227.99930555555</v>
      </c>
      <c r="C700" s="5" t="n">
        <v>45216.53</v>
      </c>
      <c r="D700" s="5" t="n">
        <v>45216.53</v>
      </c>
      <c r="E700" s="2" t="inlineStr">
        <is>
          <t>Andalucía</t>
        </is>
      </c>
      <c r="F700" s="2" t="inlineStr">
        <is>
          <t>Granada</t>
        </is>
      </c>
      <c r="G700" s="2" t="inlineStr">
        <is>
          <t>LUGROS</t>
        </is>
      </c>
      <c r="H700" s="2" t="inlineStr">
        <is>
          <t>Presidencia de la Diputación Provincial de Granada</t>
        </is>
      </c>
      <c r="I700" s="2" t="inlineStr">
        <is>
          <t>2024/4/PPOYS-108/1 "Lugros, acondicionamiento de redes y pavimentación en C/ San José"</t>
        </is>
      </c>
      <c r="J700" s="2" t="inlineStr">
        <is>
          <t>OB-048/26</t>
        </is>
      </c>
      <c r="K700" s="2" t="inlineStr">
        <is>
          <t>Negociado sin publicidad</t>
        </is>
      </c>
      <c r="L700" s="6" t="n">
        <v>5</v>
      </c>
      <c r="M700" s="2" t="inlineStr">
        <is>
          <t>G6-1</t>
        </is>
      </c>
      <c r="N700" s="7" t="n">
        <v>0</v>
      </c>
      <c r="O700" s="4" t="n"/>
      <c r="P700" s="2" t="inlineStr">
        <is>
          <t>45233252; 45262620</t>
        </is>
      </c>
      <c r="Q700" s="8" t="inlineStr">
        <is>
          <t>Ver</t>
        </is>
      </c>
      <c r="R700" s="8" t="inlineStr">
        <is>
          <t>PCAP</t>
        </is>
      </c>
      <c r="S700" s="9" t="n">
        <v>46317</v>
      </c>
      <c r="T700" s="3" t="n">
        <v>46318.32386574074</v>
      </c>
      <c r="U700" s="2" t="inlineStr">
        <is>
          <t>2026-10-26: estado ADJ → RES</t>
        </is>
      </c>
    </row>
    <row r="701">
      <c r="A701" s="2" t="inlineStr">
        <is>
          <t>Resuelta</t>
        </is>
      </c>
      <c r="B701" s="3" t="n">
        <v>46300.99930555555</v>
      </c>
      <c r="C701" s="5" t="n">
        <v>767981.26</v>
      </c>
      <c r="D701" s="5" t="n">
        <v>767981.26</v>
      </c>
      <c r="E701" s="2" t="inlineStr">
        <is>
          <t>Andalucía</t>
        </is>
      </c>
      <c r="F701" s="2" t="inlineStr">
        <is>
          <t>Granada</t>
        </is>
      </c>
      <c r="G701" s="2" t="n"/>
      <c r="H701" s="2" t="inlineStr">
        <is>
          <t>Alcaldía del Ayuntamiento de Atarfe</t>
        </is>
      </c>
      <c r="I701" s="2" t="inlineStr">
        <is>
          <t>Obra para la ejecución del Centro Arqueológico Medina Elvira.</t>
        </is>
      </c>
      <c r="J701" s="2" t="inlineStr">
        <is>
          <t>5796/2026</t>
        </is>
      </c>
      <c r="K701" s="2" t="inlineStr">
        <is>
          <t>Abierto</t>
        </is>
      </c>
      <c r="L701" s="6" t="n">
        <v>18</v>
      </c>
      <c r="M701" s="2" t="n"/>
      <c r="N701" s="7" t="n">
        <v>0</v>
      </c>
      <c r="O701" s="4" t="n"/>
      <c r="P701" s="2" t="inlineStr">
        <is>
          <t>45000000; 45212314; 45210000</t>
        </is>
      </c>
      <c r="Q701" s="8" t="inlineStr">
        <is>
          <t>Ver</t>
        </is>
      </c>
      <c r="R701" s="8" t="inlineStr">
        <is>
          <t>PCAP</t>
        </is>
      </c>
      <c r="S701" s="9" t="n">
        <v>46310</v>
      </c>
      <c r="T701" s="3" t="n">
        <v>46318.30574074074</v>
      </c>
      <c r="U701" s="2" t="inlineStr">
        <is>
          <t>2026-10-26: estado EV → RES</t>
        </is>
      </c>
    </row>
    <row r="702">
      <c r="A702" s="2" t="inlineStr">
        <is>
          <t>Resuelta</t>
        </is>
      </c>
      <c r="B702" s="3" t="n">
        <v>46258.58333333334</v>
      </c>
      <c r="C702" s="5" t="n">
        <v>474784.18</v>
      </c>
      <c r="D702" s="5" t="n">
        <v>474784.18</v>
      </c>
      <c r="E702" s="2" t="inlineStr">
        <is>
          <t>Andalucía</t>
        </is>
      </c>
      <c r="F702" s="2" t="inlineStr">
        <is>
          <t>Córdoba</t>
        </is>
      </c>
      <c r="G702" s="2" t="n"/>
      <c r="H702" s="2" t="inlineStr">
        <is>
          <t>Consejo de Administración de la Empresa Municipal Saneamientos de Córdoba S.A. (SADECO)</t>
        </is>
      </c>
      <c r="I702" s="2" t="inlineStr">
        <is>
          <t>Contrato de obras de adecuación del drenaje para la ampliación del área de vertido (fase 7) y protección del camino de acceso al actual vaso de vertido (fase 6) en el Complejo Medioambiental Juan Revilla</t>
        </is>
      </c>
      <c r="J702" s="2" t="inlineStr">
        <is>
          <t>Exp C26/61</t>
        </is>
      </c>
      <c r="K702" s="2" t="inlineStr">
        <is>
          <t>Abierto</t>
        </is>
      </c>
      <c r="L702" s="6" t="n">
        <v>3</v>
      </c>
      <c r="M702" s="2" t="inlineStr">
        <is>
          <t>E5-3</t>
        </is>
      </c>
      <c r="N702" s="7" t="n">
        <v>0</v>
      </c>
      <c r="O702" s="4" t="n"/>
      <c r="P702" s="2" t="inlineStr">
        <is>
          <t>45000000; 45232451</t>
        </is>
      </c>
      <c r="Q702" s="8" t="inlineStr">
        <is>
          <t>Ver</t>
        </is>
      </c>
      <c r="R702" s="8" t="inlineStr">
        <is>
          <t>PCAP</t>
        </is>
      </c>
      <c r="S702" s="9" t="n">
        <v>46321</v>
      </c>
      <c r="T702" s="3" t="n">
        <v>46318.26141203703</v>
      </c>
      <c r="U702" s="2" t="n"/>
    </row>
    <row r="703">
      <c r="A703" s="2" t="inlineStr">
        <is>
          <t>En plazo</t>
        </is>
      </c>
      <c r="B703" s="3" t="n">
        <v>46337.99930555555</v>
      </c>
      <c r="C703" s="5" t="n">
        <v>164439.17</v>
      </c>
      <c r="D703" s="5" t="n">
        <v>164439.17</v>
      </c>
      <c r="E703" s="2" t="inlineStr">
        <is>
          <t>Andalucía</t>
        </is>
      </c>
      <c r="F703" s="2" t="inlineStr">
        <is>
          <t>Granada</t>
        </is>
      </c>
      <c r="G703" s="2" t="n"/>
      <c r="H703" s="2" t="inlineStr">
        <is>
          <t>Alcaldia del Ayuntamiento de Salobreña</t>
        </is>
      </c>
      <c r="I703" s="2" t="inlineStr">
        <is>
          <t>La ejecución de las obras de remodelación de la Calle Granada de Lobres</t>
        </is>
      </c>
      <c r="J703" s="2" t="inlineStr">
        <is>
          <t>Expte.5710/2026</t>
        </is>
      </c>
      <c r="K703" s="2" t="inlineStr">
        <is>
          <t>Abierto simplificado</t>
        </is>
      </c>
      <c r="L703" s="6" t="n">
        <v>2.5</v>
      </c>
      <c r="M703" s="2" t="n"/>
      <c r="N703" s="7" t="n">
        <v>0</v>
      </c>
      <c r="O703" s="4" t="n"/>
      <c r="P703" s="2" t="inlineStr">
        <is>
          <t>45000000; 45233222; 45100000</t>
        </is>
      </c>
      <c r="Q703" s="8" t="inlineStr">
        <is>
          <t>Ver</t>
        </is>
      </c>
      <c r="R703" s="8" t="inlineStr">
        <is>
          <t>PCAP</t>
        </is>
      </c>
      <c r="S703" s="9" t="n">
        <v>46321</v>
      </c>
      <c r="T703" s="3" t="n">
        <v>46317.91916666667</v>
      </c>
      <c r="U703" s="2" t="n"/>
    </row>
    <row r="704">
      <c r="A704" s="2" t="inlineStr">
        <is>
          <t>En plazo</t>
        </is>
      </c>
      <c r="B704" s="3" t="n">
        <v>46337.99930555555</v>
      </c>
      <c r="C704" s="5" t="n">
        <v>525204.12</v>
      </c>
      <c r="D704" s="5" t="n">
        <v>525204.12</v>
      </c>
      <c r="E704" s="2" t="inlineStr">
        <is>
          <t>Andalucía</t>
        </is>
      </c>
      <c r="F704" s="2" t="inlineStr">
        <is>
          <t>Granada</t>
        </is>
      </c>
      <c r="G704" s="2" t="n"/>
      <c r="H704" s="2" t="inlineStr">
        <is>
          <t>Alcaldia del Ayuntamiento de Salobreña</t>
        </is>
      </c>
      <c r="I704" s="2" t="inlineStr">
        <is>
          <t>La ejecución del proyecto para la remodelación del espacio peatonal existente en el entorno del Juan ramón Jiménez</t>
        </is>
      </c>
      <c r="J704" s="2" t="inlineStr">
        <is>
          <t>Expte.5430/2026</t>
        </is>
      </c>
      <c r="K704" s="2" t="inlineStr">
        <is>
          <t>Abierto simplificado</t>
        </is>
      </c>
      <c r="L704" s="6" t="n">
        <v>2.5</v>
      </c>
      <c r="M704" s="2" t="inlineStr">
        <is>
          <t>G6-3</t>
        </is>
      </c>
      <c r="N704" s="7" t="n">
        <v>0</v>
      </c>
      <c r="O704" s="4" t="n"/>
      <c r="P704" s="2" t="inlineStr">
        <is>
          <t>45000000; 45100000; 45233222</t>
        </is>
      </c>
      <c r="Q704" s="8" t="inlineStr">
        <is>
          <t>Ver</t>
        </is>
      </c>
      <c r="R704" s="8" t="inlineStr">
        <is>
          <t>PCAP</t>
        </is>
      </c>
      <c r="S704" s="9" t="n">
        <v>46321</v>
      </c>
      <c r="T704" s="3" t="n">
        <v>46317.90481481481</v>
      </c>
      <c r="U704" s="2" t="n"/>
    </row>
    <row r="705">
      <c r="A705" s="2" t="inlineStr">
        <is>
          <t>En plazo</t>
        </is>
      </c>
      <c r="B705" s="3" t="n">
        <v>46337.99930555555</v>
      </c>
      <c r="C705" s="5" t="n">
        <v>360545.73</v>
      </c>
      <c r="D705" s="5" t="n">
        <v>360545.73</v>
      </c>
      <c r="E705" s="2" t="inlineStr">
        <is>
          <t>Comunitat Valenciana</t>
        </is>
      </c>
      <c r="F705" s="2" t="inlineStr">
        <is>
          <t>Alicante</t>
        </is>
      </c>
      <c r="G705" s="2" t="n"/>
      <c r="H705" s="2" t="inlineStr">
        <is>
          <t>Junta de Gobierno del Ayuntamiento de Torrevieja</t>
        </is>
      </c>
      <c r="I705" s="2" t="inlineStr">
        <is>
          <t>Contratación de la obra de reforma de las oficinas del cementerio municipal de Torrevieja</t>
        </is>
      </c>
      <c r="J705" s="2" t="inlineStr">
        <is>
          <t>69000/2026</t>
        </is>
      </c>
      <c r="K705" s="2" t="inlineStr">
        <is>
          <t>Abierto simplificado</t>
        </is>
      </c>
      <c r="L705" s="6" t="n">
        <v>8</v>
      </c>
      <c r="M705" s="2" t="n"/>
      <c r="N705" s="7" t="n">
        <v>0</v>
      </c>
      <c r="O705" s="4" t="n"/>
      <c r="P705" s="2" t="inlineStr">
        <is>
          <t>45454000</t>
        </is>
      </c>
      <c r="Q705" s="8" t="inlineStr">
        <is>
          <t>Ver</t>
        </is>
      </c>
      <c r="R705" s="8" t="inlineStr">
        <is>
          <t>PCAP</t>
        </is>
      </c>
      <c r="S705" s="9" t="n">
        <v>46310</v>
      </c>
      <c r="T705" s="3" t="n">
        <v>46317.85550925926</v>
      </c>
      <c r="U705" s="2" t="inlineStr">
        <is>
          <t>2026-10-26: plazo 2026-10-28 23:59 → 2026-11-11 23:59</t>
        </is>
      </c>
    </row>
    <row r="706">
      <c r="A706" s="2" t="inlineStr">
        <is>
          <t>En plazo</t>
        </is>
      </c>
      <c r="B706" s="3" t="n">
        <v>46346.58333333334</v>
      </c>
      <c r="C706" s="5" t="n">
        <v>193217.16</v>
      </c>
      <c r="D706" s="5" t="n">
        <v>193217.16</v>
      </c>
      <c r="E706" s="2" t="inlineStr">
        <is>
          <t>Andalucía</t>
        </is>
      </c>
      <c r="F706" s="2" t="inlineStr">
        <is>
          <t>Sevilla</t>
        </is>
      </c>
      <c r="G706" s="2" t="n"/>
      <c r="H706" s="2" t="inlineStr">
        <is>
          <t>Alcaldía del Ayuntamiento de El Ronquillo</t>
        </is>
      </c>
      <c r="I706" s="2" t="inlineStr">
        <is>
          <t>Reforma Vestuarios Campo de Futbol</t>
        </is>
      </c>
      <c r="J706" s="2" t="inlineStr">
        <is>
          <t>P4108300G-2026/000025-PAAS</t>
        </is>
      </c>
      <c r="K706" s="2" t="inlineStr">
        <is>
          <t>Abierto simplificado</t>
        </is>
      </c>
      <c r="L706" s="6" t="n">
        <v>8</v>
      </c>
      <c r="M706" s="2" t="n"/>
      <c r="N706" s="7" t="n">
        <v>0</v>
      </c>
      <c r="O706" s="4" t="n"/>
      <c r="P706" s="2" t="inlineStr">
        <is>
          <t>45212290</t>
        </is>
      </c>
      <c r="Q706" s="8" t="inlineStr">
        <is>
          <t>Ver</t>
        </is>
      </c>
      <c r="R706" s="8" t="inlineStr">
        <is>
          <t>PCAP</t>
        </is>
      </c>
      <c r="S706" s="9" t="n">
        <v>46318</v>
      </c>
      <c r="T706" s="3" t="n">
        <v>46317.78828703704</v>
      </c>
      <c r="U706" s="2" t="n"/>
    </row>
    <row r="707">
      <c r="A707" s="2" t="inlineStr">
        <is>
          <t>En plazo</t>
        </is>
      </c>
      <c r="B707" s="3" t="n">
        <v>46331.58333333334</v>
      </c>
      <c r="C707" s="5" t="n">
        <v>67791.5</v>
      </c>
      <c r="D707" s="5" t="n">
        <v>67791.5</v>
      </c>
      <c r="E707" s="2" t="inlineStr">
        <is>
          <t>Comunitat Valenciana</t>
        </is>
      </c>
      <c r="F707" s="2" t="inlineStr">
        <is>
          <t>Valencia</t>
        </is>
      </c>
      <c r="G707" s="2" t="n"/>
      <c r="H707" s="2" t="inlineStr">
        <is>
          <t>Pleno del Ayuntamiento de Aras de los Olmos</t>
        </is>
      </c>
      <c r="I707" s="2" t="inlineStr">
        <is>
          <t>Contrato abierto simplificado sumario de obras reforma consultorio auxiliar de aras de los olmos POI 2024-2027</t>
        </is>
      </c>
      <c r="J707" s="2" t="inlineStr">
        <is>
          <t>105/2026</t>
        </is>
      </c>
      <c r="K707" s="2" t="inlineStr">
        <is>
          <t>Abierto simplificado</t>
        </is>
      </c>
      <c r="L707" s="6" t="n">
        <v>3</v>
      </c>
      <c r="M707" s="2" t="n"/>
      <c r="N707" s="7" t="n"/>
      <c r="O707" s="4" t="n"/>
      <c r="P707" s="2" t="inlineStr">
        <is>
          <t>45000000; 45400000; 45300000</t>
        </is>
      </c>
      <c r="Q707" s="8" t="inlineStr">
        <is>
          <t>Ver</t>
        </is>
      </c>
      <c r="R707" s="8" t="inlineStr">
        <is>
          <t>PCAP</t>
        </is>
      </c>
      <c r="S707" s="9" t="n">
        <v>46318</v>
      </c>
      <c r="T707" s="3" t="n">
        <v>46317.76361111111</v>
      </c>
      <c r="U707" s="2" t="n"/>
    </row>
    <row r="708">
      <c r="A708" s="2" t="inlineStr">
        <is>
          <t>Resuelta</t>
        </is>
      </c>
      <c r="B708" s="3" t="n">
        <v>46230.99930555555</v>
      </c>
      <c r="C708" s="5" t="n">
        <v>95639.35000000001</v>
      </c>
      <c r="D708" s="5" t="n">
        <v>95639.35000000001</v>
      </c>
      <c r="E708" s="2" t="inlineStr">
        <is>
          <t>Comunitat Valenciana</t>
        </is>
      </c>
      <c r="F708" s="2" t="inlineStr">
        <is>
          <t>Valencia</t>
        </is>
      </c>
      <c r="G708" s="2" t="n"/>
      <c r="H708" s="2" t="inlineStr">
        <is>
          <t>Junta de Gobierno del Ayuntamiento de Alboraya</t>
        </is>
      </c>
      <c r="I708" s="2" t="inlineStr">
        <is>
          <t>Obras de ejecución de colector de saneamiento y pluvial de la Calle Sant Vicent</t>
        </is>
      </c>
      <c r="J708" s="2" t="inlineStr">
        <is>
          <t>2117/2026</t>
        </is>
      </c>
      <c r="K708" s="2" t="inlineStr">
        <is>
          <t>Abierto simplificado</t>
        </is>
      </c>
      <c r="L708" s="6" t="n">
        <v>2</v>
      </c>
      <c r="M708" s="2" t="n"/>
      <c r="N708" s="7" t="n">
        <v>0</v>
      </c>
      <c r="O708" s="4" t="n"/>
      <c r="P708" s="2" t="inlineStr">
        <is>
          <t>45232400</t>
        </is>
      </c>
      <c r="Q708" s="8" t="inlineStr">
        <is>
          <t>Ver</t>
        </is>
      </c>
      <c r="R708" s="8" t="inlineStr">
        <is>
          <t>PCAP</t>
        </is>
      </c>
      <c r="S708" s="9" t="n">
        <v>46318</v>
      </c>
      <c r="T708" s="3" t="n">
        <v>46317.69309027777</v>
      </c>
      <c r="U708" s="2" t="n"/>
    </row>
    <row r="709">
      <c r="A709" s="2" t="inlineStr">
        <is>
          <t>Resuelta</t>
        </is>
      </c>
      <c r="B709" s="3" t="n">
        <v>46226.54166666666</v>
      </c>
      <c r="C709" s="5" t="n">
        <v>1649940.26</v>
      </c>
      <c r="D709" s="5" t="n">
        <v>1649940.26</v>
      </c>
      <c r="E709" s="2" t="inlineStr">
        <is>
          <t>Andalucía</t>
        </is>
      </c>
      <c r="F709" s="2" t="inlineStr">
        <is>
          <t>Almería</t>
        </is>
      </c>
      <c r="G709" s="2" t="inlineStr">
        <is>
          <t>Almeria</t>
        </is>
      </c>
      <c r="H709" s="2" t="inlineStr">
        <is>
          <t>Rectorado de la Universidad de Almería</t>
        </is>
      </c>
      <c r="I709" s="2" t="inlineStr">
        <is>
          <t>Ejecución de la obra de Reforma y Ampliación del Edificio Paseo de la Universidad de Almería</t>
        </is>
      </c>
      <c r="J709" s="2" t="inlineStr">
        <is>
          <t>1099</t>
        </is>
      </c>
      <c r="K709" s="2" t="inlineStr">
        <is>
          <t>Abierto simplificado</t>
        </is>
      </c>
      <c r="L709" s="6" t="n">
        <v>12</v>
      </c>
      <c r="M709" s="2" t="n"/>
      <c r="N709" s="7" t="n">
        <v>0.25</v>
      </c>
      <c r="O709" s="4" t="n"/>
      <c r="P709" s="2" t="inlineStr">
        <is>
          <t>45210000; 45214000; 45214400</t>
        </is>
      </c>
      <c r="Q709" s="8" t="inlineStr">
        <is>
          <t>Ver</t>
        </is>
      </c>
      <c r="R709" s="8" t="inlineStr">
        <is>
          <t>PCAP</t>
        </is>
      </c>
      <c r="S709" s="9" t="n">
        <v>46318</v>
      </c>
      <c r="T709" s="3" t="n">
        <v>46317.67003472222</v>
      </c>
      <c r="U709" s="2" t="n"/>
    </row>
    <row r="710">
      <c r="A710" s="2" t="inlineStr">
        <is>
          <t>Adjudicada</t>
        </is>
      </c>
      <c r="B710" s="3" t="n">
        <v>46266.58333333334</v>
      </c>
      <c r="C710" s="5" t="n">
        <v>89628.10000000001</v>
      </c>
      <c r="D710" s="5" t="n">
        <v>89628.10000000001</v>
      </c>
      <c r="E710" s="2" t="inlineStr">
        <is>
          <t>Comunitat Valenciana</t>
        </is>
      </c>
      <c r="F710" s="2" t="inlineStr">
        <is>
          <t>Valencia</t>
        </is>
      </c>
      <c r="G710" s="2" t="inlineStr">
        <is>
          <t>Gandia</t>
        </is>
      </c>
      <c r="H710" s="2" t="inlineStr">
        <is>
          <t>Departamento de Salud de Gandía. Dirección Económica-Gerencia</t>
        </is>
      </c>
      <c r="I710" s="2" t="inlineStr">
        <is>
          <t>obra de mejora en la impermeabilización del aparcamiento superior del Hospital Universitario Francesc de Borja de Gandía, según especificaciones descritas en el PPT, respetuoso con el medio ambiente.</t>
        </is>
      </c>
      <c r="J710" s="2" t="inlineStr">
        <is>
          <t>PAS-OB 1160/2026</t>
        </is>
      </c>
      <c r="K710" s="2" t="inlineStr">
        <is>
          <t>Abierto simplificado</t>
        </is>
      </c>
      <c r="L710" s="6" t="n">
        <v>2</v>
      </c>
      <c r="M710" s="2" t="n"/>
      <c r="N710" s="7" t="n">
        <v>0.25</v>
      </c>
      <c r="O710" s="4" t="n"/>
      <c r="P710" s="2" t="inlineStr">
        <is>
          <t>45215100; 45261420; 45223300; 45442000</t>
        </is>
      </c>
      <c r="Q710" s="8" t="inlineStr">
        <is>
          <t>Ver</t>
        </is>
      </c>
      <c r="R710" s="8" t="inlineStr">
        <is>
          <t>PCAP</t>
        </is>
      </c>
      <c r="S710" s="9" t="n">
        <v>46318</v>
      </c>
      <c r="T710" s="3" t="n">
        <v>46317.66789351852</v>
      </c>
      <c r="U710" s="2" t="n"/>
    </row>
    <row r="711">
      <c r="A711" s="2" t="inlineStr">
        <is>
          <t>Pendiente de adjudicación</t>
        </is>
      </c>
      <c r="B711" s="3" t="n">
        <v>46293.99930555555</v>
      </c>
      <c r="C711" s="5" t="n">
        <v>176104.46</v>
      </c>
      <c r="D711" s="5" t="n">
        <v>176104.46</v>
      </c>
      <c r="E711" s="2" t="inlineStr">
        <is>
          <t>Comunitat Valenciana</t>
        </is>
      </c>
      <c r="F711" s="2" t="inlineStr">
        <is>
          <t>Valencia</t>
        </is>
      </c>
      <c r="G711" s="2" t="inlineStr">
        <is>
          <t>Sollana</t>
        </is>
      </c>
      <c r="H711" s="2" t="inlineStr">
        <is>
          <t>Junta de Gobierno del Ayuntamiento de Sollana</t>
        </is>
      </c>
      <c r="I711" s="2" t="inlineStr">
        <is>
          <t>EjecuciOn de las obras correspondientes al proyecto denominado URBANIZACIÓN ENTORNO PISTAS PÁDEL</t>
        </is>
      </c>
      <c r="J711" s="2" t="inlineStr">
        <is>
          <t>938-2026</t>
        </is>
      </c>
      <c r="K711" s="2" t="inlineStr">
        <is>
          <t>Abierto simplificado</t>
        </is>
      </c>
      <c r="L711" s="6" t="n">
        <v>2</v>
      </c>
      <c r="M711" s="2" t="inlineStr">
        <is>
          <t>C3-2; G4-2</t>
        </is>
      </c>
      <c r="N711" s="7" t="n">
        <v>0</v>
      </c>
      <c r="O711" s="4" t="n"/>
      <c r="P711" s="2" t="inlineStr">
        <is>
          <t>45200000; 45233222</t>
        </is>
      </c>
      <c r="Q711" s="8" t="inlineStr">
        <is>
          <t>Ver</t>
        </is>
      </c>
      <c r="R711" s="8" t="inlineStr">
        <is>
          <t>PCAP</t>
        </is>
      </c>
      <c r="S711" s="9" t="n">
        <v>46310</v>
      </c>
      <c r="T711" s="3" t="n">
        <v>46317.6208912037</v>
      </c>
      <c r="U711" s="2" t="n"/>
    </row>
    <row r="712">
      <c r="A712" s="2" t="inlineStr">
        <is>
          <t>En plazo</t>
        </is>
      </c>
      <c r="B712" s="3" t="n">
        <v>46337.99930555555</v>
      </c>
      <c r="C712" s="5" t="n">
        <v>93092.92</v>
      </c>
      <c r="D712" s="5" t="n">
        <v>93090.92</v>
      </c>
      <c r="E712" s="2" t="inlineStr">
        <is>
          <t>Andalucía</t>
        </is>
      </c>
      <c r="F712" s="2" t="inlineStr">
        <is>
          <t>Jaén</t>
        </is>
      </c>
      <c r="G712" s="2" t="inlineStr">
        <is>
          <t>Segura de la Sierra</t>
        </is>
      </c>
      <c r="H712" s="2" t="inlineStr">
        <is>
          <t>Alcaldía del Ayuntamiento de Segura de la Sierra</t>
        </is>
      </c>
      <c r="I712" s="2" t="inlineStr">
        <is>
          <t>Adecuación mejora de viales en Cortijos Nuevos del Ayuntamiento de Segura de la Sierra (Jaén).</t>
        </is>
      </c>
      <c r="J712" s="2" t="inlineStr">
        <is>
          <t>964/2026</t>
        </is>
      </c>
      <c r="K712" s="2" t="inlineStr">
        <is>
          <t>Abierto simplificado</t>
        </is>
      </c>
      <c r="L712" s="6" t="n">
        <v>6</v>
      </c>
      <c r="M712" s="2" t="inlineStr">
        <is>
          <t>C6-1</t>
        </is>
      </c>
      <c r="N712" s="7" t="n">
        <v>0</v>
      </c>
      <c r="O712" s="4" t="n"/>
      <c r="P712" s="2" t="inlineStr">
        <is>
          <t>45432110</t>
        </is>
      </c>
      <c r="Q712" s="8" t="inlineStr">
        <is>
          <t>Ver</t>
        </is>
      </c>
      <c r="R712" s="8" t="inlineStr">
        <is>
          <t>PCAP</t>
        </is>
      </c>
      <c r="S712" s="9" t="n">
        <v>46318</v>
      </c>
      <c r="T712" s="3" t="n">
        <v>46317.62032407407</v>
      </c>
      <c r="U712" s="2" t="n"/>
    </row>
    <row r="713">
      <c r="A713" s="2" t="inlineStr">
        <is>
          <t>En plazo</t>
        </is>
      </c>
      <c r="B713" s="3" t="n">
        <v>46337.99930555555</v>
      </c>
      <c r="C713" s="5" t="n">
        <v>407503.07</v>
      </c>
      <c r="D713" s="5" t="n">
        <v>448253.38</v>
      </c>
      <c r="E713" s="2" t="inlineStr">
        <is>
          <t>Comunitat Valenciana</t>
        </is>
      </c>
      <c r="F713" s="2" t="inlineStr">
        <is>
          <t>Valencia</t>
        </is>
      </c>
      <c r="G713" s="2" t="n"/>
      <c r="H713" s="2" t="inlineStr">
        <is>
          <t>Junta de Gobierno del Ajuntament de València</t>
        </is>
      </c>
      <c r="I713" s="2" t="inlineStr">
        <is>
          <t>Obras de mejora de Itinerarios Ciclistas de los Presupuestos Participativos 2020-2021, dividido en 3 lotes. Propuestas de Inversión nº 4331, nº 4633, nº 5008.</t>
        </is>
      </c>
      <c r="J713" s="2" t="inlineStr">
        <is>
          <t>04101/2026/172-O</t>
        </is>
      </c>
      <c r="K713" s="2" t="inlineStr">
        <is>
          <t>Abierto simplificado</t>
        </is>
      </c>
      <c r="L713" s="6" t="n">
        <v>4</v>
      </c>
      <c r="M713" s="2" t="n"/>
      <c r="N713" s="7" t="n">
        <v>0</v>
      </c>
      <c r="O713" s="4" t="n">
        <v>3</v>
      </c>
      <c r="P713" s="2" t="inlineStr">
        <is>
          <t>45200000</t>
        </is>
      </c>
      <c r="Q713" s="8" t="inlineStr">
        <is>
          <t>Ver</t>
        </is>
      </c>
      <c r="R713" s="8" t="inlineStr">
        <is>
          <t>PCAP</t>
        </is>
      </c>
      <c r="S713" s="9" t="n">
        <v>46318</v>
      </c>
      <c r="T713" s="3" t="n">
        <v>46317.61730324074</v>
      </c>
      <c r="U713" s="2" t="n"/>
    </row>
    <row r="714">
      <c r="A714" s="2" t="inlineStr">
        <is>
          <t>Resuelta</t>
        </is>
      </c>
      <c r="B714" s="3" t="n">
        <v>46280.41666666666</v>
      </c>
      <c r="C714" s="5" t="n">
        <v>106398</v>
      </c>
      <c r="D714" s="5" t="n">
        <v>106398</v>
      </c>
      <c r="E714" s="2" t="inlineStr">
        <is>
          <t>Andalucía</t>
        </is>
      </c>
      <c r="F714" s="2" t="inlineStr">
        <is>
          <t>Almería</t>
        </is>
      </c>
      <c r="G714" s="2" t="n"/>
      <c r="H714" s="2" t="inlineStr">
        <is>
          <t>Empresa de Transformación Agraria S.A.,S.M.E., M.P., (TRAGSA)</t>
        </is>
      </c>
      <c r="I71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14" s="2" t="inlineStr">
        <is>
          <t>TSA0078977-356</t>
        </is>
      </c>
      <c r="K714" s="2" t="inlineStr">
        <is>
          <t>Abierto</t>
        </is>
      </c>
      <c r="L714" s="6" t="n">
        <v>6</v>
      </c>
      <c r="M714" s="2" t="n"/>
      <c r="N714" s="7" t="n">
        <v>0</v>
      </c>
      <c r="O714" s="4" t="n"/>
      <c r="P714" s="2" t="inlineStr">
        <is>
          <t>45500000</t>
        </is>
      </c>
      <c r="Q714" s="8" t="inlineStr">
        <is>
          <t>Ver</t>
        </is>
      </c>
      <c r="R714" s="8" t="inlineStr">
        <is>
          <t>PCAP</t>
        </is>
      </c>
      <c r="S714" s="9" t="n">
        <v>46310</v>
      </c>
      <c r="T714" s="3" t="n">
        <v>46317.61061342592</v>
      </c>
      <c r="U714" s="2" t="n"/>
    </row>
    <row r="715">
      <c r="A715" s="2" t="inlineStr">
        <is>
          <t>Resuelta</t>
        </is>
      </c>
      <c r="B715" s="3" t="n">
        <v>46280.41666666666</v>
      </c>
      <c r="C715" s="5" t="n">
        <v>106398</v>
      </c>
      <c r="D715" s="5" t="n">
        <v>106398</v>
      </c>
      <c r="E715" s="2" t="inlineStr">
        <is>
          <t>Andalucía</t>
        </is>
      </c>
      <c r="F715" s="2" t="inlineStr">
        <is>
          <t>Almería</t>
        </is>
      </c>
      <c r="G715" s="2" t="n"/>
      <c r="H715" s="2" t="inlineStr">
        <is>
          <t>Empresa de Transformación Agraria S.A.,S.M.E., M.P., (TRAGSA)</t>
        </is>
      </c>
      <c r="I71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15" s="2" t="inlineStr">
        <is>
          <t>TSA0078977-355</t>
        </is>
      </c>
      <c r="K715" s="2" t="inlineStr">
        <is>
          <t>Abierto</t>
        </is>
      </c>
      <c r="L715" s="6" t="n">
        <v>6</v>
      </c>
      <c r="M715" s="2" t="n"/>
      <c r="N715" s="7" t="n">
        <v>0</v>
      </c>
      <c r="O715" s="4" t="n"/>
      <c r="P715" s="2" t="inlineStr">
        <is>
          <t>45500000</t>
        </is>
      </c>
      <c r="Q715" s="8" t="inlineStr">
        <is>
          <t>Ver</t>
        </is>
      </c>
      <c r="R715" s="8" t="inlineStr">
        <is>
          <t>PCAP</t>
        </is>
      </c>
      <c r="S715" s="9" t="n">
        <v>46310</v>
      </c>
      <c r="T715" s="3" t="n">
        <v>46317.60969907408</v>
      </c>
      <c r="U715" s="2" t="n"/>
    </row>
    <row r="716">
      <c r="A716" s="2" t="inlineStr">
        <is>
          <t>Resuelta</t>
        </is>
      </c>
      <c r="B716" s="3" t="n">
        <v>46280.41666666666</v>
      </c>
      <c r="C716" s="5" t="n">
        <v>106398</v>
      </c>
      <c r="D716" s="5" t="n">
        <v>106398</v>
      </c>
      <c r="E716" s="2" t="inlineStr">
        <is>
          <t>Andalucía</t>
        </is>
      </c>
      <c r="F716" s="2" t="inlineStr">
        <is>
          <t>Almería</t>
        </is>
      </c>
      <c r="G716" s="2" t="n"/>
      <c r="H716" s="2" t="inlineStr">
        <is>
          <t>Empresa de Transformación Agraria S.A.,S.M.E., M.P., (TRAGSA)</t>
        </is>
      </c>
      <c r="I71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16" s="2" t="inlineStr">
        <is>
          <t>TSA0078977-354</t>
        </is>
      </c>
      <c r="K716" s="2" t="inlineStr">
        <is>
          <t>Abierto</t>
        </is>
      </c>
      <c r="L716" s="6" t="n">
        <v>6</v>
      </c>
      <c r="M716" s="2" t="n"/>
      <c r="N716" s="7" t="n">
        <v>0</v>
      </c>
      <c r="O716" s="4" t="n"/>
      <c r="P716" s="2" t="inlineStr">
        <is>
          <t>45500000</t>
        </is>
      </c>
      <c r="Q716" s="8" t="inlineStr">
        <is>
          <t>Ver</t>
        </is>
      </c>
      <c r="R716" s="8" t="inlineStr">
        <is>
          <t>PCAP</t>
        </is>
      </c>
      <c r="S716" s="9" t="n">
        <v>46310</v>
      </c>
      <c r="T716" s="3" t="n">
        <v>46317.60859953704</v>
      </c>
      <c r="U716" s="2" t="n"/>
    </row>
    <row r="717">
      <c r="A717" s="2" t="inlineStr">
        <is>
          <t>Resuelta</t>
        </is>
      </c>
      <c r="B717" s="3" t="n">
        <v>46287.41666666666</v>
      </c>
      <c r="C717" s="5" t="n">
        <v>11500</v>
      </c>
      <c r="D717" s="5" t="n">
        <v>11500</v>
      </c>
      <c r="E717" s="2" t="inlineStr">
        <is>
          <t>Andalucía</t>
        </is>
      </c>
      <c r="F717" s="2" t="inlineStr">
        <is>
          <t>Granada</t>
        </is>
      </c>
      <c r="G717" s="2" t="n"/>
      <c r="H717" s="2" t="inlineStr">
        <is>
          <t>Empresa de Transformación Agraria S.A.,S.M.E., M.P., (TRAGSA)</t>
        </is>
      </c>
      <c r="I717"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717" s="2" t="inlineStr">
        <is>
          <t>TSA0077561-340</t>
        </is>
      </c>
      <c r="K717" s="2" t="inlineStr">
        <is>
          <t>Abierto</t>
        </is>
      </c>
      <c r="L717" s="6" t="n">
        <v>2</v>
      </c>
      <c r="M717" s="2" t="n"/>
      <c r="N717" s="7" t="n">
        <v>0</v>
      </c>
      <c r="O717" s="4" t="n"/>
      <c r="P717" s="2" t="inlineStr">
        <is>
          <t>45500000</t>
        </is>
      </c>
      <c r="Q717" s="8" t="inlineStr">
        <is>
          <t>Ver</t>
        </is>
      </c>
      <c r="R717" s="8" t="inlineStr">
        <is>
          <t>PCAP</t>
        </is>
      </c>
      <c r="S717" s="9" t="n">
        <v>46315</v>
      </c>
      <c r="T717" s="3" t="n">
        <v>46317.60739583334</v>
      </c>
      <c r="U717" s="2" t="n"/>
    </row>
    <row r="718">
      <c r="A718" s="2" t="inlineStr">
        <is>
          <t>Resuelta</t>
        </is>
      </c>
      <c r="B718" s="3" t="n">
        <v>46287.41666666666</v>
      </c>
      <c r="C718" s="5" t="n">
        <v>46000</v>
      </c>
      <c r="D718" s="5" t="n">
        <v>46000</v>
      </c>
      <c r="E718" s="2" t="inlineStr">
        <is>
          <t>Andalucía</t>
        </is>
      </c>
      <c r="F718" s="2" t="inlineStr">
        <is>
          <t>Granada</t>
        </is>
      </c>
      <c r="G718" s="2" t="n"/>
      <c r="H718" s="2" t="inlineStr">
        <is>
          <t>Empresa de Transformación Agraria S.A.,S.M.E., M.P., (TRAGSA)</t>
        </is>
      </c>
      <c r="I71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718" s="2" t="inlineStr">
        <is>
          <t>TSA0077561-336</t>
        </is>
      </c>
      <c r="K718" s="2" t="inlineStr">
        <is>
          <t>Abierto</t>
        </is>
      </c>
      <c r="L718" s="6" t="n">
        <v>2</v>
      </c>
      <c r="M718" s="2" t="n"/>
      <c r="N718" s="7" t="n">
        <v>0</v>
      </c>
      <c r="O718" s="4" t="n"/>
      <c r="P718" s="2" t="inlineStr">
        <is>
          <t>45500000</t>
        </is>
      </c>
      <c r="Q718" s="8" t="inlineStr">
        <is>
          <t>Ver</t>
        </is>
      </c>
      <c r="R718" s="8" t="inlineStr">
        <is>
          <t>PCAP</t>
        </is>
      </c>
      <c r="S718" s="9" t="n">
        <v>46317</v>
      </c>
      <c r="T718" s="3" t="n">
        <v>46317.605625</v>
      </c>
      <c r="U718" s="2" t="n"/>
    </row>
    <row r="719">
      <c r="A719" s="2" t="inlineStr">
        <is>
          <t>Resuelta</t>
        </is>
      </c>
      <c r="B719" s="3" t="n">
        <v>46280.41666666666</v>
      </c>
      <c r="C719" s="5" t="n">
        <v>27250</v>
      </c>
      <c r="D719" s="5" t="n">
        <v>27250</v>
      </c>
      <c r="E719" s="2" t="inlineStr">
        <is>
          <t>Andalucía</t>
        </is>
      </c>
      <c r="F719" s="2" t="inlineStr">
        <is>
          <t>Granada</t>
        </is>
      </c>
      <c r="G719" s="2" t="n"/>
      <c r="H719" s="2" t="inlineStr">
        <is>
          <t>Empresa de Transformación Agraria S.A.,S.M.E., M.P., (TRAGSA)</t>
        </is>
      </c>
      <c r="I71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719" s="2" t="inlineStr">
        <is>
          <t>TSA0077561-334</t>
        </is>
      </c>
      <c r="K719" s="2" t="inlineStr">
        <is>
          <t>Abierto</t>
        </is>
      </c>
      <c r="L719" s="6" t="n">
        <v>3</v>
      </c>
      <c r="M719" s="2" t="n"/>
      <c r="N719" s="7" t="n">
        <v>0</v>
      </c>
      <c r="O719" s="4" t="n"/>
      <c r="P719" s="2" t="inlineStr">
        <is>
          <t>45500000</t>
        </is>
      </c>
      <c r="Q719" s="8" t="inlineStr">
        <is>
          <t>Ver</t>
        </is>
      </c>
      <c r="R719" s="8" t="inlineStr">
        <is>
          <t>PCAP</t>
        </is>
      </c>
      <c r="S719" s="9" t="n">
        <v>46310</v>
      </c>
      <c r="T719" s="3" t="n">
        <v>46317.60460648148</v>
      </c>
      <c r="U719" s="2" t="n"/>
    </row>
    <row r="720">
      <c r="A720" s="2" t="inlineStr">
        <is>
          <t>Resuelta</t>
        </is>
      </c>
      <c r="B720" s="3" t="n">
        <v>46280.41666666666</v>
      </c>
      <c r="C720" s="5" t="n">
        <v>88750</v>
      </c>
      <c r="D720" s="5" t="n">
        <v>88750</v>
      </c>
      <c r="E720" s="2" t="inlineStr">
        <is>
          <t>Andalucía</t>
        </is>
      </c>
      <c r="F720" s="2" t="inlineStr">
        <is>
          <t>Granada</t>
        </is>
      </c>
      <c r="G720" s="2" t="n"/>
      <c r="H720" s="2" t="inlineStr">
        <is>
          <t>Empresa de Transformación Agraria S.A.,S.M.E., M.P., (TRAGSA)</t>
        </is>
      </c>
      <c r="I72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720" s="2" t="inlineStr">
        <is>
          <t>TSA0077561-333</t>
        </is>
      </c>
      <c r="K720" s="2" t="inlineStr">
        <is>
          <t>Abierto</t>
        </is>
      </c>
      <c r="L720" s="6" t="n">
        <v>2</v>
      </c>
      <c r="M720" s="2" t="n"/>
      <c r="N720" s="7" t="n">
        <v>0</v>
      </c>
      <c r="O720" s="4" t="n"/>
      <c r="P720" s="2" t="inlineStr">
        <is>
          <t>45500000</t>
        </is>
      </c>
      <c r="Q720" s="8" t="inlineStr">
        <is>
          <t>Ver</t>
        </is>
      </c>
      <c r="R720" s="8" t="inlineStr">
        <is>
          <t>PCAP</t>
        </is>
      </c>
      <c r="S720" s="9" t="n">
        <v>46310</v>
      </c>
      <c r="T720" s="3" t="n">
        <v>46317.60324074074</v>
      </c>
      <c r="U720" s="2" t="n"/>
    </row>
    <row r="721">
      <c r="A721" s="2" t="inlineStr">
        <is>
          <t>Resuelta</t>
        </is>
      </c>
      <c r="B721" s="3" t="n">
        <v>46003.99930555555</v>
      </c>
      <c r="C721" s="5" t="n">
        <v>62250</v>
      </c>
      <c r="D721" s="5" t="n">
        <v>62250</v>
      </c>
      <c r="E721" s="2" t="inlineStr">
        <is>
          <t>Andalucía</t>
        </is>
      </c>
      <c r="F721" s="2" t="inlineStr">
        <is>
          <t>Sevilla</t>
        </is>
      </c>
      <c r="G721" s="2" t="n"/>
      <c r="H721" s="2" t="inlineStr">
        <is>
          <t>Teniente Alcalde, Delegado de Contratación del Ayuntamiento de Lebrija</t>
        </is>
      </c>
      <c r="I721" s="2" t="inlineStr">
        <is>
          <t>contratación de equipos de obras y arrendamiento de maquinaria de obra sin conductor para la ejecución del "Modificado de Proyecto de Pavimentación e Infraestructura en calle San Francisco -Tramo 3 - Parte 2" de Lebrija.</t>
        </is>
      </c>
      <c r="J721" s="2" t="inlineStr">
        <is>
          <t>P4105300J-2025/000247-PAAB</t>
        </is>
      </c>
      <c r="K721" s="2" t="inlineStr">
        <is>
          <t>Abierto simplificado</t>
        </is>
      </c>
      <c r="L721" s="6" t="n">
        <v>6</v>
      </c>
      <c r="M721" s="2" t="n"/>
      <c r="N721" s="7" t="n">
        <v>0</v>
      </c>
      <c r="O721" s="4" t="n">
        <v>12</v>
      </c>
      <c r="P721" s="2" t="inlineStr">
        <is>
          <t>45500000; 60181000; 43300000</t>
        </is>
      </c>
      <c r="Q721" s="8" t="inlineStr">
        <is>
          <t>Ver</t>
        </is>
      </c>
      <c r="R721" s="8" t="inlineStr">
        <is>
          <t>PCAP</t>
        </is>
      </c>
      <c r="S721" s="9" t="n">
        <v>46318</v>
      </c>
      <c r="T721" s="3" t="n">
        <v>46317.60258101852</v>
      </c>
      <c r="U721" s="2" t="n"/>
    </row>
    <row r="722">
      <c r="A722" s="2" t="inlineStr">
        <is>
          <t>Resuelta</t>
        </is>
      </c>
      <c r="B722" s="3" t="n">
        <v>45951.41666666666</v>
      </c>
      <c r="C722" s="5" t="n">
        <v>99750</v>
      </c>
      <c r="D722" s="5" t="n">
        <v>99750</v>
      </c>
      <c r="E722" s="2" t="inlineStr">
        <is>
          <t>Andalucía</t>
        </is>
      </c>
      <c r="F722" s="2" t="inlineStr">
        <is>
          <t>Sevilla</t>
        </is>
      </c>
      <c r="G722" s="2" t="n"/>
      <c r="H722" s="2" t="inlineStr">
        <is>
          <t>Empresa de Transformación Agraria S.A.,S.M.E., M.P., (TRAGSA)</t>
        </is>
      </c>
      <c r="I722"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722" s="2" t="inlineStr">
        <is>
          <t>TSA0076787-124</t>
        </is>
      </c>
      <c r="K722" s="2" t="inlineStr">
        <is>
          <t>Abierto</t>
        </is>
      </c>
      <c r="L722" s="6" t="n">
        <v>12</v>
      </c>
      <c r="M722" s="2" t="n"/>
      <c r="N722" s="7" t="n">
        <v>0</v>
      </c>
      <c r="O722" s="4" t="n"/>
      <c r="P722" s="2" t="inlineStr">
        <is>
          <t>45500000</t>
        </is>
      </c>
      <c r="Q722" s="8" t="inlineStr">
        <is>
          <t>Ver</t>
        </is>
      </c>
      <c r="R722" s="8" t="inlineStr">
        <is>
          <t>PCAP</t>
        </is>
      </c>
      <c r="S722" s="9" t="n">
        <v>46315</v>
      </c>
      <c r="T722" s="3" t="n">
        <v>46317.60224537037</v>
      </c>
      <c r="U722" s="2" t="n"/>
    </row>
    <row r="723">
      <c r="A723" s="2" t="inlineStr">
        <is>
          <t>Resuelta</t>
        </is>
      </c>
      <c r="B723" s="3" t="n">
        <v>45979.41666666666</v>
      </c>
      <c r="C723" s="5" t="n">
        <v>39000</v>
      </c>
      <c r="D723" s="5" t="n">
        <v>39000</v>
      </c>
      <c r="E723" s="2" t="inlineStr">
        <is>
          <t>Andalucía</t>
        </is>
      </c>
      <c r="F723" s="2" t="inlineStr">
        <is>
          <t>Granada</t>
        </is>
      </c>
      <c r="G723" s="2" t="n"/>
      <c r="H723" s="2" t="inlineStr">
        <is>
          <t>Empresa de Transformación Agraria S.A.,S.M.E., M.P., (TRAGSA)</t>
        </is>
      </c>
      <c r="I72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 financiado por Unión Europea-Next Generation EU"</t>
        </is>
      </c>
      <c r="J723" s="2" t="inlineStr">
        <is>
          <t>TSA0077561-222</t>
        </is>
      </c>
      <c r="K723" s="2" t="inlineStr">
        <is>
          <t>Abierto</t>
        </is>
      </c>
      <c r="L723" s="6" t="n"/>
      <c r="M723" s="2" t="n"/>
      <c r="N723" s="7" t="n">
        <v>0</v>
      </c>
      <c r="O723" s="4" t="n"/>
      <c r="P723" s="2" t="inlineStr">
        <is>
          <t>45500000</t>
        </is>
      </c>
      <c r="Q723" s="8" t="inlineStr">
        <is>
          <t>Ver</t>
        </is>
      </c>
      <c r="R723" s="8" t="inlineStr">
        <is>
          <t>PCAP</t>
        </is>
      </c>
      <c r="S723" s="9" t="n">
        <v>46317</v>
      </c>
      <c r="T723" s="3" t="n">
        <v>46317.60123842592</v>
      </c>
      <c r="U723" s="2" t="n"/>
    </row>
    <row r="724">
      <c r="A724" s="2" t="inlineStr">
        <is>
          <t>Resuelta</t>
        </is>
      </c>
      <c r="B724" s="3" t="n">
        <v>46105.41666666666</v>
      </c>
      <c r="C724" s="5" t="n">
        <v>66528</v>
      </c>
      <c r="D724" s="5" t="n">
        <v>66528</v>
      </c>
      <c r="E724" s="2" t="inlineStr">
        <is>
          <t>Andalucía</t>
        </is>
      </c>
      <c r="F724" s="2" t="inlineStr">
        <is>
          <t>Córdoba</t>
        </is>
      </c>
      <c r="G724" s="2" t="n"/>
      <c r="H724" s="2" t="inlineStr">
        <is>
          <t>Empresa de Transformación Agraria S.A.,S.M.E., M.P., (TRAGSA)</t>
        </is>
      </c>
      <c r="I72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724" s="2" t="inlineStr">
        <is>
          <t>TSA0079529-098</t>
        </is>
      </c>
      <c r="K724" s="2" t="inlineStr">
        <is>
          <t>Abierto</t>
        </is>
      </c>
      <c r="L724" s="6" t="n"/>
      <c r="M724" s="2" t="n"/>
      <c r="N724" s="7" t="n">
        <v>0</v>
      </c>
      <c r="O724" s="4" t="n"/>
      <c r="P724" s="2" t="inlineStr">
        <is>
          <t>45500000</t>
        </is>
      </c>
      <c r="Q724" s="8" t="inlineStr">
        <is>
          <t>Ver</t>
        </is>
      </c>
      <c r="R724" s="8" t="inlineStr">
        <is>
          <t>PCAP</t>
        </is>
      </c>
      <c r="S724" s="9" t="n">
        <v>46317</v>
      </c>
      <c r="T724" s="3" t="n">
        <v>46317.60012731481</v>
      </c>
      <c r="U724" s="2" t="n"/>
    </row>
    <row r="725">
      <c r="A725" s="2" t="inlineStr">
        <is>
          <t>Pendiente de adjudicación</t>
        </is>
      </c>
      <c r="B725" s="3" t="n">
        <v>46253.58333333334</v>
      </c>
      <c r="C725" s="5" t="n">
        <v>82607.77</v>
      </c>
      <c r="D725" s="5" t="n">
        <v>82607.77</v>
      </c>
      <c r="E725" s="2" t="inlineStr">
        <is>
          <t>Comunitat Valenciana</t>
        </is>
      </c>
      <c r="F725" s="2" t="inlineStr">
        <is>
          <t>Valencia</t>
        </is>
      </c>
      <c r="G725" s="2" t="inlineStr">
        <is>
          <t>Requena</t>
        </is>
      </c>
      <c r="H725" s="2" t="inlineStr">
        <is>
          <t>Alcaldía del Ayuntamiento de Requena</t>
        </is>
      </c>
      <c r="I725" s="2" t="inlineStr">
        <is>
          <t>Obras de instalación fotovoltaica de autoconsumo colectivo a través de red en el Centro de Día de Requena</t>
        </is>
      </c>
      <c r="J725" s="2" t="inlineStr">
        <is>
          <t>2813654D</t>
        </is>
      </c>
      <c r="K725" s="2" t="inlineStr">
        <is>
          <t>Abierto simplificado</t>
        </is>
      </c>
      <c r="L725" s="6" t="n">
        <v>2</v>
      </c>
      <c r="M725" s="2" t="n"/>
      <c r="N725" s="7" t="n">
        <v>0</v>
      </c>
      <c r="O725" s="4" t="n"/>
      <c r="P725" s="2" t="inlineStr">
        <is>
          <t>45300000</t>
        </is>
      </c>
      <c r="Q725" s="8" t="inlineStr">
        <is>
          <t>Ver</t>
        </is>
      </c>
      <c r="R725" s="8" t="inlineStr">
        <is>
          <t>PCAP</t>
        </is>
      </c>
      <c r="S725" s="9" t="n">
        <v>46318</v>
      </c>
      <c r="T725" s="3" t="n">
        <v>46317.59652777778</v>
      </c>
      <c r="U725" s="2" t="n"/>
    </row>
    <row r="726">
      <c r="A726" s="2" t="inlineStr">
        <is>
          <t>Pendiente de adjudicación</t>
        </is>
      </c>
      <c r="B726" s="3" t="n">
        <v>46315.54166666666</v>
      </c>
      <c r="C726" s="5" t="n">
        <v>266719.26</v>
      </c>
      <c r="D726" s="5" t="n">
        <v>266719.26</v>
      </c>
      <c r="E726" s="2" t="inlineStr">
        <is>
          <t>Comunitat Valenciana</t>
        </is>
      </c>
      <c r="F726" s="2" t="inlineStr">
        <is>
          <t>Alicante</t>
        </is>
      </c>
      <c r="G726" s="2" t="n"/>
      <c r="H726" s="2" t="inlineStr">
        <is>
          <t>Junta de Gobierno Local del Ayuntamiento de Alicante</t>
        </is>
      </c>
      <c r="I726" s="2" t="inlineStr">
        <is>
          <t>Proyecto de inserción de una plataforma blanda estacional peatonal en formato de no rotonda táctica en la intersección de las Calles del Marco y del Dólar. Polígono industrial "Las Atalayas" OLÍGONO INDUSTRIAL ¿LAS ATALAYAS¿</t>
        </is>
      </c>
      <c r="J726" s="2" t="inlineStr">
        <is>
          <t>97/26</t>
        </is>
      </c>
      <c r="K726" s="2" t="inlineStr">
        <is>
          <t>Abierto simplificado</t>
        </is>
      </c>
      <c r="L726" s="6" t="n">
        <v>3</v>
      </c>
      <c r="M726" s="2" t="n"/>
      <c r="N726" s="7" t="n">
        <v>0</v>
      </c>
      <c r="O726" s="4" t="n"/>
      <c r="P726" s="2" t="inlineStr">
        <is>
          <t>45233140</t>
        </is>
      </c>
      <c r="Q726" s="8" t="inlineStr">
        <is>
          <t>Ver</t>
        </is>
      </c>
      <c r="R726" s="8" t="inlineStr">
        <is>
          <t>PCAP</t>
        </is>
      </c>
      <c r="S726" s="9" t="n">
        <v>46310</v>
      </c>
      <c r="T726" s="3" t="n">
        <v>46317.59125</v>
      </c>
      <c r="U726" s="2" t="inlineStr">
        <is>
          <t>2026-10-23: estado PUB → EV</t>
        </is>
      </c>
    </row>
    <row r="727">
      <c r="A727" s="2" t="inlineStr">
        <is>
          <t>En plazo</t>
        </is>
      </c>
      <c r="B727" s="3" t="n">
        <v>46337.99930555555</v>
      </c>
      <c r="C727" s="5" t="n">
        <v>49043.32</v>
      </c>
      <c r="D727" s="5" t="n">
        <v>53947.65</v>
      </c>
      <c r="E727" s="2" t="inlineStr">
        <is>
          <t>Andalucía</t>
        </is>
      </c>
      <c r="F727" s="2" t="inlineStr">
        <is>
          <t>Málaga</t>
        </is>
      </c>
      <c r="G727" s="2" t="inlineStr">
        <is>
          <t>Cuevas del Becerro</t>
        </is>
      </c>
      <c r="H727" s="2" t="inlineStr">
        <is>
          <t>Alcaldía del Ayuntamiento de Cuevas del Becerro</t>
        </is>
      </c>
      <c r="I727" s="2" t="inlineStr">
        <is>
          <t>Reparación de daños en el centro cultural "Margarita Nebro"</t>
        </is>
      </c>
      <c r="J727" s="2" t="inlineStr">
        <is>
          <t>75/2026</t>
        </is>
      </c>
      <c r="K727" s="2" t="inlineStr">
        <is>
          <t>Abierto</t>
        </is>
      </c>
      <c r="L727" s="6" t="n">
        <v>3</v>
      </c>
      <c r="M727" s="2" t="n"/>
      <c r="N727" s="7" t="n">
        <v>0.25</v>
      </c>
      <c r="O727" s="4" t="n"/>
      <c r="P727" s="2" t="inlineStr">
        <is>
          <t>45215222</t>
        </is>
      </c>
      <c r="Q727" s="8" t="inlineStr">
        <is>
          <t>Ver</t>
        </is>
      </c>
      <c r="R727" s="8" t="inlineStr">
        <is>
          <t>PCAP</t>
        </is>
      </c>
      <c r="S727" s="9" t="n">
        <v>46318</v>
      </c>
      <c r="T727" s="3" t="n">
        <v>46317.59048611111</v>
      </c>
      <c r="U727" s="2" t="n"/>
    </row>
    <row r="728">
      <c r="A728" s="2" t="inlineStr">
        <is>
          <t>En plazo</t>
        </is>
      </c>
      <c r="B728" s="3" t="n">
        <v>46330.79166666666</v>
      </c>
      <c r="C728" s="5" t="n">
        <v>5022149.12</v>
      </c>
      <c r="D728" s="5" t="n">
        <v>5022149.12</v>
      </c>
      <c r="E728" s="2" t="inlineStr">
        <is>
          <t>Andalucía</t>
        </is>
      </c>
      <c r="F728" s="2" t="inlineStr">
        <is>
          <t>Cádiz</t>
        </is>
      </c>
      <c r="G728" s="2" t="inlineStr">
        <is>
          <t>TARIFA</t>
        </is>
      </c>
      <c r="H728" s="2" t="inlineStr">
        <is>
          <t>Pleno del Ayuntamiento de Tarifa</t>
        </is>
      </c>
      <c r="I728"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J728" s="2" t="inlineStr">
        <is>
          <t>2026/8791</t>
        </is>
      </c>
      <c r="K728" s="2" t="inlineStr">
        <is>
          <t>Abierto simplificado</t>
        </is>
      </c>
      <c r="L728" s="6" t="n">
        <v>18</v>
      </c>
      <c r="M728" s="2" t="inlineStr">
        <is>
          <t>C*-5</t>
        </is>
      </c>
      <c r="N728" s="7" t="n">
        <v>0</v>
      </c>
      <c r="O728" s="4" t="n"/>
      <c r="P728" s="2" t="inlineStr">
        <is>
          <t>45211000</t>
        </is>
      </c>
      <c r="Q728" s="8" t="inlineStr">
        <is>
          <t>Ver</t>
        </is>
      </c>
      <c r="R728" s="8" t="inlineStr">
        <is>
          <t>PCAP</t>
        </is>
      </c>
      <c r="S728" s="9" t="n">
        <v>46317</v>
      </c>
      <c r="T728" s="3" t="n">
        <v>46317.5900462963</v>
      </c>
      <c r="U728" s="2" t="n"/>
    </row>
    <row r="729">
      <c r="A729" s="2" t="inlineStr">
        <is>
          <t>Pendiente de adjudicación</t>
        </is>
      </c>
      <c r="B729" s="3" t="n">
        <v>46281.58333333334</v>
      </c>
      <c r="C729" s="5" t="n">
        <v>260054.71</v>
      </c>
      <c r="D729" s="5" t="n">
        <v>260054.71</v>
      </c>
      <c r="E729" s="2" t="inlineStr">
        <is>
          <t>Andalucía</t>
        </is>
      </c>
      <c r="F729" s="2" t="inlineStr">
        <is>
          <t>Granada</t>
        </is>
      </c>
      <c r="G729" s="2" t="inlineStr">
        <is>
          <t>Albolote (Granada)</t>
        </is>
      </c>
      <c r="H729" s="2" t="inlineStr">
        <is>
          <t>Junta de Gobierno del Ayuntamiento de Albolote</t>
        </is>
      </c>
      <c r="I729" s="2" t="inlineStr">
        <is>
          <t>Reforma y ampliación del Centro de Día Ocupacional del Ayuntamiento de Albolote</t>
        </is>
      </c>
      <c r="J729" s="2" t="inlineStr">
        <is>
          <t>512bis/2025</t>
        </is>
      </c>
      <c r="K729" s="2" t="inlineStr">
        <is>
          <t>Abierto simplificado</t>
        </is>
      </c>
      <c r="L729" s="6" t="n">
        <v>8</v>
      </c>
      <c r="M729" s="2" t="n"/>
      <c r="N729" s="7" t="n">
        <v>0</v>
      </c>
      <c r="O729" s="4" t="n"/>
      <c r="P729" s="2" t="inlineStr">
        <is>
          <t>45000000; 45331110; 45331200; 45111200; 45300000; 45323000; 45111230; 45112000; 45262670; 45314200; 45315000; 45111100; 45111213; 45111220; 45331100; 45421100; 45430000; 45111214; 45112300; 45232410; 45262650; 45310000; 45321000; 45331000; 45210000; 45421110; 45320000; 45343200; 45431000; 45330000; 45112210; 45262210</t>
        </is>
      </c>
      <c r="Q729" s="8" t="inlineStr">
        <is>
          <t>Ver</t>
        </is>
      </c>
      <c r="R729" s="8" t="inlineStr">
        <is>
          <t>PCAP</t>
        </is>
      </c>
      <c r="S729" s="9" t="n">
        <v>46318</v>
      </c>
      <c r="T729" s="3" t="n">
        <v>46317.58738425926</v>
      </c>
      <c r="U729" s="2" t="n"/>
    </row>
    <row r="730">
      <c r="A730" s="2" t="inlineStr">
        <is>
          <t>Resuelta</t>
        </is>
      </c>
      <c r="B730" s="3" t="n">
        <v>46279.99930555555</v>
      </c>
      <c r="C730" s="5" t="n">
        <v>209942.25</v>
      </c>
      <c r="D730" s="5" t="n">
        <v>209942.25</v>
      </c>
      <c r="E730" s="2" t="inlineStr">
        <is>
          <t>Andalucía</t>
        </is>
      </c>
      <c r="F730" s="2" t="inlineStr">
        <is>
          <t>Huelva</t>
        </is>
      </c>
      <c r="G730" s="2" t="inlineStr">
        <is>
          <t>Punta Umbría</t>
        </is>
      </c>
      <c r="H730" s="2" t="inlineStr">
        <is>
          <t>Alcaldía del Ayuntamiento de Punta umbría</t>
        </is>
      </c>
      <c r="I730" s="2" t="inlineStr">
        <is>
          <t>Obras del Proyecto de Reurbanización de la Calle Góndola, tramo entre cuesta de La Pamblanca y Calle Galatea, en el Municipio de Punta Umbría (Huelva).</t>
        </is>
      </c>
      <c r="J730" s="2" t="inlineStr">
        <is>
          <t>4832/2026</t>
        </is>
      </c>
      <c r="K730" s="2" t="inlineStr">
        <is>
          <t>Abierto simplificado</t>
        </is>
      </c>
      <c r="L730" s="6" t="n">
        <v>4</v>
      </c>
      <c r="M730" s="2" t="n"/>
      <c r="N730" s="7" t="n">
        <v>0</v>
      </c>
      <c r="O730" s="4" t="n"/>
      <c r="P730" s="2" t="inlineStr">
        <is>
          <t>45111000; 45233293; 45233140; 45231110; 45231300</t>
        </is>
      </c>
      <c r="Q730" s="8" t="inlineStr">
        <is>
          <t>Ver</t>
        </is>
      </c>
      <c r="R730" s="8" t="inlineStr">
        <is>
          <t>PCAP</t>
        </is>
      </c>
      <c r="S730" s="9" t="n">
        <v>46310</v>
      </c>
      <c r="T730" s="3" t="n">
        <v>46317.58172453703</v>
      </c>
      <c r="U730" s="2" t="inlineStr">
        <is>
          <t>2026-10-23: estado ADJ → RES</t>
        </is>
      </c>
    </row>
    <row r="731">
      <c r="A731" s="2" t="inlineStr">
        <is>
          <t>Pendiente de adjudicación</t>
        </is>
      </c>
      <c r="B731" s="3" t="n">
        <v>46310.99930555555</v>
      </c>
      <c r="C731" s="5" t="n">
        <v>743801.65</v>
      </c>
      <c r="D731" s="5" t="n">
        <v>743801.65</v>
      </c>
      <c r="E731" s="2" t="inlineStr">
        <is>
          <t>Andalucía</t>
        </is>
      </c>
      <c r="F731" s="2" t="inlineStr">
        <is>
          <t>Sevilla</t>
        </is>
      </c>
      <c r="G731" s="2" t="n"/>
      <c r="H731" s="2" t="inlineStr">
        <is>
          <t>Alcaldía del Ayuntamiento de El Viso del Alcor</t>
        </is>
      </c>
      <c r="I731" s="2" t="inlineStr">
        <is>
          <t>Obra de reforma de Pabellón Deportivo y ampliación del Gimnasio Santa Lucía</t>
        </is>
      </c>
      <c r="J731" s="2" t="inlineStr">
        <is>
          <t>4546/2026</t>
        </is>
      </c>
      <c r="K731" s="2" t="inlineStr">
        <is>
          <t>Abierto simplificado</t>
        </is>
      </c>
      <c r="L731" s="6" t="n">
        <v>9</v>
      </c>
      <c r="M731" s="2" t="inlineStr">
        <is>
          <t>C*-3</t>
        </is>
      </c>
      <c r="N731" s="7" t="n">
        <v>0</v>
      </c>
      <c r="O731" s="4" t="n"/>
      <c r="P731" s="2" t="inlineStr">
        <is>
          <t>45210000</t>
        </is>
      </c>
      <c r="Q731" s="8" t="inlineStr">
        <is>
          <t>Ver</t>
        </is>
      </c>
      <c r="R731" s="8" t="inlineStr">
        <is>
          <t>PCAP</t>
        </is>
      </c>
      <c r="S731" s="9" t="n">
        <v>46310</v>
      </c>
      <c r="T731" s="3" t="n">
        <v>46317.57714120371</v>
      </c>
      <c r="U731" s="2" t="inlineStr">
        <is>
          <t>2026-10-22: estado PUB → EV</t>
        </is>
      </c>
    </row>
    <row r="732">
      <c r="A732" s="2" t="inlineStr">
        <is>
          <t>En plazo</t>
        </is>
      </c>
      <c r="B732" s="3" t="n">
        <v>46337.99930555555</v>
      </c>
      <c r="C732" s="5" t="n">
        <v>59644.24</v>
      </c>
      <c r="D732" s="5" t="n">
        <v>59644.24</v>
      </c>
      <c r="E732" s="2" t="inlineStr">
        <is>
          <t>Andalucía</t>
        </is>
      </c>
      <c r="F732" s="2" t="inlineStr">
        <is>
          <t>Jaén</t>
        </is>
      </c>
      <c r="G732" s="2" t="inlineStr">
        <is>
          <t>Jaén</t>
        </is>
      </c>
      <c r="H732" s="2" t="inlineStr">
        <is>
          <t>Presidencia de la Diputación Provincial de Jaén</t>
        </is>
      </c>
      <c r="I732" s="2" t="inlineStr">
        <is>
          <t>Obras de salón deportivo cultural en Chiclana de Segura</t>
        </is>
      </c>
      <c r="J732" s="2" t="inlineStr">
        <is>
          <t>CO-2025/000173</t>
        </is>
      </c>
      <c r="K732" s="2" t="inlineStr">
        <is>
          <t>Abierto simplificado</t>
        </is>
      </c>
      <c r="L732" s="6" t="n">
        <v>3</v>
      </c>
      <c r="M732" s="2" t="n"/>
      <c r="N732" s="7" t="n">
        <v>0</v>
      </c>
      <c r="O732" s="4" t="n"/>
      <c r="P732" s="2" t="inlineStr">
        <is>
          <t>45262520; 45400000</t>
        </is>
      </c>
      <c r="Q732" s="8" t="inlineStr">
        <is>
          <t>Ver</t>
        </is>
      </c>
      <c r="R732" s="8" t="inlineStr">
        <is>
          <t>PCAP</t>
        </is>
      </c>
      <c r="S732" s="9" t="n">
        <v>46318</v>
      </c>
      <c r="T732" s="3" t="n">
        <v>46317.57456018519</v>
      </c>
      <c r="U732" s="2" t="n"/>
    </row>
    <row r="733">
      <c r="A733" s="2" t="inlineStr">
        <is>
          <t>En plazo</t>
        </is>
      </c>
      <c r="B733" s="3" t="n">
        <v>46337.99930555555</v>
      </c>
      <c r="C733" s="5" t="n">
        <v>263604.77</v>
      </c>
      <c r="D733" s="5" t="n">
        <v>263604.77</v>
      </c>
      <c r="E733" s="2" t="inlineStr">
        <is>
          <t>Andalucía</t>
        </is>
      </c>
      <c r="F733" s="2" t="inlineStr">
        <is>
          <t>Málaga</t>
        </is>
      </c>
      <c r="G733" s="2" t="n"/>
      <c r="H733" s="2" t="inlineStr">
        <is>
          <t>Concejalía de Hacienda del Ayuntamiento de Benalmádena</t>
        </is>
      </c>
      <c r="I733" s="2" t="inlineStr">
        <is>
          <t>Ejecución del tramo de senda litoral que discurre desde el chiringuito Kalifato hasta el final de la rampa escalonada que alcanza la Avenida del Sol.</t>
        </is>
      </c>
      <c r="J733" s="2" t="inlineStr">
        <is>
          <t>2026/21990V</t>
        </is>
      </c>
      <c r="K733" s="2" t="inlineStr">
        <is>
          <t>Abierto simplificado</t>
        </is>
      </c>
      <c r="L733" s="6" t="n">
        <v>2.1</v>
      </c>
      <c r="M733" s="2" t="n"/>
      <c r="N733" s="7" t="n">
        <v>0</v>
      </c>
      <c r="O733" s="4" t="n"/>
      <c r="P733" s="2" t="inlineStr">
        <is>
          <t>45220000</t>
        </is>
      </c>
      <c r="Q733" s="8" t="inlineStr">
        <is>
          <t>Ver</t>
        </is>
      </c>
      <c r="R733" s="8" t="inlineStr">
        <is>
          <t>PCAP</t>
        </is>
      </c>
      <c r="S733" s="9" t="n">
        <v>46318</v>
      </c>
      <c r="T733" s="3" t="n">
        <v>46317.57119212963</v>
      </c>
      <c r="U733" s="2" t="n"/>
    </row>
    <row r="734">
      <c r="A734" s="2" t="inlineStr">
        <is>
          <t>Pendiente de adjudicación</t>
        </is>
      </c>
      <c r="B734" s="3" t="n">
        <v>46276.58333333334</v>
      </c>
      <c r="C734" s="5" t="n">
        <v>145261.38</v>
      </c>
      <c r="D734" s="5" t="n">
        <v>159787.52</v>
      </c>
      <c r="E734" s="2" t="inlineStr">
        <is>
          <t>Comunitat Valenciana</t>
        </is>
      </c>
      <c r="F734" s="2" t="inlineStr">
        <is>
          <t>Castellón</t>
        </is>
      </c>
      <c r="G734" s="2" t="inlineStr">
        <is>
          <t>CASTELLÓN</t>
        </is>
      </c>
      <c r="H734" s="2" t="inlineStr">
        <is>
          <t>Departamento de Salud de Castellón. Dirección Económica-Gerencia</t>
        </is>
      </c>
      <c r="I734" s="2" t="inlineStr">
        <is>
          <t>Obra de instalación de tres grupos electrógenos en los centros de salud de Pintor Sorolla, Adzeneta y Benlloch, adscritos del Departamento de Salud de Castellón (DSCS).</t>
        </is>
      </c>
      <c r="J734" s="2" t="inlineStr">
        <is>
          <t>1285/2026</t>
        </is>
      </c>
      <c r="K734" s="2" t="inlineStr">
        <is>
          <t>Abierto simplificado</t>
        </is>
      </c>
      <c r="L734" s="6" t="n">
        <v>3</v>
      </c>
      <c r="M734" s="2" t="n"/>
      <c r="N734" s="7" t="n">
        <v>0.263</v>
      </c>
      <c r="O734" s="4" t="n"/>
      <c r="P734" s="2" t="inlineStr">
        <is>
          <t>45317300; 31121000</t>
        </is>
      </c>
      <c r="Q734" s="8" t="inlineStr">
        <is>
          <t>Ver</t>
        </is>
      </c>
      <c r="R734" s="8" t="inlineStr">
        <is>
          <t>PCAP</t>
        </is>
      </c>
      <c r="S734" s="9" t="n">
        <v>46318</v>
      </c>
      <c r="T734" s="3" t="n">
        <v>46317.57016203704</v>
      </c>
      <c r="U734" s="2" t="n"/>
    </row>
    <row r="735">
      <c r="A735" s="2" t="inlineStr">
        <is>
          <t>Resuelta</t>
        </is>
      </c>
      <c r="B735" s="3" t="n">
        <v>45345.5</v>
      </c>
      <c r="C735" s="5" t="n">
        <v>4849270.7</v>
      </c>
      <c r="D735" s="5" t="n">
        <v>4849270.7</v>
      </c>
      <c r="E735" s="2" t="inlineStr">
        <is>
          <t>Andalucía</t>
        </is>
      </c>
      <c r="F735" s="2" t="inlineStr">
        <is>
          <t>Sevilla</t>
        </is>
      </c>
      <c r="G735" s="2" t="n"/>
      <c r="H735" s="2" t="inlineStr">
        <is>
          <t>Consejo de Administración de la Sociedad de Infraestructuras y Equipamientos Penitenciarios y de la Seguridad del Estado, S.M.E., S.A</t>
        </is>
      </c>
      <c r="I735" s="2" t="inlineStr">
        <is>
          <t>Obra de Rehabilitación del Centro Penitenciario de Alcalá de Guadaira (Sevilla) (23.111.RCP1004.OB.08)</t>
        </is>
      </c>
      <c r="J735" s="2" t="inlineStr">
        <is>
          <t>23.111.RCP1004.OB.08</t>
        </is>
      </c>
      <c r="K735" s="2" t="inlineStr">
        <is>
          <t>Abierto</t>
        </is>
      </c>
      <c r="L735" s="6" t="n">
        <v>12</v>
      </c>
      <c r="M735" s="2" t="inlineStr">
        <is>
          <t>C*-5</t>
        </is>
      </c>
      <c r="N735" s="7" t="n">
        <v>0.3</v>
      </c>
      <c r="O735" s="4" t="n"/>
      <c r="P735" s="2" t="inlineStr">
        <is>
          <t>45216113</t>
        </is>
      </c>
      <c r="Q735" s="8" t="inlineStr">
        <is>
          <t>Ver</t>
        </is>
      </c>
      <c r="R735" s="8" t="inlineStr">
        <is>
          <t>PCAP</t>
        </is>
      </c>
      <c r="S735" s="9" t="n">
        <v>46318</v>
      </c>
      <c r="T735" s="3" t="n">
        <v>46317.56969907408</v>
      </c>
      <c r="U735" s="2" t="n"/>
    </row>
    <row r="736">
      <c r="A736" s="2" t="inlineStr">
        <is>
          <t>Pendiente de adjudicación</t>
        </is>
      </c>
      <c r="B736" s="3" t="n">
        <v>46272.99930555555</v>
      </c>
      <c r="C736" s="5" t="n">
        <v>111733.59</v>
      </c>
      <c r="D736" s="5" t="n">
        <v>111733.59</v>
      </c>
      <c r="E736" s="2" t="inlineStr">
        <is>
          <t>Andalucía</t>
        </is>
      </c>
      <c r="F736" s="2" t="inlineStr">
        <is>
          <t>Córdoba</t>
        </is>
      </c>
      <c r="G736" s="2" t="inlineStr">
        <is>
          <t>Pozoblanco (Córdoba)</t>
        </is>
      </c>
      <c r="H736" s="2" t="inlineStr">
        <is>
          <t>Diputado delegado de Infraestructuras, Sostenibilidad y Agricultura</t>
        </is>
      </c>
      <c r="I736" s="2" t="inlineStr">
        <is>
          <t>Contratación de las obras de Demolición de inmueble en calle Cronista Sepúlveda, 15. Pozoblanco (Córdoba)). Obra incluida en los planes provinciales de obras y servicios 2024-2027 (bienio 2026-2027).</t>
        </is>
      </c>
      <c r="J736" s="2" t="inlineStr">
        <is>
          <t>628/26</t>
        </is>
      </c>
      <c r="K736" s="2" t="inlineStr">
        <is>
          <t>Abierto</t>
        </is>
      </c>
      <c r="L736" s="6" t="n">
        <v>3.5</v>
      </c>
      <c r="M736" s="2" t="n"/>
      <c r="N736" s="7" t="n">
        <v>0.25</v>
      </c>
      <c r="O736" s="4" t="n"/>
      <c r="P736" s="2" t="inlineStr">
        <is>
          <t>45110000; 45111100</t>
        </is>
      </c>
      <c r="Q736" s="8" t="inlineStr">
        <is>
          <t>Ver</t>
        </is>
      </c>
      <c r="R736" s="8" t="inlineStr">
        <is>
          <t>PCAP</t>
        </is>
      </c>
      <c r="S736" s="9" t="n">
        <v>46318</v>
      </c>
      <c r="T736" s="3" t="n">
        <v>46317.56133101852</v>
      </c>
      <c r="U736" s="2" t="n"/>
    </row>
    <row r="737">
      <c r="A737" s="2" t="inlineStr">
        <is>
          <t>Pendiente de adjudicación</t>
        </is>
      </c>
      <c r="B737" s="3" t="n">
        <v>46332.99930555555</v>
      </c>
      <c r="C737" s="5" t="n">
        <v>197880.98</v>
      </c>
      <c r="D737" s="5" t="n">
        <v>197880.98</v>
      </c>
      <c r="E737" s="2" t="inlineStr">
        <is>
          <t>Andalucía</t>
        </is>
      </c>
      <c r="F737" s="2" t="inlineStr">
        <is>
          <t>Córdoba</t>
        </is>
      </c>
      <c r="G737" s="2" t="n"/>
      <c r="H737" s="2" t="inlineStr">
        <is>
          <t>Diputado delegado de Infraestructuras, Sostenibilidad y Agricultura</t>
        </is>
      </c>
      <c r="I737" s="2" t="inlineStr">
        <is>
          <t>Contrato de obra de Ampliación Parque Municipal Las Erillas, en Hornachuelos (Córdoba). Obra incluida en el Plan de Humanización de Entornos Urbanos 2024-2027 (bienio 2024-2025).</t>
        </is>
      </c>
      <c r="J737" s="2" t="inlineStr">
        <is>
          <t>650/26 BIS</t>
        </is>
      </c>
      <c r="K737" s="2" t="inlineStr">
        <is>
          <t>Negociado sin publicidad</t>
        </is>
      </c>
      <c r="L737" s="6" t="n">
        <v>10</v>
      </c>
      <c r="M737" s="2" t="n"/>
      <c r="N737" s="7" t="n">
        <v>0.25</v>
      </c>
      <c r="O737" s="4" t="n"/>
      <c r="P737" s="2" t="inlineStr">
        <is>
          <t>45212000; 45300000</t>
        </is>
      </c>
      <c r="Q737" s="8" t="inlineStr">
        <is>
          <t>Ver</t>
        </is>
      </c>
      <c r="R737" s="8" t="inlineStr">
        <is>
          <t>PCAP</t>
        </is>
      </c>
      <c r="S737" s="9" t="n">
        <v>46318</v>
      </c>
      <c r="T737" s="3" t="n">
        <v>46317.56074074074</v>
      </c>
      <c r="U737" s="2" t="n"/>
    </row>
    <row r="738">
      <c r="A738" s="2" t="inlineStr">
        <is>
          <t>Pendiente de adjudicación</t>
        </is>
      </c>
      <c r="B738" s="3" t="n">
        <v>46294.99930555555</v>
      </c>
      <c r="C738" s="5" t="n">
        <v>70103.86</v>
      </c>
      <c r="D738" s="5" t="n">
        <v>70103.86</v>
      </c>
      <c r="E738" s="2" t="inlineStr">
        <is>
          <t>Andalucía</t>
        </is>
      </c>
      <c r="F738" s="2" t="inlineStr">
        <is>
          <t>Cádiz</t>
        </is>
      </c>
      <c r="G738" s="2" t="inlineStr">
        <is>
          <t>Algeciras</t>
        </is>
      </c>
      <c r="H738" s="2" t="inlineStr">
        <is>
          <t>Alcaldía del Ayuntamiento de Algeciras</t>
        </is>
      </c>
      <c r="I738" s="2" t="inlineStr">
        <is>
          <t>Proyecto de reconstrucción y acondicionamiento del murete en Sotorrebolo</t>
        </is>
      </c>
      <c r="J738" s="2" t="inlineStr">
        <is>
          <t>24273/2026</t>
        </is>
      </c>
      <c r="K738" s="2" t="inlineStr">
        <is>
          <t>Abierto simplificado</t>
        </is>
      </c>
      <c r="L738" s="6" t="n">
        <v>3</v>
      </c>
      <c r="M738" s="2" t="n"/>
      <c r="N738" s="7" t="n">
        <v>0</v>
      </c>
      <c r="O738" s="4" t="n">
        <v>2</v>
      </c>
      <c r="P738" s="2" t="inlineStr">
        <is>
          <t>45233140; 71317210</t>
        </is>
      </c>
      <c r="Q738" s="8" t="inlineStr">
        <is>
          <t>Ver</t>
        </is>
      </c>
      <c r="R738" s="8" t="inlineStr">
        <is>
          <t>PCAP</t>
        </is>
      </c>
      <c r="S738" s="9" t="n">
        <v>46318</v>
      </c>
      <c r="T738" s="3" t="n">
        <v>46317.5586574074</v>
      </c>
      <c r="U738" s="2" t="n"/>
    </row>
    <row r="739">
      <c r="A739" s="2" t="inlineStr">
        <is>
          <t>Pendiente de adjudicación</t>
        </is>
      </c>
      <c r="B739" s="3" t="n">
        <v>46272.99930555555</v>
      </c>
      <c r="C739" s="5" t="n">
        <v>247933.88</v>
      </c>
      <c r="D739" s="5" t="n">
        <v>247933.88</v>
      </c>
      <c r="E739" s="2" t="inlineStr">
        <is>
          <t>Andalucía</t>
        </is>
      </c>
      <c r="F739" s="2" t="inlineStr">
        <is>
          <t>Córdoba</t>
        </is>
      </c>
      <c r="G739" s="2" t="inlineStr">
        <is>
          <t>Adamuz</t>
        </is>
      </c>
      <c r="H739" s="2" t="inlineStr">
        <is>
          <t>Diputado delegado de Infraestructuras, Sostenibilidad y Agricultura</t>
        </is>
      </c>
      <c r="I739" s="2" t="inlineStr">
        <is>
          <t>Contratación del Centro de Iniciativa Empresarial. Adamuz (Córdoba). Obra incluida en los planes provinciales de obras y servicios 2024-2027 (bienio 2026-2027).</t>
        </is>
      </c>
      <c r="J739" s="2" t="inlineStr">
        <is>
          <t>450/26</t>
        </is>
      </c>
      <c r="K739" s="2" t="inlineStr">
        <is>
          <t>Abierto</t>
        </is>
      </c>
      <c r="L739" s="6" t="n">
        <v>5</v>
      </c>
      <c r="M739" s="2" t="n"/>
      <c r="N739" s="7" t="n">
        <v>0.25</v>
      </c>
      <c r="O739" s="4" t="n"/>
      <c r="P739" s="2" t="inlineStr">
        <is>
          <t>45200000</t>
        </is>
      </c>
      <c r="Q739" s="8" t="inlineStr">
        <is>
          <t>Ver</t>
        </is>
      </c>
      <c r="R739" s="8" t="inlineStr">
        <is>
          <t>PCAP</t>
        </is>
      </c>
      <c r="S739" s="9" t="n">
        <v>46318</v>
      </c>
      <c r="T739" s="3" t="n">
        <v>46317.55543981482</v>
      </c>
      <c r="U739" s="2" t="n"/>
    </row>
    <row r="740">
      <c r="A740" s="2" t="inlineStr">
        <is>
          <t>Resuelta</t>
        </is>
      </c>
      <c r="B740" s="3" t="n">
        <v>46289.41666666666</v>
      </c>
      <c r="C740" s="5" t="n">
        <v>20661.14</v>
      </c>
      <c r="D740" s="5" t="n">
        <v>20661.14</v>
      </c>
      <c r="E740" s="2" t="inlineStr">
        <is>
          <t>Comunitat Valenciana</t>
        </is>
      </c>
      <c r="F740" s="2" t="inlineStr">
        <is>
          <t>Valencia</t>
        </is>
      </c>
      <c r="G740" s="2" t="inlineStr">
        <is>
          <t>VALENCIA</t>
        </is>
      </c>
      <c r="H740" s="2" t="inlineStr">
        <is>
          <t>Jefatura de Intendencia de Asuntos Económicos Este</t>
        </is>
      </c>
      <c r="I740" s="2" t="inlineStr">
        <is>
          <t>Reparación cerraduras puertas acceso habitaciones RMD QUART CDSM Valencia</t>
        </is>
      </c>
      <c r="J740" s="2" t="inlineStr">
        <is>
          <t>2026/ETSAE0327/00006496E</t>
        </is>
      </c>
      <c r="K740" s="2" t="inlineStr">
        <is>
          <t>Abierto</t>
        </is>
      </c>
      <c r="L740" s="6" t="n">
        <v>1</v>
      </c>
      <c r="M740" s="2" t="n"/>
      <c r="N740" s="7" t="n">
        <v>0</v>
      </c>
      <c r="O740" s="4" t="n"/>
      <c r="P740" s="2" t="inlineStr">
        <is>
          <t>45111320</t>
        </is>
      </c>
      <c r="Q740" s="8" t="inlineStr">
        <is>
          <t>Ver</t>
        </is>
      </c>
      <c r="R740" s="8" t="inlineStr">
        <is>
          <t>PCAP</t>
        </is>
      </c>
      <c r="S740" s="9" t="n">
        <v>46318</v>
      </c>
      <c r="T740" s="3" t="n">
        <v>46317.55479166667</v>
      </c>
      <c r="U740" s="2" t="n"/>
    </row>
    <row r="741">
      <c r="A741" s="2" t="inlineStr">
        <is>
          <t>En plazo</t>
        </is>
      </c>
      <c r="B741" s="3" t="n">
        <v>46335.99930555555</v>
      </c>
      <c r="C741" s="5" t="n">
        <v>638659.75</v>
      </c>
      <c r="D741" s="5" t="n">
        <v>638659.75</v>
      </c>
      <c r="E741" s="2" t="inlineStr">
        <is>
          <t>Comunitat Valenciana</t>
        </is>
      </c>
      <c r="F741" s="2" t="inlineStr">
        <is>
          <t>Valencia</t>
        </is>
      </c>
      <c r="G741" s="2" t="n"/>
      <c r="H741" s="2" t="inlineStr">
        <is>
          <t>Alcaldía del Ayuntamiento de Quart de Poblet</t>
        </is>
      </c>
      <c r="I741" s="2" t="inlineStr">
        <is>
          <t>Proyecto de habilitación del local situado en la C/ Joanot Martorell, 6 para dependencias de la Policía Local del municipio de Quart de Poblet, incluido dentro del Pla Obert d´Inversions 24-27 de la Diputación Provincial e Valencia</t>
        </is>
      </c>
      <c r="J741" s="2" t="inlineStr">
        <is>
          <t>2870452P</t>
        </is>
      </c>
      <c r="K741" s="2" t="inlineStr">
        <is>
          <t>Abierto simplificado</t>
        </is>
      </c>
      <c r="L741" s="6" t="n">
        <v>5</v>
      </c>
      <c r="M741" s="2" t="n"/>
      <c r="N741" s="7" t="n">
        <v>0.25</v>
      </c>
      <c r="O741" s="4" t="n"/>
      <c r="P741" s="2" t="inlineStr">
        <is>
          <t>45000000; 45450000; 45213100</t>
        </is>
      </c>
      <c r="Q741" s="8" t="inlineStr">
        <is>
          <t>Ver</t>
        </is>
      </c>
      <c r="R741" s="8" t="inlineStr">
        <is>
          <t>PCAP</t>
        </is>
      </c>
      <c r="S741" s="9" t="n">
        <v>46315</v>
      </c>
      <c r="T741" s="3" t="n">
        <v>46317.55314814814</v>
      </c>
      <c r="U741" s="2" t="n"/>
    </row>
    <row r="742">
      <c r="A742" s="2" t="inlineStr">
        <is>
          <t>Adjudicada</t>
        </is>
      </c>
      <c r="B742" s="3" t="n">
        <v>46269.99930555555</v>
      </c>
      <c r="C742" s="5" t="n">
        <v>78109.03</v>
      </c>
      <c r="D742" s="5" t="n">
        <v>78109.03</v>
      </c>
      <c r="E742" s="2" t="inlineStr">
        <is>
          <t>Comunitat Valenciana</t>
        </is>
      </c>
      <c r="F742" s="2" t="inlineStr">
        <is>
          <t>Valencia</t>
        </is>
      </c>
      <c r="G742" s="2" t="inlineStr">
        <is>
          <t>Riba-roja del Túria</t>
        </is>
      </c>
      <c r="H742" s="2" t="inlineStr">
        <is>
          <t>Presidencia del Consorcio Valencia Interior</t>
        </is>
      </c>
      <c r="I742" s="2" t="inlineStr">
        <is>
          <t>Mejora en el Cerramiento del Ecoparque de Riba-roja del Túria</t>
        </is>
      </c>
      <c r="J742" s="2" t="inlineStr">
        <is>
          <t>141/2026</t>
        </is>
      </c>
      <c r="K742" s="2" t="inlineStr">
        <is>
          <t>Abierto</t>
        </is>
      </c>
      <c r="L742" s="6" t="n">
        <v>1</v>
      </c>
      <c r="M742" s="2" t="inlineStr">
        <is>
          <t>C2-4</t>
        </is>
      </c>
      <c r="N742" s="7" t="n">
        <v>0</v>
      </c>
      <c r="O742" s="4" t="n"/>
      <c r="P742" s="2" t="inlineStr">
        <is>
          <t>45223100; 45262210; 45223210; 45262520</t>
        </is>
      </c>
      <c r="Q742" s="8" t="inlineStr">
        <is>
          <t>Ver</t>
        </is>
      </c>
      <c r="R742" s="8" t="inlineStr">
        <is>
          <t>PCAP</t>
        </is>
      </c>
      <c r="S742" s="9" t="n">
        <v>46318</v>
      </c>
      <c r="T742" s="3" t="n">
        <v>46317.55236111111</v>
      </c>
      <c r="U742" s="2" t="n"/>
    </row>
    <row r="743">
      <c r="A743" s="2" t="inlineStr">
        <is>
          <t>En plazo</t>
        </is>
      </c>
      <c r="B743" s="3" t="n">
        <v>46336.99930555555</v>
      </c>
      <c r="C743" s="5" t="n">
        <v>450265.24</v>
      </c>
      <c r="D743" s="5" t="n">
        <v>495291.76</v>
      </c>
      <c r="E743" s="2" t="inlineStr">
        <is>
          <t>Comunitat Valenciana</t>
        </is>
      </c>
      <c r="F743" s="2" t="n"/>
      <c r="G743" s="2" t="n"/>
      <c r="H743" s="2" t="inlineStr">
        <is>
          <t>Valenciana d'Estrategies i Recursos per a la Sostenibilitat Ambiental, Sociedad Anónima</t>
        </is>
      </c>
      <c r="I743" s="2" t="inlineStr">
        <is>
          <t>Trabajos de instalación de los sistemas de protección colectiva anticaídas en las cubiertas de las plantas de residuos de VAERSA.</t>
        </is>
      </c>
      <c r="J743" s="2" t="inlineStr">
        <is>
          <t>CMAYOR/2026/VAERS/0053</t>
        </is>
      </c>
      <c r="K743" s="2" t="inlineStr">
        <is>
          <t>Abierto simplificado</t>
        </is>
      </c>
      <c r="L743" s="6" t="n">
        <v>3</v>
      </c>
      <c r="M743" s="2" t="n"/>
      <c r="N743" s="7" t="n">
        <v>0</v>
      </c>
      <c r="O743" s="4" t="n"/>
      <c r="P743" s="2" t="inlineStr">
        <is>
          <t>45340000</t>
        </is>
      </c>
      <c r="Q743" s="8" t="inlineStr">
        <is>
          <t>Ver</t>
        </is>
      </c>
      <c r="R743" s="8" t="inlineStr">
        <is>
          <t>PCAP</t>
        </is>
      </c>
      <c r="S743" s="9" t="n">
        <v>46318</v>
      </c>
      <c r="T743" s="3" t="n">
        <v>46317.5502662037</v>
      </c>
      <c r="U743" s="2" t="n"/>
    </row>
    <row r="744">
      <c r="A744" s="2" t="inlineStr">
        <is>
          <t>En plazo</t>
        </is>
      </c>
      <c r="B744" s="3" t="n">
        <v>46336.99930555555</v>
      </c>
      <c r="C744" s="5" t="n">
        <v>1191404.96</v>
      </c>
      <c r="D744" s="5" t="n">
        <v>1191404.96</v>
      </c>
      <c r="E744" s="2" t="inlineStr">
        <is>
          <t>Andalucía</t>
        </is>
      </c>
      <c r="F744" s="2" t="inlineStr">
        <is>
          <t>Almería</t>
        </is>
      </c>
      <c r="G744" s="2" t="n"/>
      <c r="H744" s="2" t="inlineStr">
        <is>
          <t>Junta de Gobierno de la Diputación Provincial de Almería</t>
        </is>
      </c>
      <c r="I744" s="2" t="inlineStr">
        <is>
          <t>Renovación De Calles Casco Histórico. Carboneras 85PPOS24-27BI</t>
        </is>
      </c>
      <c r="J744" s="2" t="inlineStr">
        <is>
          <t>2025/D31000/006-013/00198</t>
        </is>
      </c>
      <c r="K744" s="2" t="inlineStr">
        <is>
          <t>Abierto simplificado</t>
        </is>
      </c>
      <c r="L744" s="6" t="n">
        <v>10</v>
      </c>
      <c r="M744" s="2" t="inlineStr">
        <is>
          <t>E1-4; G6-4</t>
        </is>
      </c>
      <c r="N744" s="7" t="n">
        <v>0.25</v>
      </c>
      <c r="O744" s="4" t="n"/>
      <c r="P744" s="2" t="inlineStr">
        <is>
          <t>45233250</t>
        </is>
      </c>
      <c r="Q744" s="8" t="inlineStr">
        <is>
          <t>Ver</t>
        </is>
      </c>
      <c r="R744" s="8" t="inlineStr">
        <is>
          <t>PCAP</t>
        </is>
      </c>
      <c r="S744" s="9" t="n">
        <v>46317</v>
      </c>
      <c r="T744" s="3" t="n">
        <v>46317.54997685185</v>
      </c>
      <c r="U744" s="2" t="n"/>
    </row>
    <row r="745">
      <c r="A745" s="2" t="inlineStr">
        <is>
          <t>Resuelta</t>
        </is>
      </c>
      <c r="B745" s="3" t="n">
        <v>46128.99930555555</v>
      </c>
      <c r="C745" s="5" t="n">
        <v>60000</v>
      </c>
      <c r="D745" s="5" t="n">
        <v>60000</v>
      </c>
      <c r="E745" s="2" t="inlineStr">
        <is>
          <t>Andalucía</t>
        </is>
      </c>
      <c r="F745" s="2" t="inlineStr">
        <is>
          <t>Sevilla</t>
        </is>
      </c>
      <c r="G745" s="2" t="n"/>
      <c r="H745" s="2" t="inlineStr">
        <is>
          <t>Alcaldía del Ayuntamiento de Utrera</t>
        </is>
      </c>
      <c r="I745" s="2" t="inlineStr">
        <is>
          <t>Ejecución de las obras del proyecto básico y de ejecución de “Actuaciones urgentes de estanqueidad de cubierta y cerramientos en Centro de Mayores Olivareros de Utrera”</t>
        </is>
      </c>
      <c r="J745" s="2" t="inlineStr">
        <is>
          <t>OB67/2025</t>
        </is>
      </c>
      <c r="K745" s="2" t="inlineStr">
        <is>
          <t>Abierto simplificado</t>
        </is>
      </c>
      <c r="L745" s="6" t="n">
        <v>2</v>
      </c>
      <c r="M745" s="2" t="n"/>
      <c r="N745" s="7" t="n">
        <v>0</v>
      </c>
      <c r="O745" s="4" t="n"/>
      <c r="P745" s="2" t="inlineStr">
        <is>
          <t>45261420; 45261214; 45321000; 45261300</t>
        </is>
      </c>
      <c r="Q745" s="8" t="inlineStr">
        <is>
          <t>Ver</t>
        </is>
      </c>
      <c r="R745" s="8" t="inlineStr">
        <is>
          <t>PCAP</t>
        </is>
      </c>
      <c r="S745" s="9" t="n">
        <v>46318</v>
      </c>
      <c r="T745" s="3" t="n">
        <v>46317.5490625</v>
      </c>
      <c r="U745" s="2" t="n"/>
    </row>
    <row r="746">
      <c r="A746" s="2" t="inlineStr">
        <is>
          <t>Pendiente de adjudicación</t>
        </is>
      </c>
      <c r="B746" s="3" t="n">
        <v>46216.99930555555</v>
      </c>
      <c r="C746" s="5" t="n">
        <v>2143547.1</v>
      </c>
      <c r="D746" s="5" t="n">
        <v>2143547.1</v>
      </c>
      <c r="E746" s="2" t="inlineStr">
        <is>
          <t>Comunitat Valenciana</t>
        </is>
      </c>
      <c r="F746" s="2" t="inlineStr">
        <is>
          <t>Valencia</t>
        </is>
      </c>
      <c r="G746" s="2" t="inlineStr">
        <is>
          <t>Sollana</t>
        </is>
      </c>
      <c r="H746" s="2" t="inlineStr">
        <is>
          <t>Pleno del Ayuntamiento de Sollana</t>
        </is>
      </c>
      <c r="I746" s="2" t="inlineStr">
        <is>
          <t>El objeto de la presente actuación es la redacción del Proyecto y Ejecución de la obra para la restauración del camí D'Alcira, Machi, Torre Trullás, Mallaes, Malet y otros, pertenecientes al Barranc dels Algadins afectados por la DANA</t>
        </is>
      </c>
      <c r="J746" s="2" t="inlineStr">
        <is>
          <t>DANA2024 838-2026</t>
        </is>
      </c>
      <c r="K746" s="2" t="inlineStr">
        <is>
          <t>Abierto</t>
        </is>
      </c>
      <c r="L746" s="6" t="n">
        <v>8</v>
      </c>
      <c r="M746" s="2" t="inlineStr">
        <is>
          <t>G4-4</t>
        </is>
      </c>
      <c r="N746" s="7" t="n">
        <v>0.4</v>
      </c>
      <c r="O746" s="4" t="n"/>
      <c r="P746" s="2" t="inlineStr">
        <is>
          <t>45220000; 71000000; 45233222</t>
        </is>
      </c>
      <c r="Q746" s="8" t="inlineStr">
        <is>
          <t>Ver</t>
        </is>
      </c>
      <c r="R746" s="8" t="inlineStr">
        <is>
          <t>PCAP</t>
        </is>
      </c>
      <c r="S746" s="9" t="n">
        <v>46318</v>
      </c>
      <c r="T746" s="3" t="n">
        <v>46317.54891203704</v>
      </c>
      <c r="U746" s="2" t="n"/>
    </row>
    <row r="747">
      <c r="A747" s="2" t="inlineStr">
        <is>
          <t>Resuelta</t>
        </is>
      </c>
      <c r="B747" s="3" t="n">
        <v>46289.41666666666</v>
      </c>
      <c r="C747" s="5" t="n">
        <v>217868.6</v>
      </c>
      <c r="D747" s="5" t="n">
        <v>217868.6</v>
      </c>
      <c r="E747" s="2" t="inlineStr">
        <is>
          <t>Comunitat Valenciana</t>
        </is>
      </c>
      <c r="F747" s="2" t="inlineStr">
        <is>
          <t>Valencia</t>
        </is>
      </c>
      <c r="G747" s="2" t="inlineStr">
        <is>
          <t>PATERNA. VALENCIA.</t>
        </is>
      </c>
      <c r="H747" s="2" t="inlineStr">
        <is>
          <t>Jefatura de Intendencia de Asuntos Económicos Este</t>
        </is>
      </c>
      <c r="I747" s="2" t="inlineStr">
        <is>
          <t>Reparación baches calle principal Acuartelamiento en el Acto. Daoiz y Velarde en Valencia.</t>
        </is>
      </c>
      <c r="J747" s="2" t="inlineStr">
        <is>
          <t>2026/ETSAE0327/00006455E</t>
        </is>
      </c>
      <c r="K747" s="2" t="inlineStr">
        <is>
          <t>Abierto</t>
        </is>
      </c>
      <c r="L747" s="6" t="n">
        <v>1.5</v>
      </c>
      <c r="M747" s="2" t="n"/>
      <c r="N747" s="7" t="n">
        <v>0</v>
      </c>
      <c r="O747" s="4" t="n"/>
      <c r="P747" s="2" t="inlineStr">
        <is>
          <t>45233252</t>
        </is>
      </c>
      <c r="Q747" s="8" t="inlineStr">
        <is>
          <t>Ver</t>
        </is>
      </c>
      <c r="R747" s="8" t="inlineStr">
        <is>
          <t>PCAP</t>
        </is>
      </c>
      <c r="S747" s="9" t="n">
        <v>46318</v>
      </c>
      <c r="T747" s="3" t="n">
        <v>46317.54716435185</v>
      </c>
      <c r="U747" s="2" t="n"/>
    </row>
    <row r="748">
      <c r="A748" s="2" t="inlineStr">
        <is>
          <t>Pendiente de adjudicación</t>
        </is>
      </c>
      <c r="B748" s="3" t="n">
        <v>46272.58333333334</v>
      </c>
      <c r="C748" s="5" t="n">
        <v>1507550.58</v>
      </c>
      <c r="D748" s="5" t="n">
        <v>1507550.58</v>
      </c>
      <c r="E748" s="2" t="inlineStr">
        <is>
          <t>Comunitat Valenciana</t>
        </is>
      </c>
      <c r="F748" s="2" t="inlineStr">
        <is>
          <t>Alicante</t>
        </is>
      </c>
      <c r="G748" s="2" t="n"/>
      <c r="H748" s="2" t="inlineStr">
        <is>
          <t>Junta de Gobierno Local del Ayuntamiento de Jávea</t>
        </is>
      </c>
      <c r="I748" s="2" t="inlineStr">
        <is>
          <t>Obras de adecuación y remodelación del Parque Montaner.</t>
        </is>
      </c>
      <c r="J748" s="2" t="inlineStr">
        <is>
          <t>8214/2026</t>
        </is>
      </c>
      <c r="K748" s="2" t="inlineStr">
        <is>
          <t>Abierto simplificado</t>
        </is>
      </c>
      <c r="L748" s="6" t="n">
        <v>11</v>
      </c>
      <c r="M748" s="2" t="n"/>
      <c r="N748" s="7" t="n">
        <v>0.25</v>
      </c>
      <c r="O748" s="4" t="n"/>
      <c r="P748" s="2" t="inlineStr">
        <is>
          <t>45000000; 43325000; 45112711; 45111000</t>
        </is>
      </c>
      <c r="Q748" s="8" t="inlineStr">
        <is>
          <t>Ver</t>
        </is>
      </c>
      <c r="R748" s="8" t="inlineStr">
        <is>
          <t>PCAP</t>
        </is>
      </c>
      <c r="S748" s="9" t="n">
        <v>46317</v>
      </c>
      <c r="T748" s="3" t="n">
        <v>46317.54704861111</v>
      </c>
      <c r="U748" s="2" t="n"/>
    </row>
    <row r="749">
      <c r="A749" s="2" t="inlineStr">
        <is>
          <t>Pendiente de adjudicación</t>
        </is>
      </c>
      <c r="B749" s="3" t="n">
        <v>46216.99930555555</v>
      </c>
      <c r="C749" s="5" t="n">
        <v>2267020.11</v>
      </c>
      <c r="D749" s="5" t="n">
        <v>2267020.11</v>
      </c>
      <c r="E749" s="2" t="inlineStr">
        <is>
          <t>Comunitat Valenciana</t>
        </is>
      </c>
      <c r="F749" s="2" t="inlineStr">
        <is>
          <t>Valencia</t>
        </is>
      </c>
      <c r="G749" s="2" t="inlineStr">
        <is>
          <t>Sollana</t>
        </is>
      </c>
      <c r="H749" s="2" t="inlineStr">
        <is>
          <t>Pleno del Ayuntamiento de Sollana</t>
        </is>
      </c>
      <c r="I749" s="2" t="inlineStr">
        <is>
          <t>El objeto de la presente actuación es la redacción del Proyecto y Ejecución de la obra para la restauración de los caminos Casa del Gobernador, Pla de Dalt, Campillo, Vell de la Maquial y otros, pertenecientes al Barranc dels Algadins afectados por la DANA 2024.</t>
        </is>
      </c>
      <c r="J749" s="2" t="inlineStr">
        <is>
          <t>DANA2024 575-2026</t>
        </is>
      </c>
      <c r="K749" s="2" t="inlineStr">
        <is>
          <t>Abierto</t>
        </is>
      </c>
      <c r="L749" s="6" t="n">
        <v>8</v>
      </c>
      <c r="M749" s="2" t="inlineStr">
        <is>
          <t>G4-4</t>
        </is>
      </c>
      <c r="N749" s="7" t="n">
        <v>0.4</v>
      </c>
      <c r="O749" s="4" t="n"/>
      <c r="P749" s="2" t="inlineStr">
        <is>
          <t>45220000; 45233222; 71000000</t>
        </is>
      </c>
      <c r="Q749" s="8" t="inlineStr">
        <is>
          <t>Ver</t>
        </is>
      </c>
      <c r="R749" s="8" t="inlineStr">
        <is>
          <t>PCAP</t>
        </is>
      </c>
      <c r="S749" s="9" t="n">
        <v>46318</v>
      </c>
      <c r="T749" s="3" t="n">
        <v>46317.54653935185</v>
      </c>
      <c r="U749" s="2" t="n"/>
    </row>
    <row r="750">
      <c r="A750" s="2" t="inlineStr">
        <is>
          <t>Adjudicada</t>
        </is>
      </c>
      <c r="B750" s="3" t="n"/>
      <c r="C750" s="5" t="n">
        <v>323383.5</v>
      </c>
      <c r="D750" s="5" t="n">
        <v>323383.5</v>
      </c>
      <c r="E750" s="2" t="inlineStr">
        <is>
          <t>Andalucía</t>
        </is>
      </c>
      <c r="F750" s="2" t="inlineStr">
        <is>
          <t>Granada</t>
        </is>
      </c>
      <c r="G750" s="2" t="n"/>
      <c r="H750" s="2" t="inlineStr">
        <is>
          <t>Junta de Gobierno del Ayuntamiento de Granada</t>
        </is>
      </c>
      <c r="I750" s="2" t="inlineStr">
        <is>
          <t>Contrato de obras necesarias e imprescindibles para la eliminación de situaciones de peligro en los 38 centros educativos de la ciudad de Granada por razones de emergencia</t>
        </is>
      </c>
      <c r="J750" s="2" t="inlineStr">
        <is>
          <t>OBR-2026000124</t>
        </is>
      </c>
      <c r="K750" s="2" t="inlineStr">
        <is>
          <t>Abierto</t>
        </is>
      </c>
      <c r="L750" s="6" t="n">
        <v>1</v>
      </c>
      <c r="M750" s="2" t="n"/>
      <c r="N750" s="7" t="n">
        <v>0</v>
      </c>
      <c r="O750" s="4" t="n"/>
      <c r="P750" s="2" t="inlineStr">
        <is>
          <t>45214000</t>
        </is>
      </c>
      <c r="Q750" s="8" t="inlineStr">
        <is>
          <t>Ver</t>
        </is>
      </c>
      <c r="R750" s="2" t="n"/>
      <c r="S750" s="9" t="n">
        <v>46318</v>
      </c>
      <c r="T750" s="3" t="n">
        <v>46317.54145833333</v>
      </c>
      <c r="U750" s="2" t="n"/>
    </row>
    <row r="751">
      <c r="A751" s="2" t="inlineStr">
        <is>
          <t>Resuelta</t>
        </is>
      </c>
      <c r="B751" s="3" t="n">
        <v>45831.99930555555</v>
      </c>
      <c r="C751" s="5" t="n">
        <v>365498.79</v>
      </c>
      <c r="D751" s="5" t="n">
        <v>365498.79</v>
      </c>
      <c r="E751" s="2" t="inlineStr">
        <is>
          <t>Andalucía</t>
        </is>
      </c>
      <c r="F751" s="2" t="inlineStr">
        <is>
          <t>Granada</t>
        </is>
      </c>
      <c r="G751" s="2" t="inlineStr">
        <is>
          <t>Armilla - Granada</t>
        </is>
      </c>
      <c r="H751" s="2" t="inlineStr">
        <is>
          <t>Presidencia de la Diputación Provincial de Granada</t>
        </is>
      </c>
      <c r="I751" s="2" t="inlineStr">
        <is>
          <t>2024/4/MANTE-11 “DIPUTACIÓN, Intervención paisajística en los Centros Sociales de Armilla zonas 1 y 2". I</t>
        </is>
      </c>
      <c r="J751" s="2" t="inlineStr">
        <is>
          <t>OB-029/24</t>
        </is>
      </c>
      <c r="K751" s="2" t="inlineStr">
        <is>
          <t>Abierto simplificado</t>
        </is>
      </c>
      <c r="L751" s="6" t="n">
        <v>9</v>
      </c>
      <c r="M751" s="2" t="inlineStr">
        <is>
          <t>K6-3; G6-3</t>
        </is>
      </c>
      <c r="N751" s="7" t="n">
        <v>0</v>
      </c>
      <c r="O751" s="4" t="n"/>
      <c r="P751" s="2" t="inlineStr">
        <is>
          <t>45112700</t>
        </is>
      </c>
      <c r="Q751" s="8" t="inlineStr">
        <is>
          <t>Ver</t>
        </is>
      </c>
      <c r="R751" s="8" t="inlineStr">
        <is>
          <t>PCAP</t>
        </is>
      </c>
      <c r="S751" s="9" t="n">
        <v>46318</v>
      </c>
      <c r="T751" s="3" t="n">
        <v>46317.54094907407</v>
      </c>
      <c r="U751" s="2" t="n"/>
    </row>
    <row r="752">
      <c r="A752" s="2" t="inlineStr">
        <is>
          <t>Adjudicada</t>
        </is>
      </c>
      <c r="B752" s="3" t="n">
        <v>46258.99930555555</v>
      </c>
      <c r="C752" s="5" t="n">
        <v>1439711.7</v>
      </c>
      <c r="D752" s="5" t="n">
        <v>1583682.17</v>
      </c>
      <c r="E752" s="2" t="inlineStr">
        <is>
          <t>Andalucía</t>
        </is>
      </c>
      <c r="F752" s="2" t="inlineStr">
        <is>
          <t>Málaga</t>
        </is>
      </c>
      <c r="G752" s="2" t="n"/>
      <c r="H752" s="2" t="inlineStr">
        <is>
          <t>Alcaldía del Ayuntamiento de Alpandeire</t>
        </is>
      </c>
      <c r="I752" s="2" t="inlineStr">
        <is>
          <t>Construccion de Albergue de Peregrinos de Alpandeire (Málaga)</t>
        </is>
      </c>
      <c r="J752" s="2" t="inlineStr">
        <is>
          <t>110/2026</t>
        </is>
      </c>
      <c r="K752" s="2" t="inlineStr">
        <is>
          <t>Abierto simplificado</t>
        </is>
      </c>
      <c r="L752" s="6" t="n">
        <v>11</v>
      </c>
      <c r="M752" s="2" t="inlineStr">
        <is>
          <t>K2-2; C4-2; C2-2</t>
        </is>
      </c>
      <c r="N752" s="7" t="n">
        <v>0.25</v>
      </c>
      <c r="O752" s="4" t="n"/>
      <c r="P752" s="2" t="inlineStr">
        <is>
          <t>45212412; 45000000; 45210000</t>
        </is>
      </c>
      <c r="Q752" s="8" t="inlineStr">
        <is>
          <t>Ver</t>
        </is>
      </c>
      <c r="R752" s="8" t="inlineStr">
        <is>
          <t>PCAP</t>
        </is>
      </c>
      <c r="S752" s="9" t="n">
        <v>46310</v>
      </c>
      <c r="T752" s="3" t="n">
        <v>46317.54059027778</v>
      </c>
      <c r="U752" s="2" t="inlineStr">
        <is>
          <t>2026-10-23: estado EV → ADJ</t>
        </is>
      </c>
    </row>
    <row r="753">
      <c r="A753" s="2" t="inlineStr">
        <is>
          <t>En plazo</t>
        </is>
      </c>
      <c r="B753" s="3" t="n">
        <v>46332.58333333334</v>
      </c>
      <c r="C753" s="5" t="n">
        <v>56022.08</v>
      </c>
      <c r="D753" s="5" t="n">
        <v>56022.08</v>
      </c>
      <c r="E753" s="2" t="inlineStr">
        <is>
          <t>Andalucía</t>
        </is>
      </c>
      <c r="F753" s="2" t="inlineStr">
        <is>
          <t>Almería</t>
        </is>
      </c>
      <c r="G753" s="2" t="n"/>
      <c r="H753" s="2" t="inlineStr">
        <is>
          <t>JUNTA DE GOBIERNO LOCAL AYUNTAMIENTO DE PULPÍ</t>
        </is>
      </c>
      <c r="I753" s="2" t="inlineStr">
        <is>
          <t>Ejecución de las obras correspondientes a la actuación Pista Multideporte en La Fuente</t>
        </is>
      </c>
      <c r="J753" s="2" t="inlineStr">
        <is>
          <t>1342/2026</t>
        </is>
      </c>
      <c r="K753" s="2" t="inlineStr">
        <is>
          <t>Abierto simplificado</t>
        </is>
      </c>
      <c r="L753" s="6" t="n">
        <v>1</v>
      </c>
      <c r="M753" s="2" t="n"/>
      <c r="N753" s="7" t="n">
        <v>0</v>
      </c>
      <c r="O753" s="4" t="n"/>
      <c r="P753" s="2" t="inlineStr">
        <is>
          <t>45212200; 45212213; 45212220</t>
        </is>
      </c>
      <c r="Q753" s="8" t="inlineStr">
        <is>
          <t>Ver</t>
        </is>
      </c>
      <c r="R753" s="8" t="inlineStr">
        <is>
          <t>PCAP</t>
        </is>
      </c>
      <c r="S753" s="9" t="n">
        <v>46318</v>
      </c>
      <c r="T753" s="3" t="n">
        <v>46317.53940972222</v>
      </c>
      <c r="U753" s="2" t="n"/>
    </row>
    <row r="754">
      <c r="A754" s="2" t="inlineStr">
        <is>
          <t>Pendiente de adjudicación</t>
        </is>
      </c>
      <c r="B754" s="3" t="n">
        <v>46315.99930555555</v>
      </c>
      <c r="C754" s="5" t="n">
        <v>42072.5</v>
      </c>
      <c r="D754" s="5" t="n">
        <v>42072.5</v>
      </c>
      <c r="E754" s="2" t="inlineStr">
        <is>
          <t>Andalucía</t>
        </is>
      </c>
      <c r="F754" s="2" t="inlineStr">
        <is>
          <t>Sevilla</t>
        </is>
      </c>
      <c r="G754" s="2" t="n"/>
      <c r="H754" s="2" t="inlineStr">
        <is>
          <t>Presidencia de la Diputación Provincial de Sevilla</t>
        </is>
      </c>
      <c r="I754" s="2" t="inlineStr">
        <is>
          <t>Contrato de obras para la sustitución y automatización de la puerta del Parque Móvil de la Diputación de Sevilla, incluso conexión al centro de control del propio Parque.</t>
        </is>
      </c>
      <c r="J754" s="2" t="inlineStr">
        <is>
          <t>2026/000593-PAAB</t>
        </is>
      </c>
      <c r="K754" s="2" t="inlineStr">
        <is>
          <t>Abierto simplificado</t>
        </is>
      </c>
      <c r="L754" s="6" t="n">
        <v>1</v>
      </c>
      <c r="M754" s="2" t="n"/>
      <c r="N754" s="7" t="n">
        <v>0</v>
      </c>
      <c r="O754" s="4" t="n"/>
      <c r="P754" s="2" t="inlineStr">
        <is>
          <t>45421160</t>
        </is>
      </c>
      <c r="Q754" s="8" t="inlineStr">
        <is>
          <t>Ver</t>
        </is>
      </c>
      <c r="R754" s="8" t="inlineStr">
        <is>
          <t>PCAP</t>
        </is>
      </c>
      <c r="S754" s="9" t="n">
        <v>46318</v>
      </c>
      <c r="T754" s="3" t="n">
        <v>46317.53903935185</v>
      </c>
      <c r="U754" s="2" t="n"/>
    </row>
    <row r="755">
      <c r="A755" s="2" t="inlineStr">
        <is>
          <t>Pendiente de adjudicación</t>
        </is>
      </c>
      <c r="B755" s="3" t="n">
        <v>46314.625</v>
      </c>
      <c r="C755" s="5" t="n">
        <v>361361.97</v>
      </c>
      <c r="D755" s="5" t="n">
        <v>361361.97</v>
      </c>
      <c r="E755" s="2" t="inlineStr">
        <is>
          <t>Andalucía</t>
        </is>
      </c>
      <c r="F755" s="2" t="inlineStr">
        <is>
          <t>Córdoba</t>
        </is>
      </c>
      <c r="G755" s="2" t="n"/>
      <c r="H755" s="2" t="inlineStr">
        <is>
          <t>Alcaldía del Ayuntamiento de Montoro</t>
        </is>
      </c>
      <c r="I755" s="2" t="inlineStr">
        <is>
          <t>Contratación de las obras contenidas en el proyecto "Mejora del drenaje Camino Rural de los Huertos Familiares de San Fernando. Montoro (Córdoba)", financiado con cargo a las ayudas de la Administración General del Estado, a través del Ministerio de Política Territorial y Memoria Democrática, previstas en el artículo 7 del Real Decreto-ley 5/2026, de 17 de febrero.</t>
        </is>
      </c>
      <c r="J755" s="2" t="inlineStr">
        <is>
          <t>GEX 2026/10728</t>
        </is>
      </c>
      <c r="K755" s="2" t="inlineStr">
        <is>
          <t>Abierto simplificado</t>
        </is>
      </c>
      <c r="L755" s="6" t="n">
        <v>5</v>
      </c>
      <c r="M755" s="2" t="inlineStr">
        <is>
          <t>E4-3</t>
        </is>
      </c>
      <c r="N755" s="7" t="n">
        <v>0</v>
      </c>
      <c r="O755" s="4" t="n"/>
      <c r="P755" s="2" t="inlineStr">
        <is>
          <t>45233160</t>
        </is>
      </c>
      <c r="Q755" s="8" t="inlineStr">
        <is>
          <t>Ver</t>
        </is>
      </c>
      <c r="R755" s="8" t="inlineStr">
        <is>
          <t>PCAP</t>
        </is>
      </c>
      <c r="S755" s="9" t="n">
        <v>46318</v>
      </c>
      <c r="T755" s="3" t="n">
        <v>46317.53875</v>
      </c>
      <c r="U755" s="2" t="n"/>
    </row>
    <row r="756">
      <c r="A756" s="2" t="inlineStr">
        <is>
          <t>En plazo</t>
        </is>
      </c>
      <c r="B756" s="3" t="n">
        <v>46337.99930555555</v>
      </c>
      <c r="C756" s="5" t="n">
        <v>161765.33</v>
      </c>
      <c r="D756" s="5" t="n">
        <v>161765.33</v>
      </c>
      <c r="E756" s="2" t="inlineStr">
        <is>
          <t>Comunitat Valenciana</t>
        </is>
      </c>
      <c r="F756" s="2" t="inlineStr">
        <is>
          <t>Alicante</t>
        </is>
      </c>
      <c r="G756" s="2" t="n"/>
      <c r="H756" s="2" t="inlineStr">
        <is>
          <t>Junta de Gobierno del Ayuntamiento Dénia</t>
        </is>
      </c>
      <c r="I756" s="2" t="inlineStr">
        <is>
          <t>Obras de mejoras del pavimento en Camí de l'Advocat</t>
        </is>
      </c>
      <c r="J756" s="2" t="inlineStr">
        <is>
          <t>OBR/2026000065</t>
        </is>
      </c>
      <c r="K756" s="2" t="inlineStr">
        <is>
          <t>Abierto simplificado</t>
        </is>
      </c>
      <c r="L756" s="6" t="n">
        <v>1</v>
      </c>
      <c r="M756" s="2" t="inlineStr">
        <is>
          <t>G3-1</t>
        </is>
      </c>
      <c r="N756" s="7" t="n">
        <v>0</v>
      </c>
      <c r="O756" s="4" t="n"/>
      <c r="P756" s="2" t="inlineStr">
        <is>
          <t>45233222</t>
        </is>
      </c>
      <c r="Q756" s="8" t="inlineStr">
        <is>
          <t>Ver</t>
        </is>
      </c>
      <c r="R756" s="8" t="inlineStr">
        <is>
          <t>PCAP</t>
        </is>
      </c>
      <c r="S756" s="9" t="n">
        <v>46318</v>
      </c>
      <c r="T756" s="3" t="n">
        <v>46317.53811342592</v>
      </c>
      <c r="U756" s="2" t="n"/>
    </row>
    <row r="757">
      <c r="A757" s="2" t="inlineStr">
        <is>
          <t>Adjudicada</t>
        </is>
      </c>
      <c r="B757" s="3" t="n">
        <v>46259.99930555555</v>
      </c>
      <c r="C757" s="5" t="n">
        <v>100541.82</v>
      </c>
      <c r="D757" s="5" t="n">
        <v>100541.82</v>
      </c>
      <c r="E757" s="2" t="inlineStr">
        <is>
          <t>Comunitat Valenciana</t>
        </is>
      </c>
      <c r="F757" s="2" t="inlineStr">
        <is>
          <t>Castellón</t>
        </is>
      </c>
      <c r="G757" s="2" t="n"/>
      <c r="H757" s="2" t="inlineStr">
        <is>
          <t>Junta de Gobierno Local del Ayuntamiento de Alcalà de Xivert</t>
        </is>
      </c>
      <c r="I757" s="2" t="inlineStr">
        <is>
          <t>Obras de mejoras hidráulicas en la red de saneamiento de Alcalà de Xivert-Alcossebre</t>
        </is>
      </c>
      <c r="J757" s="2" t="inlineStr">
        <is>
          <t>2090/2026</t>
        </is>
      </c>
      <c r="K757" s="2" t="inlineStr">
        <is>
          <t>Abierto</t>
        </is>
      </c>
      <c r="L757" s="6" t="n">
        <v>5</v>
      </c>
      <c r="M757" s="2" t="n"/>
      <c r="N757" s="7" t="n">
        <v>0.3</v>
      </c>
      <c r="O757" s="4" t="n"/>
      <c r="P757" s="2" t="inlineStr">
        <is>
          <t>45232410</t>
        </is>
      </c>
      <c r="Q757" s="8" t="inlineStr">
        <is>
          <t>Ver</t>
        </is>
      </c>
      <c r="R757" s="8" t="inlineStr">
        <is>
          <t>PCAP</t>
        </is>
      </c>
      <c r="S757" s="9" t="n">
        <v>46318</v>
      </c>
      <c r="T757" s="3" t="n">
        <v>46317.5362037037</v>
      </c>
      <c r="U757" s="2" t="n"/>
    </row>
    <row r="758">
      <c r="A758" s="2" t="inlineStr">
        <is>
          <t>Pendiente de adjudicación</t>
        </is>
      </c>
      <c r="B758" s="3" t="n">
        <v>46308.99930555555</v>
      </c>
      <c r="C758" s="5" t="n">
        <v>613227.61</v>
      </c>
      <c r="D758" s="5" t="n">
        <v>735873.14</v>
      </c>
      <c r="E758" s="2" t="inlineStr">
        <is>
          <t>Andalucía</t>
        </is>
      </c>
      <c r="F758" s="2" t="inlineStr">
        <is>
          <t>Huelva</t>
        </is>
      </c>
      <c r="G758" s="2" t="inlineStr">
        <is>
          <t>Moguer</t>
        </is>
      </c>
      <c r="H758" s="2" t="inlineStr">
        <is>
          <t>Alcaldía del Ayuntamiento de Moguer</t>
        </is>
      </c>
      <c r="I758"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758" s="2" t="inlineStr">
        <is>
          <t>10380/2026 OBRAS PEÑUELAS Y CANORRA</t>
        </is>
      </c>
      <c r="K758" s="2" t="inlineStr">
        <is>
          <t>Abierto</t>
        </is>
      </c>
      <c r="L758" s="6" t="n">
        <v>4</v>
      </c>
      <c r="M758" s="2" t="n"/>
      <c r="N758" s="7" t="n">
        <v>0</v>
      </c>
      <c r="O758" s="4" t="n">
        <v>2</v>
      </c>
      <c r="P758" s="2" t="inlineStr">
        <is>
          <t>45233140</t>
        </is>
      </c>
      <c r="Q758" s="8" t="inlineStr">
        <is>
          <t>Ver</t>
        </is>
      </c>
      <c r="R758" s="8" t="inlineStr">
        <is>
          <t>PCAP</t>
        </is>
      </c>
      <c r="S758" s="9" t="n">
        <v>46310</v>
      </c>
      <c r="T758" s="3" t="n">
        <v>46317.53471064815</v>
      </c>
      <c r="U758" s="2" t="inlineStr">
        <is>
          <t>2026-10-23: estado PUB → EV</t>
        </is>
      </c>
    </row>
    <row r="759">
      <c r="A759" s="2" t="inlineStr">
        <is>
          <t>Adjudicada</t>
        </is>
      </c>
      <c r="B759" s="3" t="n">
        <v>46280.99930555555</v>
      </c>
      <c r="C759" s="5" t="n">
        <v>206380.16</v>
      </c>
      <c r="D759" s="5" t="n">
        <v>206380.16</v>
      </c>
      <c r="E759" s="2" t="inlineStr">
        <is>
          <t>Comunitat Valenciana</t>
        </is>
      </c>
      <c r="F759" s="2" t="inlineStr">
        <is>
          <t>Castellón</t>
        </is>
      </c>
      <c r="G759" s="2" t="n"/>
      <c r="H759" s="2" t="inlineStr">
        <is>
          <t>Junta de Gobierno Local del Ayuntamiento de Alcalà de Xivert</t>
        </is>
      </c>
      <c r="I759" s="2" t="inlineStr">
        <is>
          <t>Obras de mejora, accesibilidad, peatonalización y asfaltado de la C/ Rench de Alcossebre</t>
        </is>
      </c>
      <c r="J759" s="2" t="inlineStr">
        <is>
          <t>2353/2026</t>
        </is>
      </c>
      <c r="K759" s="2" t="inlineStr">
        <is>
          <t>Abierto simplificado</t>
        </is>
      </c>
      <c r="L759" s="6" t="n">
        <v>3</v>
      </c>
      <c r="M759" s="2" t="n"/>
      <c r="N759" s="7" t="n">
        <v>0.25</v>
      </c>
      <c r="O759" s="4" t="n">
        <v>2</v>
      </c>
      <c r="P759" s="2" t="inlineStr">
        <is>
          <t>45233140; 45233200</t>
        </is>
      </c>
      <c r="Q759" s="8" t="inlineStr">
        <is>
          <t>Ver</t>
        </is>
      </c>
      <c r="R759" s="8" t="inlineStr">
        <is>
          <t>PCAP</t>
        </is>
      </c>
      <c r="S759" s="9" t="n">
        <v>46310</v>
      </c>
      <c r="T759" s="3" t="n">
        <v>46317.53395833333</v>
      </c>
      <c r="U759" s="2" t="inlineStr">
        <is>
          <t>2026-10-23: estado EV → ADJ</t>
        </is>
      </c>
    </row>
    <row r="760">
      <c r="A760" s="2" t="inlineStr">
        <is>
          <t>Pendiente de adjudicación</t>
        </is>
      </c>
      <c r="B760" s="3" t="n">
        <v>46268.5</v>
      </c>
      <c r="C760" s="5" t="n">
        <v>362933.34</v>
      </c>
      <c r="D760" s="5" t="n">
        <v>362933.34</v>
      </c>
      <c r="E760" s="2" t="inlineStr">
        <is>
          <t>Andalucía</t>
        </is>
      </c>
      <c r="F760" s="2" t="inlineStr">
        <is>
          <t>Jaén</t>
        </is>
      </c>
      <c r="G760" s="2" t="inlineStr">
        <is>
          <t>Jaén</t>
        </is>
      </c>
      <c r="H760" s="2" t="inlineStr">
        <is>
          <t>Junta de Gobierno del Ayuntamiento de Torredonjimeno</t>
        </is>
      </c>
      <c r="I760" s="2" t="inlineStr">
        <is>
          <t>Construcción de un aparcamiento de camiones</t>
        </is>
      </c>
      <c r="J760" s="2" t="inlineStr">
        <is>
          <t>2032/2026</t>
        </is>
      </c>
      <c r="K760" s="2" t="inlineStr">
        <is>
          <t>Abierto simplificado</t>
        </is>
      </c>
      <c r="L760" s="6" t="n">
        <v>6</v>
      </c>
      <c r="M760" s="2" t="n"/>
      <c r="N760" s="7" t="n">
        <v>0.4</v>
      </c>
      <c r="O760" s="4" t="n"/>
      <c r="P760" s="2" t="inlineStr">
        <is>
          <t>45213312; 45233220; 45213310</t>
        </is>
      </c>
      <c r="Q760" s="8" t="inlineStr">
        <is>
          <t>Ver</t>
        </is>
      </c>
      <c r="R760" s="8" t="inlineStr">
        <is>
          <t>PCAP</t>
        </is>
      </c>
      <c r="S760" s="9" t="n">
        <v>46318</v>
      </c>
      <c r="T760" s="3" t="n">
        <v>46317.53321759259</v>
      </c>
      <c r="U760" s="2" t="n"/>
    </row>
    <row r="761">
      <c r="A761" s="2" t="inlineStr">
        <is>
          <t>Pendiente de adjudicación</t>
        </is>
      </c>
      <c r="B761" s="3" t="n">
        <v>46314.99930555555</v>
      </c>
      <c r="C761" s="5" t="n">
        <v>113344.69</v>
      </c>
      <c r="D761" s="5" t="n">
        <v>124679.16</v>
      </c>
      <c r="E761" s="2" t="inlineStr">
        <is>
          <t>Comunitat Valenciana</t>
        </is>
      </c>
      <c r="F761" s="2" t="inlineStr">
        <is>
          <t>Valencia</t>
        </is>
      </c>
      <c r="G761" s="2" t="n"/>
      <c r="H761" s="2" t="inlineStr">
        <is>
          <t>Junta de Gobierno del Ayuntamiento de Silla</t>
        </is>
      </c>
      <c r="I761" s="2" t="inlineStr">
        <is>
          <t>Obra «Adecuación del bar-cafetería del Hogar de los Jubilados de Silla para la regularización de su actividad»</t>
        </is>
      </c>
      <c r="J761" s="2" t="inlineStr">
        <is>
          <t>3036693E</t>
        </is>
      </c>
      <c r="K761" s="2" t="inlineStr">
        <is>
          <t>Abierto simplificado</t>
        </is>
      </c>
      <c r="L761" s="6" t="n">
        <v>3</v>
      </c>
      <c r="M761" s="2" t="n"/>
      <c r="N761" s="7" t="n">
        <v>0</v>
      </c>
      <c r="O761" s="4" t="n"/>
      <c r="P761" s="2" t="inlineStr">
        <is>
          <t>45212420; 45453100</t>
        </is>
      </c>
      <c r="Q761" s="8" t="inlineStr">
        <is>
          <t>Ver</t>
        </is>
      </c>
      <c r="R761" s="8" t="inlineStr">
        <is>
          <t>PCAP</t>
        </is>
      </c>
      <c r="S761" s="9" t="n">
        <v>46317</v>
      </c>
      <c r="T761" s="3" t="n">
        <v>46317.5321875</v>
      </c>
      <c r="U761" s="2" t="n"/>
    </row>
    <row r="762">
      <c r="A762" s="2" t="inlineStr">
        <is>
          <t>En plazo</t>
        </is>
      </c>
      <c r="B762" s="3" t="n">
        <v>46332.99930555555</v>
      </c>
      <c r="C762" s="5" t="n">
        <v>41322.32</v>
      </c>
      <c r="D762" s="5" t="n">
        <v>41322.32</v>
      </c>
      <c r="E762" s="2" t="inlineStr">
        <is>
          <t>Andalucía</t>
        </is>
      </c>
      <c r="F762" s="2" t="inlineStr">
        <is>
          <t>Jaén</t>
        </is>
      </c>
      <c r="G762" s="2" t="inlineStr">
        <is>
          <t>Arquillos</t>
        </is>
      </c>
      <c r="H762" s="2" t="inlineStr">
        <is>
          <t>Alcaldía del Ayuntamiento de Arquillos</t>
        </is>
      </c>
      <c r="I762" s="2" t="inlineStr">
        <is>
          <t>Acondicionamiento de nave municipal como vivero de empresas en el municipio de Arquillos (Jaén).</t>
        </is>
      </c>
      <c r="J762" s="2" t="inlineStr">
        <is>
          <t>363/2026</t>
        </is>
      </c>
      <c r="K762" s="2" t="inlineStr">
        <is>
          <t>Abierto simplificado</t>
        </is>
      </c>
      <c r="L762" s="6" t="n">
        <v>1</v>
      </c>
      <c r="M762" s="2" t="n"/>
      <c r="N762" s="7" t="n">
        <v>0</v>
      </c>
      <c r="O762" s="4" t="n"/>
      <c r="P762" s="2" t="inlineStr">
        <is>
          <t>45210000</t>
        </is>
      </c>
      <c r="Q762" s="8" t="inlineStr">
        <is>
          <t>Ver</t>
        </is>
      </c>
      <c r="R762" s="8" t="inlineStr">
        <is>
          <t>PCAP</t>
        </is>
      </c>
      <c r="S762" s="9" t="n">
        <v>46318</v>
      </c>
      <c r="T762" s="3" t="n">
        <v>46317.53013888889</v>
      </c>
      <c r="U762" s="2" t="n"/>
    </row>
    <row r="763">
      <c r="A763" s="2" t="inlineStr">
        <is>
          <t>Resuelta</t>
        </is>
      </c>
      <c r="B763" s="3" t="n">
        <v>46286.99930555555</v>
      </c>
      <c r="C763" s="5" t="n">
        <v>781554.3199999999</v>
      </c>
      <c r="D763" s="5" t="n">
        <v>781554.3199999999</v>
      </c>
      <c r="E763" s="2" t="inlineStr">
        <is>
          <t>Andalucía</t>
        </is>
      </c>
      <c r="F763" s="2" t="inlineStr">
        <is>
          <t>Sevilla</t>
        </is>
      </c>
      <c r="G763" s="2" t="inlineStr">
        <is>
          <t>Marchena</t>
        </is>
      </c>
      <c r="H763" s="2" t="inlineStr">
        <is>
          <t>Alcaldía del Ayuntamiento de Marchena</t>
        </is>
      </c>
      <c r="I763" s="2" t="inlineStr">
        <is>
          <t>Contrato de obras para Proyecto de ciclosenda en Carretea de Carmona. Marchena (Sevilla).</t>
        </is>
      </c>
      <c r="J763" s="2" t="inlineStr">
        <is>
          <t>2026/CTT_01/000135</t>
        </is>
      </c>
      <c r="K763" s="2" t="inlineStr">
        <is>
          <t>Abierto simplificado</t>
        </is>
      </c>
      <c r="L763" s="6" t="n">
        <v>6</v>
      </c>
      <c r="M763" s="2" t="inlineStr">
        <is>
          <t>G6-3; K6-1; I1-2</t>
        </is>
      </c>
      <c r="N763" s="7" t="n">
        <v>0</v>
      </c>
      <c r="O763" s="4" t="n"/>
      <c r="P763" s="2" t="inlineStr">
        <is>
          <t>45233162; 45316100; 45316213</t>
        </is>
      </c>
      <c r="Q763" s="8" t="inlineStr">
        <is>
          <t>Ver</t>
        </is>
      </c>
      <c r="R763" s="8" t="inlineStr">
        <is>
          <t>PCAP</t>
        </is>
      </c>
      <c r="S763" s="9" t="n">
        <v>46310</v>
      </c>
      <c r="T763" s="3" t="n">
        <v>46317.52891203704</v>
      </c>
      <c r="U763" s="2" t="inlineStr">
        <is>
          <t>2026-10-19: estado EV → ADJ | 2026-10-23: estado ADJ → RES</t>
        </is>
      </c>
    </row>
    <row r="764">
      <c r="A764" s="2" t="inlineStr">
        <is>
          <t>Adjudicada</t>
        </is>
      </c>
      <c r="B764" s="3" t="n">
        <v>46307.99930555555</v>
      </c>
      <c r="C764" s="5" t="n">
        <v>93973.32000000001</v>
      </c>
      <c r="D764" s="5" t="n">
        <v>93973.32000000001</v>
      </c>
      <c r="E764" s="2" t="inlineStr">
        <is>
          <t>Comunitat Valenciana</t>
        </is>
      </c>
      <c r="F764" s="2" t="inlineStr">
        <is>
          <t>Valencia</t>
        </is>
      </c>
      <c r="G764" s="2" t="n"/>
      <c r="H764" s="2" t="inlineStr">
        <is>
          <t>Alcaldía del Ayuntamiento de Chelva</t>
        </is>
      </c>
      <c r="I764" s="2" t="inlineStr">
        <is>
          <t>Instalación ascensor para la mejora de accesibilidad del Antiguo Ayuntamiento de Chelva</t>
        </is>
      </c>
      <c r="J764" s="2" t="inlineStr">
        <is>
          <t>744/2026</t>
        </is>
      </c>
      <c r="K764" s="2" t="inlineStr">
        <is>
          <t>Abierto simplificado</t>
        </is>
      </c>
      <c r="L764" s="6" t="n"/>
      <c r="M764" s="2" t="n"/>
      <c r="N764" s="7" t="n">
        <v>0</v>
      </c>
      <c r="O764" s="4" t="n"/>
      <c r="P764" s="2" t="inlineStr">
        <is>
          <t>45313000; 45300000; 45000000; 45310000</t>
        </is>
      </c>
      <c r="Q764" s="8" t="inlineStr">
        <is>
          <t>Ver</t>
        </is>
      </c>
      <c r="R764" s="8" t="inlineStr">
        <is>
          <t>PCAP</t>
        </is>
      </c>
      <c r="S764" s="9" t="n">
        <v>46318</v>
      </c>
      <c r="T764" s="3" t="n">
        <v>46317.52244212963</v>
      </c>
      <c r="U764" s="2" t="n"/>
    </row>
    <row r="765">
      <c r="A765" s="2" t="inlineStr">
        <is>
          <t>Resuelta</t>
        </is>
      </c>
      <c r="B765" s="3" t="n">
        <v>46294.45833333334</v>
      </c>
      <c r="C765" s="5" t="n">
        <v>341946.1</v>
      </c>
      <c r="D765" s="5" t="n">
        <v>341946.1</v>
      </c>
      <c r="E765" s="2" t="inlineStr">
        <is>
          <t>Comunitat Valenciana</t>
        </is>
      </c>
      <c r="F765" s="2" t="inlineStr">
        <is>
          <t>Alicante</t>
        </is>
      </c>
      <c r="G765" s="2" t="inlineStr">
        <is>
          <t>Alicante</t>
        </is>
      </c>
      <c r="H765" s="2" t="inlineStr">
        <is>
          <t>Jefatura de Intendencia de Asuntos Económicos Este</t>
        </is>
      </c>
      <c r="I765" s="2" t="inlineStr">
        <is>
          <t>Reparación de Asfaltado de varios Viales Acto. Alférez Rojas Navarrete. Alicante. (TC 312-03/25)</t>
        </is>
      </c>
      <c r="J765" s="2" t="inlineStr">
        <is>
          <t>2026/ETSAE0327/00006363E</t>
        </is>
      </c>
      <c r="K765" s="2" t="inlineStr">
        <is>
          <t>Abierto</t>
        </is>
      </c>
      <c r="L765" s="6" t="n">
        <v>2</v>
      </c>
      <c r="M765" s="2" t="n"/>
      <c r="N765" s="7" t="n">
        <v>0</v>
      </c>
      <c r="O765" s="4" t="n"/>
      <c r="P765" s="2" t="inlineStr">
        <is>
          <t>45233141</t>
        </is>
      </c>
      <c r="Q765" s="8" t="inlineStr">
        <is>
          <t>Ver</t>
        </is>
      </c>
      <c r="R765" s="8" t="inlineStr">
        <is>
          <t>PCAP</t>
        </is>
      </c>
      <c r="S765" s="9" t="n">
        <v>46318</v>
      </c>
      <c r="T765" s="3" t="n">
        <v>46317.52146990741</v>
      </c>
      <c r="U765" s="2" t="n"/>
    </row>
    <row r="766">
      <c r="A766" s="2" t="inlineStr">
        <is>
          <t>En plazo</t>
        </is>
      </c>
      <c r="B766" s="3" t="n">
        <v>46332.99930555555</v>
      </c>
      <c r="C766" s="5" t="n">
        <v>40405.37</v>
      </c>
      <c r="D766" s="5" t="n">
        <v>40405.37</v>
      </c>
      <c r="E766" s="2" t="inlineStr">
        <is>
          <t>Andalucía</t>
        </is>
      </c>
      <c r="F766" s="2" t="inlineStr">
        <is>
          <t>Córdoba</t>
        </is>
      </c>
      <c r="G766" s="2" t="n"/>
      <c r="H766" s="2" t="inlineStr">
        <is>
          <t>Alcalde de Ayuntamiento de Puente Genil</t>
        </is>
      </c>
      <c r="I766" s="2" t="inlineStr">
        <is>
          <t>Las obras incluidas la ejecución de las obras incluidas en el Proyecto Técnico de Colocación de bionda e iluminación en vial paralelo a la A379 en la aldea "La Mina" así como bionda en el vial prolongación de Avda. Europa con C/Juan XXIII, en Puente Genil (Córdoba),</t>
        </is>
      </c>
      <c r="J766" s="2" t="inlineStr">
        <is>
          <t>32/2026</t>
        </is>
      </c>
      <c r="K766" s="2" t="inlineStr">
        <is>
          <t>Abierto simplificado</t>
        </is>
      </c>
      <c r="L766" s="6" t="n">
        <v>3</v>
      </c>
      <c r="M766" s="2" t="n"/>
      <c r="N766" s="7" t="n">
        <v>0</v>
      </c>
      <c r="O766" s="4" t="n"/>
      <c r="P766" s="2" t="inlineStr">
        <is>
          <t>45233280; 45316100</t>
        </is>
      </c>
      <c r="Q766" s="8" t="inlineStr">
        <is>
          <t>Ver</t>
        </is>
      </c>
      <c r="R766" s="8" t="inlineStr">
        <is>
          <t>PCAP</t>
        </is>
      </c>
      <c r="S766" s="9" t="n">
        <v>46318</v>
      </c>
      <c r="T766" s="3" t="n">
        <v>46317.51813657407</v>
      </c>
      <c r="U766" s="2" t="n"/>
    </row>
    <row r="767">
      <c r="A767" s="2" t="inlineStr">
        <is>
          <t>En plazo</t>
        </is>
      </c>
      <c r="B767" s="3" t="n">
        <v>46331.99930555555</v>
      </c>
      <c r="C767" s="5" t="n">
        <v>49421.49</v>
      </c>
      <c r="D767" s="5" t="n">
        <v>49421.49</v>
      </c>
      <c r="E767" s="2" t="inlineStr">
        <is>
          <t>Comunitat Valenciana</t>
        </is>
      </c>
      <c r="F767" s="2" t="inlineStr">
        <is>
          <t>Alicante</t>
        </is>
      </c>
      <c r="G767" s="2" t="n"/>
      <c r="H767" s="2" t="inlineStr">
        <is>
          <t>Alcaldía de la EATIM de Jesús Pobre</t>
        </is>
      </c>
      <c r="I767" s="2" t="inlineStr">
        <is>
          <t>Actuación de conservación y mantenimiento ordinario en instalaciones públicas de la EATIM</t>
        </is>
      </c>
      <c r="J767" s="2" t="inlineStr">
        <is>
          <t>259/2026</t>
        </is>
      </c>
      <c r="K767" s="2" t="inlineStr">
        <is>
          <t>Abierto simplificado</t>
        </is>
      </c>
      <c r="L767" s="6" t="n">
        <v>1</v>
      </c>
      <c r="M767" s="2" t="n"/>
      <c r="N767" s="7" t="n">
        <v>0</v>
      </c>
      <c r="O767" s="4" t="n">
        <v>4</v>
      </c>
      <c r="P767" s="2" t="inlineStr">
        <is>
          <t>45442100; 45432111; 45212290; 45261220</t>
        </is>
      </c>
      <c r="Q767" s="8" t="inlineStr">
        <is>
          <t>Ver</t>
        </is>
      </c>
      <c r="R767" s="8" t="inlineStr">
        <is>
          <t>PCAP</t>
        </is>
      </c>
      <c r="S767" s="9" t="n">
        <v>46318</v>
      </c>
      <c r="T767" s="3" t="n">
        <v>46317.51168981481</v>
      </c>
      <c r="U767" s="2" t="n"/>
    </row>
    <row r="768">
      <c r="A768" s="2" t="inlineStr">
        <is>
          <t>Adjudicada</t>
        </is>
      </c>
      <c r="B768" s="3" t="n">
        <v>46198.99930555555</v>
      </c>
      <c r="C768" s="5" t="n">
        <v>40214.26</v>
      </c>
      <c r="D768" s="5" t="n">
        <v>40214.26</v>
      </c>
      <c r="E768" s="2" t="inlineStr">
        <is>
          <t>Andalucía</t>
        </is>
      </c>
      <c r="F768" s="2" t="inlineStr">
        <is>
          <t>Cádiz</t>
        </is>
      </c>
      <c r="G768" s="2" t="inlineStr">
        <is>
          <t>Alcalá de los Gazules</t>
        </is>
      </c>
      <c r="H768" s="2" t="inlineStr">
        <is>
          <t>Alcaldia del Ayuntamiento de Alcalá de los Gazules</t>
        </is>
      </c>
      <c r="I768" s="2" t="inlineStr">
        <is>
          <t>Obras de cubrición de la Pista principal de pádel en Pabellón municipal Pico del Campo de Alcalá de los Gazules.</t>
        </is>
      </c>
      <c r="J768" s="2" t="inlineStr">
        <is>
          <t>1017/2026</t>
        </is>
      </c>
      <c r="K768" s="2" t="inlineStr">
        <is>
          <t>Abierto</t>
        </is>
      </c>
      <c r="L768" s="6" t="n">
        <v>4</v>
      </c>
      <c r="M768" s="2" t="n"/>
      <c r="N768" s="7" t="n">
        <v>0</v>
      </c>
      <c r="O768" s="4" t="n"/>
      <c r="P768" s="2" t="inlineStr">
        <is>
          <t>45110000</t>
        </is>
      </c>
      <c r="Q768" s="8" t="inlineStr">
        <is>
          <t>Ver</t>
        </is>
      </c>
      <c r="R768" s="8" t="inlineStr">
        <is>
          <t>PCAP</t>
        </is>
      </c>
      <c r="S768" s="9" t="n">
        <v>46318</v>
      </c>
      <c r="T768" s="3" t="n">
        <v>46317.50978009259</v>
      </c>
      <c r="U768" s="2" t="n"/>
    </row>
    <row r="769">
      <c r="A769" s="2" t="inlineStr">
        <is>
          <t>Pendiente de adjudicación</t>
        </is>
      </c>
      <c r="B769" s="3" t="n">
        <v>46300.58333333334</v>
      </c>
      <c r="C769" s="5" t="n">
        <v>160880.11</v>
      </c>
      <c r="D769" s="5" t="n">
        <v>160880.11</v>
      </c>
      <c r="E769" s="2" t="inlineStr">
        <is>
          <t>Comunitat Valenciana</t>
        </is>
      </c>
      <c r="F769" s="2" t="inlineStr">
        <is>
          <t>Valencia</t>
        </is>
      </c>
      <c r="G769" s="2" t="n"/>
      <c r="H769" s="2" t="inlineStr">
        <is>
          <t>Alcaldía del Ayuntamiento de La Font d'En Carròs</t>
        </is>
      </c>
      <c r="I769" s="2" t="inlineStr">
        <is>
          <t>Cubrición de graderío</t>
        </is>
      </c>
      <c r="J769" s="2" t="inlineStr">
        <is>
          <t>2026011</t>
        </is>
      </c>
      <c r="K769" s="2" t="inlineStr">
        <is>
          <t>Abierto simplificado</t>
        </is>
      </c>
      <c r="L769" s="6" t="n">
        <v>5</v>
      </c>
      <c r="M769" s="2" t="n"/>
      <c r="N769" s="7" t="n">
        <v>0.25</v>
      </c>
      <c r="O769" s="4" t="n"/>
      <c r="P769" s="2" t="inlineStr">
        <is>
          <t>45000000; 45223110; 45223210; 45223100; 45223000; 45223200</t>
        </is>
      </c>
      <c r="Q769" s="8" t="inlineStr">
        <is>
          <t>Ver</t>
        </is>
      </c>
      <c r="R769" s="8" t="inlineStr">
        <is>
          <t>PCAP</t>
        </is>
      </c>
      <c r="S769" s="9" t="n">
        <v>46310</v>
      </c>
      <c r="T769" s="3" t="n">
        <v>46317.5096875</v>
      </c>
      <c r="U769" s="2" t="n"/>
    </row>
    <row r="770">
      <c r="A770" s="2" t="inlineStr">
        <is>
          <t>Resuelta</t>
        </is>
      </c>
      <c r="B770" s="3" t="n">
        <v>46281.41666666666</v>
      </c>
      <c r="C770" s="5" t="n">
        <v>277032.03</v>
      </c>
      <c r="D770" s="5" t="n">
        <v>277032.03</v>
      </c>
      <c r="E770" s="2" t="inlineStr">
        <is>
          <t>Andalucía</t>
        </is>
      </c>
      <c r="F770" s="2" t="inlineStr">
        <is>
          <t>Málaga</t>
        </is>
      </c>
      <c r="G770" s="2" t="n"/>
      <c r="H770" s="2" t="inlineStr">
        <is>
          <t>Jefatura de Intendencia de Asuntos Económicos Sur</t>
        </is>
      </c>
      <c r="I770" s="2" t="inlineStr">
        <is>
          <t>OBRA TC 208-03/26 (INVIED 202600000222) de pintura de la fachada este del BQ. derecho y sustitución de las barandillas por acristalamiento, RMASD T.G. Castañón de Mena, Málaga</t>
        </is>
      </c>
      <c r="J770" s="2" t="inlineStr">
        <is>
          <t>2026/ETSAE0226/00005670E</t>
        </is>
      </c>
      <c r="K770" s="2" t="inlineStr">
        <is>
          <t>Abierto simplificado</t>
        </is>
      </c>
      <c r="L770" s="6" t="n">
        <v>2</v>
      </c>
      <c r="M770" s="2" t="n"/>
      <c r="N770" s="7" t="n">
        <v>0</v>
      </c>
      <c r="O770" s="4" t="n"/>
      <c r="P770" s="2" t="inlineStr">
        <is>
          <t>45216200</t>
        </is>
      </c>
      <c r="Q770" s="8" t="inlineStr">
        <is>
          <t>Ver</t>
        </is>
      </c>
      <c r="R770" s="8" t="inlineStr">
        <is>
          <t>PCAP</t>
        </is>
      </c>
      <c r="S770" s="9" t="n">
        <v>46317</v>
      </c>
      <c r="T770" s="3" t="n">
        <v>46317.50708333333</v>
      </c>
      <c r="U770" s="2" t="inlineStr">
        <is>
          <t>2026-10-23: estado ADJ → RES</t>
        </is>
      </c>
    </row>
    <row r="771">
      <c r="A771" s="2" t="inlineStr">
        <is>
          <t>En plazo</t>
        </is>
      </c>
      <c r="B771" s="3" t="n">
        <v>46343.99930555555</v>
      </c>
      <c r="C771" s="5" t="n">
        <v>108955.76</v>
      </c>
      <c r="D771" s="5" t="n">
        <v>108955.76</v>
      </c>
      <c r="E771" s="2" t="inlineStr">
        <is>
          <t>Andalucía</t>
        </is>
      </c>
      <c r="F771" s="2" t="inlineStr">
        <is>
          <t>Málaga</t>
        </is>
      </c>
      <c r="G771" s="2" t="n"/>
      <c r="H771" s="2" t="inlineStr">
        <is>
          <t>Alcaldía del Ayuntamiento de Álora</t>
        </is>
      </c>
      <c r="I771" s="2" t="inlineStr">
        <is>
          <t>Sustitución y mejora redes de abastecimiento de agua</t>
        </is>
      </c>
      <c r="J771" s="2" t="inlineStr">
        <is>
          <t>15/2026</t>
        </is>
      </c>
      <c r="K771" s="2" t="inlineStr">
        <is>
          <t>Abierto</t>
        </is>
      </c>
      <c r="L771" s="6" t="n">
        <v>4</v>
      </c>
      <c r="M771" s="2" t="n"/>
      <c r="N771" s="7" t="n">
        <v>0</v>
      </c>
      <c r="O771" s="4" t="n">
        <v>2</v>
      </c>
      <c r="P771" s="2" t="inlineStr">
        <is>
          <t>45232150</t>
        </is>
      </c>
      <c r="Q771" s="8" t="inlineStr">
        <is>
          <t>Ver</t>
        </is>
      </c>
      <c r="R771" s="8" t="inlineStr">
        <is>
          <t>PCAP</t>
        </is>
      </c>
      <c r="S771" s="9" t="n">
        <v>46318</v>
      </c>
      <c r="T771" s="3" t="n">
        <v>46317.50534722222</v>
      </c>
      <c r="U771" s="2" t="n"/>
    </row>
    <row r="772">
      <c r="A772" s="2" t="inlineStr">
        <is>
          <t>En plazo</t>
        </is>
      </c>
      <c r="B772" s="3" t="n">
        <v>46332.99930555555</v>
      </c>
      <c r="C772" s="5" t="n">
        <v>71369.67</v>
      </c>
      <c r="D772" s="5" t="n">
        <v>71369.67</v>
      </c>
      <c r="E772" s="2" t="inlineStr">
        <is>
          <t>Andalucía</t>
        </is>
      </c>
      <c r="F772" s="2" t="inlineStr">
        <is>
          <t>Córdoba</t>
        </is>
      </c>
      <c r="G772" s="2" t="inlineStr">
        <is>
          <t>MORILES</t>
        </is>
      </c>
      <c r="H772" s="2" t="inlineStr">
        <is>
          <t>Alcaldía del Ayuntamiento de Moriles</t>
        </is>
      </c>
      <c r="I772" s="2" t="inlineStr">
        <is>
          <t>Reparaciones de filtraciones en la Casa de la Cultura.</t>
        </is>
      </c>
      <c r="J772" s="2" t="inlineStr">
        <is>
          <t>2484/2026</t>
        </is>
      </c>
      <c r="K772" s="2" t="inlineStr">
        <is>
          <t>Abierto simplificado</t>
        </is>
      </c>
      <c r="L772" s="6" t="n">
        <v>3</v>
      </c>
      <c r="M772" s="2" t="n"/>
      <c r="N772" s="7" t="n">
        <v>0</v>
      </c>
      <c r="O772" s="4" t="n"/>
      <c r="P772" s="2" t="inlineStr">
        <is>
          <t>45261900; 45261220</t>
        </is>
      </c>
      <c r="Q772" s="8" t="inlineStr">
        <is>
          <t>Ver</t>
        </is>
      </c>
      <c r="R772" s="8" t="inlineStr">
        <is>
          <t>PCAP</t>
        </is>
      </c>
      <c r="S772" s="9" t="n">
        <v>46318</v>
      </c>
      <c r="T772" s="3" t="n">
        <v>46317.50098379629</v>
      </c>
      <c r="U772" s="2" t="n"/>
    </row>
    <row r="773">
      <c r="A773" s="2" t="inlineStr">
        <is>
          <t>Pendiente de adjudicación</t>
        </is>
      </c>
      <c r="B773" s="3" t="n">
        <v>46314.99930555555</v>
      </c>
      <c r="C773" s="5" t="n">
        <v>134336.64</v>
      </c>
      <c r="D773" s="5" t="n">
        <v>134336.64</v>
      </c>
      <c r="E773" s="2" t="inlineStr">
        <is>
          <t>Comunitat Valenciana</t>
        </is>
      </c>
      <c r="F773" s="2" t="inlineStr">
        <is>
          <t>Alicante</t>
        </is>
      </c>
      <c r="G773" s="2" t="n"/>
      <c r="H773" s="2" t="inlineStr">
        <is>
          <t>Junta de Gobierno del Ayuntamiento de Elche</t>
        </is>
      </c>
      <c r="I773" s="2" t="inlineStr">
        <is>
          <t>Obras de impermeabilización de la cubierta de la piscina Esperanza Lag y la cubierta del Pabellón de La Hoya</t>
        </is>
      </c>
      <c r="J773" s="2" t="inlineStr">
        <is>
          <t>OBR/ABR_SMPL/2026000154</t>
        </is>
      </c>
      <c r="K773" s="2" t="inlineStr">
        <is>
          <t>Abierto simplificado</t>
        </is>
      </c>
      <c r="L773" s="6" t="n">
        <v>1.5</v>
      </c>
      <c r="M773" s="2" t="n"/>
      <c r="N773" s="7" t="n">
        <v>0</v>
      </c>
      <c r="O773" s="4" t="n"/>
      <c r="P773" s="2" t="inlineStr">
        <is>
          <t>45261420</t>
        </is>
      </c>
      <c r="Q773" s="8" t="inlineStr">
        <is>
          <t>Ver</t>
        </is>
      </c>
      <c r="R773" s="8" t="inlineStr">
        <is>
          <t>PCAP</t>
        </is>
      </c>
      <c r="S773" s="9" t="n">
        <v>46318</v>
      </c>
      <c r="T773" s="3" t="n">
        <v>46317.49440972223</v>
      </c>
      <c r="U773" s="2" t="n"/>
    </row>
    <row r="774">
      <c r="A774" s="2" t="inlineStr">
        <is>
          <t>Resuelta</t>
        </is>
      </c>
      <c r="B774" s="3" t="n">
        <v>46273.5</v>
      </c>
      <c r="C774" s="5" t="n">
        <v>20442.48</v>
      </c>
      <c r="D774" s="5" t="n">
        <v>20442.48</v>
      </c>
      <c r="E774" s="2" t="inlineStr">
        <is>
          <t>Comunitat Valenciana</t>
        </is>
      </c>
      <c r="F774" s="2" t="inlineStr">
        <is>
          <t>Alicante</t>
        </is>
      </c>
      <c r="G774" s="2" t="n"/>
      <c r="H774" s="2" t="inlineStr">
        <is>
          <t>Junta de Gobierno del Ayuntamiento de Alcoy</t>
        </is>
      </c>
      <c r="I774" s="2" t="inlineStr">
        <is>
          <t>Desbroce y limpieza viaria de la red municipal de carreteras Actuaciones imprescindibles para garantizar y mejorar el drenaje superficial de las carreteras municipales que se llevaran a cabo con estricta sujecion al PROYECTO PARA EL DESBROCE Y LIMPIEZA VIAL DE LA RED MUNICIPAL DE CARRETERAS 2026 redactado por el Ingeniero Civil del Departamento de Obras y Servicios del Ayuntamiento de Alcoi.</t>
        </is>
      </c>
      <c r="J774" s="2" t="inlineStr">
        <is>
          <t>C.1716</t>
        </is>
      </c>
      <c r="K774" s="2" t="inlineStr">
        <is>
          <t>Abierto simplificado</t>
        </is>
      </c>
      <c r="L774" s="6" t="n">
        <v>0.7</v>
      </c>
      <c r="M774" s="2" t="n"/>
      <c r="N774" s="7" t="n">
        <v>0</v>
      </c>
      <c r="O774" s="4" t="n"/>
      <c r="P774" s="2" t="inlineStr">
        <is>
          <t>45233141</t>
        </is>
      </c>
      <c r="Q774" s="8" t="inlineStr">
        <is>
          <t>Ver</t>
        </is>
      </c>
      <c r="R774" s="8" t="inlineStr">
        <is>
          <t>PCAP</t>
        </is>
      </c>
      <c r="S774" s="9" t="n">
        <v>46315</v>
      </c>
      <c r="T774" s="3" t="n">
        <v>46317.48836805556</v>
      </c>
      <c r="U774" s="2" t="inlineStr">
        <is>
          <t>2026-10-23: estado ADJ → RES</t>
        </is>
      </c>
    </row>
    <row r="775">
      <c r="A775" s="2" t="inlineStr">
        <is>
          <t>Pendiente de adjudicación</t>
        </is>
      </c>
      <c r="B775" s="3" t="n">
        <v>46286.99930555555</v>
      </c>
      <c r="C775" s="5" t="n">
        <v>139012.15</v>
      </c>
      <c r="D775" s="5" t="n">
        <v>139012.15</v>
      </c>
      <c r="E775" s="2" t="inlineStr">
        <is>
          <t>Comunitat Valenciana</t>
        </is>
      </c>
      <c r="F775" s="2" t="inlineStr">
        <is>
          <t>Valencia</t>
        </is>
      </c>
      <c r="G775" s="2" t="n"/>
      <c r="H775" s="2" t="inlineStr">
        <is>
          <t>Junta de Gobierno del Ayuntamiento de Sagunto</t>
        </is>
      </c>
      <c r="I775" s="2" t="inlineStr">
        <is>
          <t>Contrato de obras para la adecuación integral y creación de nuevas áreas funcionales en la Plaza Padre Jaime para la configuración de un gran parque urbano inclusivo.</t>
        </is>
      </c>
      <c r="J775" s="2" t="inlineStr">
        <is>
          <t>43/26-C</t>
        </is>
      </c>
      <c r="K775" s="2" t="inlineStr">
        <is>
          <t>Abierto</t>
        </is>
      </c>
      <c r="L775" s="6" t="n">
        <v>4</v>
      </c>
      <c r="M775" s="2" t="n"/>
      <c r="N775" s="7" t="n">
        <v>0.45</v>
      </c>
      <c r="O775" s="4" t="n"/>
      <c r="P775" s="2" t="inlineStr">
        <is>
          <t>45000000; 37535240; 45113000; 37535210; 37535250</t>
        </is>
      </c>
      <c r="Q775" s="8" t="inlineStr">
        <is>
          <t>Ver</t>
        </is>
      </c>
      <c r="R775" s="8" t="inlineStr">
        <is>
          <t>PCAP</t>
        </is>
      </c>
      <c r="S775" s="9" t="n">
        <v>46310</v>
      </c>
      <c r="T775" s="3" t="n">
        <v>46317.48396990741</v>
      </c>
      <c r="U775" s="2" t="n"/>
    </row>
    <row r="776">
      <c r="A776" s="2" t="inlineStr">
        <is>
          <t>Pendiente de adjudicación</t>
        </is>
      </c>
      <c r="B776" s="3" t="n">
        <v>46279.99930555555</v>
      </c>
      <c r="C776" s="5" t="n">
        <v>410082.67</v>
      </c>
      <c r="D776" s="5" t="n">
        <v>2050413.34</v>
      </c>
      <c r="E776" s="2" t="inlineStr">
        <is>
          <t>Comunitat Valenciana</t>
        </is>
      </c>
      <c r="F776" s="2" t="inlineStr">
        <is>
          <t>Alicante</t>
        </is>
      </c>
      <c r="G776" s="2" t="n"/>
      <c r="H776" s="2" t="inlineStr">
        <is>
          <t>Presidencia de la Diputación Provincial de Alicante</t>
        </is>
      </c>
      <c r="I776" s="2" t="inlineStr">
        <is>
          <t>Obras de mejora de la señalización horizontal de la red viaria provincial. Lote 3: Mejora de la Señalización Horizontal de la red viaria provincial. Zona Sur.</t>
        </is>
      </c>
      <c r="J776" s="2" t="inlineStr">
        <is>
          <t>O6O-071/2026- L3</t>
        </is>
      </c>
      <c r="K776" s="2" t="inlineStr">
        <is>
          <t>Abierto</t>
        </is>
      </c>
      <c r="L776" s="6" t="n">
        <v>24</v>
      </c>
      <c r="M776" s="2" t="inlineStr">
        <is>
          <t>G5-2</t>
        </is>
      </c>
      <c r="N776" s="7" t="n">
        <v>0.3</v>
      </c>
      <c r="O776" s="4" t="n"/>
      <c r="P776" s="2" t="inlineStr">
        <is>
          <t>45440000</t>
        </is>
      </c>
      <c r="Q776" s="8" t="inlineStr">
        <is>
          <t>Ver</t>
        </is>
      </c>
      <c r="R776" s="8" t="inlineStr">
        <is>
          <t>PCAP</t>
        </is>
      </c>
      <c r="S776" s="9" t="n">
        <v>46318</v>
      </c>
      <c r="T776" s="3" t="n">
        <v>46317.48276620371</v>
      </c>
      <c r="U776" s="2" t="n"/>
    </row>
    <row r="777">
      <c r="A777" s="2" t="inlineStr">
        <is>
          <t>Pendiente de adjudicación</t>
        </is>
      </c>
      <c r="B777" s="3" t="n">
        <v>46279.99930555555</v>
      </c>
      <c r="C777" s="5" t="n">
        <v>307562</v>
      </c>
      <c r="D777" s="5" t="n">
        <v>2050413.34</v>
      </c>
      <c r="E777" s="2" t="inlineStr">
        <is>
          <t>Comunitat Valenciana</t>
        </is>
      </c>
      <c r="F777" s="2" t="inlineStr">
        <is>
          <t>Alicante</t>
        </is>
      </c>
      <c r="G777" s="2" t="n"/>
      <c r="H777" s="2" t="inlineStr">
        <is>
          <t>Presidencia de la Diputación Provincial de Alicante</t>
        </is>
      </c>
      <c r="I777" s="2" t="inlineStr">
        <is>
          <t>Obras de mejora de la señalización horizontal de la red viaria provincial. Lote 2: Mejora de la Señalización Horizontal de la red viaria provincial. Zona Centro.</t>
        </is>
      </c>
      <c r="J777" s="2" t="inlineStr">
        <is>
          <t>O6O-071/2026- L2</t>
        </is>
      </c>
      <c r="K777" s="2" t="inlineStr">
        <is>
          <t>Abierto</t>
        </is>
      </c>
      <c r="L777" s="6" t="n">
        <v>24</v>
      </c>
      <c r="M777" s="2" t="inlineStr">
        <is>
          <t>G5-2</t>
        </is>
      </c>
      <c r="N777" s="7" t="n">
        <v>0.3</v>
      </c>
      <c r="O777" s="4" t="n"/>
      <c r="P777" s="2" t="inlineStr">
        <is>
          <t>45440000</t>
        </is>
      </c>
      <c r="Q777" s="8" t="inlineStr">
        <is>
          <t>Ver</t>
        </is>
      </c>
      <c r="R777" s="8" t="inlineStr">
        <is>
          <t>PCAP</t>
        </is>
      </c>
      <c r="S777" s="9" t="n">
        <v>46318</v>
      </c>
      <c r="T777" s="3" t="n">
        <v>46317.48158564815</v>
      </c>
      <c r="U777" s="2" t="n"/>
    </row>
    <row r="778">
      <c r="A778" s="2" t="inlineStr">
        <is>
          <t>Pendiente de adjudicación</t>
        </is>
      </c>
      <c r="B778" s="3" t="n">
        <v>46311.58333333334</v>
      </c>
      <c r="C778" s="5" t="n">
        <v>178801.79</v>
      </c>
      <c r="D778" s="5" t="n">
        <v>178801.79</v>
      </c>
      <c r="E778" s="2" t="inlineStr">
        <is>
          <t>Comunitat Valenciana</t>
        </is>
      </c>
      <c r="F778" s="2" t="inlineStr">
        <is>
          <t>Alicante</t>
        </is>
      </c>
      <c r="G778" s="2" t="n"/>
      <c r="H778" s="2" t="inlineStr">
        <is>
          <t>Empresa de Transformación Agraria S.A.,S.M.E., M.P., (TRAGSA)</t>
        </is>
      </c>
      <c r="I778" s="2" t="inlineStr">
        <is>
          <t>UT2 Obra de los trabajos para la reparación de hormigón, para el proyecto mejora y consolidación de la Red de Infraestructuras Hidráulicas para riego de la Vega Baja. Plan Vega Renhace Fase II (Alicante).</t>
        </is>
      </c>
      <c r="J778" s="2" t="inlineStr">
        <is>
          <t>TSA0084172</t>
        </is>
      </c>
      <c r="K778" s="2" t="inlineStr">
        <is>
          <t>Abierto simplificado</t>
        </is>
      </c>
      <c r="L778" s="6" t="n">
        <v>12</v>
      </c>
      <c r="M778" s="2" t="n"/>
      <c r="N778" s="7" t="n">
        <v>0</v>
      </c>
      <c r="O778" s="4" t="n">
        <v>2</v>
      </c>
      <c r="P778" s="2" t="inlineStr">
        <is>
          <t>45262330</t>
        </is>
      </c>
      <c r="Q778" s="8" t="inlineStr">
        <is>
          <t>Ver</t>
        </is>
      </c>
      <c r="R778" s="8" t="inlineStr">
        <is>
          <t>PCAP</t>
        </is>
      </c>
      <c r="S778" s="9" t="n">
        <v>46317</v>
      </c>
      <c r="T778" s="3" t="n">
        <v>46317.48133101852</v>
      </c>
      <c r="U778" s="2" t="n"/>
    </row>
    <row r="779">
      <c r="A779" s="2" t="inlineStr">
        <is>
          <t>Resuelta</t>
        </is>
      </c>
      <c r="B779" s="3" t="n">
        <v>46280.99930555555</v>
      </c>
      <c r="C779" s="5" t="n">
        <v>139970.06</v>
      </c>
      <c r="D779" s="5" t="n">
        <v>139970.06</v>
      </c>
      <c r="E779" s="2" t="inlineStr">
        <is>
          <t>Andalucía</t>
        </is>
      </c>
      <c r="F779" s="2" t="inlineStr">
        <is>
          <t>Huelva</t>
        </is>
      </c>
      <c r="G779" s="2" t="inlineStr">
        <is>
          <t>La Palma del Condado</t>
        </is>
      </c>
      <c r="H779" s="2" t="inlineStr">
        <is>
          <t>Alcaldía del Ayuntamiento de La Palma del Condado</t>
        </is>
      </c>
      <c r="I779"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779" s="2" t="inlineStr">
        <is>
          <t>1468/2026</t>
        </is>
      </c>
      <c r="K779" s="2" t="inlineStr">
        <is>
          <t>Abierto simplificado</t>
        </is>
      </c>
      <c r="L779" s="6" t="n">
        <v>0.5</v>
      </c>
      <c r="M779" s="2" t="n"/>
      <c r="N779" s="7" t="n">
        <v>0</v>
      </c>
      <c r="O779" s="4" t="n"/>
      <c r="P779" s="2" t="inlineStr">
        <is>
          <t>45233222</t>
        </is>
      </c>
      <c r="Q779" s="8" t="inlineStr">
        <is>
          <t>Ver</t>
        </is>
      </c>
      <c r="R779" s="8" t="inlineStr">
        <is>
          <t>PCAP</t>
        </is>
      </c>
      <c r="S779" s="9" t="n">
        <v>46310</v>
      </c>
      <c r="T779" s="3" t="n">
        <v>46317.4812962963</v>
      </c>
      <c r="U779" s="2" t="inlineStr">
        <is>
          <t>2026-10-23: estado ADJ → RES</t>
        </is>
      </c>
    </row>
    <row r="780">
      <c r="A780" s="2" t="inlineStr">
        <is>
          <t>En plazo</t>
        </is>
      </c>
      <c r="B780" s="3" t="n">
        <v>46337.99930555555</v>
      </c>
      <c r="C780" s="5" t="n">
        <v>402494.42</v>
      </c>
      <c r="D780" s="5" t="n">
        <v>402494.42</v>
      </c>
      <c r="E780" s="2" t="inlineStr">
        <is>
          <t>Comunitat Valenciana</t>
        </is>
      </c>
      <c r="F780" s="2" t="inlineStr">
        <is>
          <t>Valencia</t>
        </is>
      </c>
      <c r="G780" s="2" t="n"/>
      <c r="H780" s="2" t="inlineStr">
        <is>
          <t>Alcaldía del Ayuntamiento de Llombai</t>
        </is>
      </c>
      <c r="I780" s="2" t="inlineStr">
        <is>
          <t>Reparacion daños DANA Cami del Bornaig, Cami Alts del Romeu y Cami de Paselvir financiada al amparo de la Orden TMD/101/2025, de 31 de enero, el Ministerio de Política Territorial y Memoria Democrática</t>
        </is>
      </c>
      <c r="J780" s="2" t="inlineStr">
        <is>
          <t>1562/2026</t>
        </is>
      </c>
      <c r="K780" s="2" t="inlineStr">
        <is>
          <t>Abierto simplificado</t>
        </is>
      </c>
      <c r="L780" s="6" t="n">
        <v>3</v>
      </c>
      <c r="M780" s="2" t="n"/>
      <c r="N780" s="7" t="n">
        <v>0</v>
      </c>
      <c r="O780" s="4" t="n"/>
      <c r="P780" s="2" t="inlineStr">
        <is>
          <t>45233220; 45233223</t>
        </is>
      </c>
      <c r="Q780" s="8" t="inlineStr">
        <is>
          <t>Ver</t>
        </is>
      </c>
      <c r="R780" s="8" t="inlineStr">
        <is>
          <t>PCAP</t>
        </is>
      </c>
      <c r="S780" s="9" t="n">
        <v>46318</v>
      </c>
      <c r="T780" s="3" t="n">
        <v>46317.48043981481</v>
      </c>
      <c r="U780" s="2" t="n"/>
    </row>
    <row r="781">
      <c r="A781" s="2" t="inlineStr">
        <is>
          <t>Resuelta</t>
        </is>
      </c>
      <c r="B781" s="3" t="n">
        <v>44441.58333333334</v>
      </c>
      <c r="C781" s="5" t="n">
        <v>78512396.69</v>
      </c>
      <c r="D781" s="5" t="n">
        <v>98140495.87</v>
      </c>
      <c r="E781" s="2" t="inlineStr">
        <is>
          <t>Comunitat Valenciana</t>
        </is>
      </c>
      <c r="F781" s="2" t="n"/>
      <c r="G781" s="2" t="n"/>
      <c r="H781" s="2" t="inlineStr">
        <is>
          <t>Conselleria de Política Territorial, Obras Públicas y Movilidad</t>
        </is>
      </c>
      <c r="I781" s="2" t="inlineStr">
        <is>
          <t>Conservación, adecuación y mantenimiento de las infraestructuras de transporte de la Generalitat Valenciana en la provincia de Valencia en el periodo 2021-2025.</t>
        </is>
      </c>
      <c r="J781" s="2" t="inlineStr">
        <is>
          <t>CMAYOR/2020/03Y05/153</t>
        </is>
      </c>
      <c r="K781" s="2" t="inlineStr">
        <is>
          <t>Abierto</t>
        </is>
      </c>
      <c r="L781" s="6" t="n">
        <v>48</v>
      </c>
      <c r="M781" s="2" t="inlineStr">
        <is>
          <t>G4-4; G6-5; I1-4; G5-4</t>
        </is>
      </c>
      <c r="N781" s="7" t="n">
        <v>0.4</v>
      </c>
      <c r="O781" s="4" t="n">
        <v>3</v>
      </c>
      <c r="P781" s="2" t="inlineStr">
        <is>
          <t>45233141</t>
        </is>
      </c>
      <c r="Q781" s="8" t="inlineStr">
        <is>
          <t>Ver</t>
        </is>
      </c>
      <c r="R781" s="8" t="inlineStr">
        <is>
          <t>PCAP</t>
        </is>
      </c>
      <c r="S781" s="9" t="n">
        <v>46318</v>
      </c>
      <c r="T781" s="3" t="n">
        <v>46317.47646990741</v>
      </c>
      <c r="U781" s="2" t="n"/>
    </row>
    <row r="782">
      <c r="A782" s="2" t="inlineStr">
        <is>
          <t>Pendiente de adjudicación</t>
        </is>
      </c>
      <c r="B782" s="3" t="n">
        <v>46308.99930555555</v>
      </c>
      <c r="C782" s="5" t="n">
        <v>413223.14</v>
      </c>
      <c r="D782" s="5" t="n">
        <v>413223.14</v>
      </c>
      <c r="E782" s="2" t="inlineStr">
        <is>
          <t>Andalucía</t>
        </is>
      </c>
      <c r="F782" s="2" t="inlineStr">
        <is>
          <t>Sevilla</t>
        </is>
      </c>
      <c r="G782" s="2" t="inlineStr">
        <is>
          <t>ESTEPA</t>
        </is>
      </c>
      <c r="H782" s="2" t="inlineStr">
        <is>
          <t>Alcaldia del Ayuntamiento de Estepa</t>
        </is>
      </c>
      <c r="I782" s="2" t="inlineStr">
        <is>
          <t>Contrato mixto de obras y equipamiento para la terminación y puesta en funcionamiento (suministros y su instalación) del Hostal "Manantial de Roya", situado en Paraje Los Tajillos, a través de procedimiento abierto simplificado, tramitación ordinaria y varios criterios de adjudicación. (Actuación incluida en el Programa Más Sevilla Turístico, de la Excma. Diputación Provincial de Sevilla)</t>
        </is>
      </c>
      <c r="J782" s="2" t="inlineStr">
        <is>
          <t>1946/2026</t>
        </is>
      </c>
      <c r="K782" s="2" t="inlineStr">
        <is>
          <t>Abierto simplificado</t>
        </is>
      </c>
      <c r="L782" s="6" t="n">
        <v>7</v>
      </c>
      <c r="M782" s="2" t="n"/>
      <c r="N782" s="7" t="n">
        <v>0</v>
      </c>
      <c r="O782" s="4" t="n">
        <v>5</v>
      </c>
      <c r="P782" s="2" t="inlineStr">
        <is>
          <t>45212410; 39143100; 39291000; 39100000; 39141000; 39143200; 39143120</t>
        </is>
      </c>
      <c r="Q782" s="8" t="inlineStr">
        <is>
          <t>Ver</t>
        </is>
      </c>
      <c r="R782" s="8" t="inlineStr">
        <is>
          <t>PCAP</t>
        </is>
      </c>
      <c r="S782" s="9" t="n">
        <v>46318</v>
      </c>
      <c r="T782" s="3" t="n">
        <v>46317.47526620371</v>
      </c>
      <c r="U782" s="2" t="n"/>
    </row>
    <row r="783">
      <c r="A783" s="2" t="inlineStr">
        <is>
          <t>Resuelta</t>
        </is>
      </c>
      <c r="B783" s="3" t="n">
        <v>46300.79166666666</v>
      </c>
      <c r="C783" s="5" t="n">
        <v>98391.53</v>
      </c>
      <c r="D783" s="5" t="n">
        <v>98391.53</v>
      </c>
      <c r="E783" s="2" t="inlineStr">
        <is>
          <t>Andalucía</t>
        </is>
      </c>
      <c r="F783" s="2" t="inlineStr">
        <is>
          <t>Granada</t>
        </is>
      </c>
      <c r="G783" s="2" t="inlineStr">
        <is>
          <t>Zafarraya</t>
        </is>
      </c>
      <c r="H783" s="2" t="inlineStr">
        <is>
          <t>Alcaldia del Ayuntamiento de Zafarraya</t>
        </is>
      </c>
      <c r="I783" s="2" t="inlineStr">
        <is>
          <t>Obras de hormigonado y acondicionamiento de dos tramos del camino de Las Parideras de Zafarraya.</t>
        </is>
      </c>
      <c r="J783" s="2" t="inlineStr">
        <is>
          <t>1504/2026</t>
        </is>
      </c>
      <c r="K783" s="2" t="inlineStr">
        <is>
          <t>Abierto</t>
        </is>
      </c>
      <c r="L783" s="6" t="n">
        <v>4</v>
      </c>
      <c r="M783" s="2" t="n"/>
      <c r="N783" s="7" t="n">
        <v>0</v>
      </c>
      <c r="O783" s="4" t="n"/>
      <c r="P783" s="2" t="inlineStr">
        <is>
          <t>45231600; 45262300</t>
        </is>
      </c>
      <c r="Q783" s="8" t="inlineStr">
        <is>
          <t>Ver</t>
        </is>
      </c>
      <c r="R783" s="8" t="inlineStr">
        <is>
          <t>PCAP</t>
        </is>
      </c>
      <c r="S783" s="9" t="n">
        <v>46310</v>
      </c>
      <c r="T783" s="3" t="n">
        <v>46317.47401620371</v>
      </c>
      <c r="U783" s="2" t="inlineStr">
        <is>
          <t>2026-10-19: estado EV → ADJ | 2026-10-23: estado ADJ → RES</t>
        </is>
      </c>
    </row>
    <row r="784">
      <c r="A784" s="2" t="inlineStr">
        <is>
          <t>Pendiente de adjudicación</t>
        </is>
      </c>
      <c r="B784" s="3" t="n">
        <v>46311.41666666666</v>
      </c>
      <c r="C784" s="5" t="n">
        <v>151226.26</v>
      </c>
      <c r="D784" s="5" t="n">
        <v>151226.26</v>
      </c>
      <c r="E784" s="2" t="inlineStr">
        <is>
          <t>Andalucía</t>
        </is>
      </c>
      <c r="F784" s="2" t="inlineStr">
        <is>
          <t>Huelva</t>
        </is>
      </c>
      <c r="G784" s="2" t="n"/>
      <c r="H784" s="2" t="inlineStr">
        <is>
          <t>Empresa de Transformación Agraria S.A.,S.M.E., M.P., (TRAGSA)</t>
        </is>
      </c>
      <c r="I784" s="2" t="inlineStr">
        <is>
          <t>Ejecución de triple tratamiento superficial para la obra: Proyecto de Mejora de los caminos de acceso a la Presa del Andévalo, en los T.M. de El Almendro, El Granado y Puebla de Guzmán (Huelva).</t>
        </is>
      </c>
      <c r="J784" s="2" t="inlineStr">
        <is>
          <t>TSA0084181</t>
        </is>
      </c>
      <c r="K784" s="2" t="inlineStr">
        <is>
          <t>Abierto simplificado</t>
        </is>
      </c>
      <c r="L784" s="6" t="n">
        <v>4</v>
      </c>
      <c r="M784" s="2" t="inlineStr">
        <is>
          <t>G4-2</t>
        </is>
      </c>
      <c r="N784" s="7" t="n">
        <v>0</v>
      </c>
      <c r="O784" s="4" t="n"/>
      <c r="P784" s="2" t="inlineStr">
        <is>
          <t>45233222</t>
        </is>
      </c>
      <c r="Q784" s="8" t="inlineStr">
        <is>
          <t>Ver</t>
        </is>
      </c>
      <c r="R784" s="8" t="inlineStr">
        <is>
          <t>PCAP</t>
        </is>
      </c>
      <c r="S784" s="9" t="n">
        <v>46318</v>
      </c>
      <c r="T784" s="3" t="n">
        <v>46317.47251157407</v>
      </c>
      <c r="U784" s="2" t="n"/>
    </row>
    <row r="785">
      <c r="A785" s="2" t="inlineStr">
        <is>
          <t>En plazo</t>
        </is>
      </c>
      <c r="B785" s="3" t="n">
        <v>46328.33333333334</v>
      </c>
      <c r="C785" s="5" t="n">
        <v>1189873.92</v>
      </c>
      <c r="D785" s="5" t="n">
        <v>1189873.92</v>
      </c>
      <c r="E785" s="2" t="inlineStr">
        <is>
          <t>Comunitat Valenciana</t>
        </is>
      </c>
      <c r="F785" s="2" t="inlineStr">
        <is>
          <t>Alicante</t>
        </is>
      </c>
      <c r="G785" s="2" t="inlineStr">
        <is>
          <t>ORIHUELA</t>
        </is>
      </c>
      <c r="H785" s="2" t="inlineStr">
        <is>
          <t>Junta de Gobierno del Ayuntamiento de Orihuela</t>
        </is>
      </c>
      <c r="I785" s="2" t="inlineStr">
        <is>
          <t>Rehabilitación de Paramentos y Acondicionamiento de Sala de hombres en el Museo Arqueológico Comarcal de Orihuela</t>
        </is>
      </c>
      <c r="J785" s="2" t="inlineStr">
        <is>
          <t>4727/2026 BIS</t>
        </is>
      </c>
      <c r="K785" s="2" t="inlineStr">
        <is>
          <t>Abierto simplificado</t>
        </is>
      </c>
      <c r="L785" s="6" t="n">
        <v>12</v>
      </c>
      <c r="M785" s="2" t="inlineStr">
        <is>
          <t>C*-3; K7-3</t>
        </is>
      </c>
      <c r="N785" s="7" t="n">
        <v>0.25</v>
      </c>
      <c r="O785" s="4" t="n"/>
      <c r="P785" s="2" t="inlineStr">
        <is>
          <t>45000000; 45454100; 45453000</t>
        </is>
      </c>
      <c r="Q785" s="8" t="inlineStr">
        <is>
          <t>Ver</t>
        </is>
      </c>
      <c r="R785" s="8" t="inlineStr">
        <is>
          <t>PCAP</t>
        </is>
      </c>
      <c r="S785" s="9" t="n">
        <v>46310</v>
      </c>
      <c r="T785" s="3" t="n">
        <v>46317.47135416666</v>
      </c>
      <c r="U785" s="2" t="n"/>
    </row>
    <row r="786">
      <c r="A786" s="2" t="inlineStr">
        <is>
          <t>Pendiente de adjudicación</t>
        </is>
      </c>
      <c r="B786" s="3" t="n">
        <v>46314.99930555555</v>
      </c>
      <c r="C786" s="5" t="n">
        <v>13756016.2</v>
      </c>
      <c r="D786" s="5" t="n">
        <v>15131617.82</v>
      </c>
      <c r="E786" s="2" t="inlineStr">
        <is>
          <t>Comunitat Valenciana</t>
        </is>
      </c>
      <c r="F786" s="2" t="inlineStr">
        <is>
          <t>Valencia</t>
        </is>
      </c>
      <c r="G786" s="2" t="n"/>
      <c r="H786" s="2" t="inlineStr">
        <is>
          <t>Junta de Gobierno del Ajuntament de València</t>
        </is>
      </c>
      <c r="I786" s="2" t="inlineStr">
        <is>
          <t>Ejecución del proyecto de obras de Rehabilitación de los tramos X y XI del Jardín del Turia.-</t>
        </is>
      </c>
      <c r="J786" s="2" t="inlineStr">
        <is>
          <t>04101/2026/194-O</t>
        </is>
      </c>
      <c r="K786" s="2" t="inlineStr">
        <is>
          <t>Abierto</t>
        </is>
      </c>
      <c r="L786" s="6" t="n">
        <v>20</v>
      </c>
      <c r="M786" s="2" t="inlineStr">
        <is>
          <t>K6-3; J4-4; G6-5</t>
        </is>
      </c>
      <c r="N786" s="7" t="n">
        <v>0.25</v>
      </c>
      <c r="O786" s="4" t="n"/>
      <c r="P786" s="2" t="inlineStr">
        <is>
          <t>45112712; 45316100; 45211360; 45233161</t>
        </is>
      </c>
      <c r="Q786" s="8" t="inlineStr">
        <is>
          <t>Ver</t>
        </is>
      </c>
      <c r="R786" s="8" t="inlineStr">
        <is>
          <t>PCAP</t>
        </is>
      </c>
      <c r="S786" s="9" t="n">
        <v>46318</v>
      </c>
      <c r="T786" s="3" t="n">
        <v>46317.46979166667</v>
      </c>
      <c r="U786" s="2" t="n"/>
    </row>
    <row r="787">
      <c r="A787" s="2" t="inlineStr">
        <is>
          <t>Pendiente de adjudicación</t>
        </is>
      </c>
      <c r="B787" s="3" t="n">
        <v>46279.99930555555</v>
      </c>
      <c r="C787" s="5" t="n">
        <v>307562</v>
      </c>
      <c r="D787" s="5" t="n">
        <v>2050413.34</v>
      </c>
      <c r="E787" s="2" t="inlineStr">
        <is>
          <t>Comunitat Valenciana</t>
        </is>
      </c>
      <c r="F787" s="2" t="inlineStr">
        <is>
          <t>Alicante</t>
        </is>
      </c>
      <c r="G787" s="2" t="n"/>
      <c r="H787" s="2" t="inlineStr">
        <is>
          <t>Presidencia de la Diputación Provincial de Alicante</t>
        </is>
      </c>
      <c r="I787" s="2" t="inlineStr">
        <is>
          <t>Obras de mejora de la señalización horizontal de la red viaria provincial. Lote 1: Mejora de la señalización horizontal de la red viaria provincial. Zona Norte.</t>
        </is>
      </c>
      <c r="J787" s="2" t="inlineStr">
        <is>
          <t>O6O-071/2026- L1</t>
        </is>
      </c>
      <c r="K787" s="2" t="inlineStr">
        <is>
          <t>Abierto</t>
        </is>
      </c>
      <c r="L787" s="6" t="n">
        <v>24</v>
      </c>
      <c r="M787" s="2" t="inlineStr">
        <is>
          <t>G5-2</t>
        </is>
      </c>
      <c r="N787" s="7" t="n">
        <v>0.3</v>
      </c>
      <c r="O787" s="4" t="n"/>
      <c r="P787" s="2" t="inlineStr">
        <is>
          <t>45440000</t>
        </is>
      </c>
      <c r="Q787" s="8" t="inlineStr">
        <is>
          <t>Ver</t>
        </is>
      </c>
      <c r="R787" s="8" t="inlineStr">
        <is>
          <t>PCAP</t>
        </is>
      </c>
      <c r="S787" s="9" t="n">
        <v>46318</v>
      </c>
      <c r="T787" s="3" t="n">
        <v>46317.46967592592</v>
      </c>
      <c r="U787" s="2" t="n"/>
    </row>
    <row r="788">
      <c r="A788" s="2" t="inlineStr">
        <is>
          <t>Pendiente de adjudicación</t>
        </is>
      </c>
      <c r="B788" s="3" t="n">
        <v>46301.99930555555</v>
      </c>
      <c r="C788" s="5" t="n">
        <v>82900</v>
      </c>
      <c r="D788" s="5" t="n">
        <v>82900</v>
      </c>
      <c r="E788" s="2" t="inlineStr">
        <is>
          <t>Andalucía</t>
        </is>
      </c>
      <c r="F788" s="2" t="inlineStr">
        <is>
          <t>Córdoba</t>
        </is>
      </c>
      <c r="G788" s="2" t="n"/>
      <c r="H788" s="2" t="inlineStr">
        <is>
          <t>Diputado delegado de Infraestructuras, Sostenibilidad y Agricultura</t>
        </is>
      </c>
      <c r="I788" s="2" t="inlineStr">
        <is>
          <t>Contratación de las obras de Arreglo del camino del río de Encinarejo mediante pavimentación, en Encinarejo (Córdoba). Obra incluida en el Plan de Humanización de Entornos Urbanos y Agenda Rural 2024-2027 (Programa de Agenda Rural 24-27, bienio 26-27).</t>
        </is>
      </c>
      <c r="J788" s="2" t="inlineStr">
        <is>
          <t>721/26</t>
        </is>
      </c>
      <c r="K788" s="2" t="inlineStr">
        <is>
          <t>Abierto</t>
        </is>
      </c>
      <c r="L788" s="6" t="n">
        <v>3</v>
      </c>
      <c r="M788" s="2" t="n"/>
      <c r="N788" s="7" t="n">
        <v>0.4</v>
      </c>
      <c r="O788" s="4" t="n"/>
      <c r="P788" s="2" t="inlineStr">
        <is>
          <t>45233160</t>
        </is>
      </c>
      <c r="Q788" s="8" t="inlineStr">
        <is>
          <t>Ver</t>
        </is>
      </c>
      <c r="R788" s="8" t="inlineStr">
        <is>
          <t>PCAP</t>
        </is>
      </c>
      <c r="S788" s="9" t="n">
        <v>46310</v>
      </c>
      <c r="T788" s="3" t="n">
        <v>46317.46895833333</v>
      </c>
      <c r="U788" s="2" t="n"/>
    </row>
    <row r="789">
      <c r="A789" s="2" t="inlineStr">
        <is>
          <t>En plazo</t>
        </is>
      </c>
      <c r="B789" s="3" t="n">
        <v>46329.99930555555</v>
      </c>
      <c r="C789" s="5" t="n">
        <v>1106611.57</v>
      </c>
      <c r="D789" s="5" t="n">
        <v>1106611.57</v>
      </c>
      <c r="E789" s="2" t="inlineStr">
        <is>
          <t>Andalucía</t>
        </is>
      </c>
      <c r="F789" s="2" t="inlineStr">
        <is>
          <t>Sevilla</t>
        </is>
      </c>
      <c r="G789" s="2" t="n"/>
      <c r="H789" s="2" t="inlineStr">
        <is>
          <t>Alcaldía del Ayuntamiento de Alcalá del Río</t>
        </is>
      </c>
      <c r="I789" s="2" t="inlineStr">
        <is>
          <t>Contrato de obras relativo al Proyecto básico y de ejecución de Reforma y Acondicionamiento de la Piscina Municipal y el entorno periférico</t>
        </is>
      </c>
      <c r="J789" s="2" t="inlineStr">
        <is>
          <t>P4100500J-2026/000021-PAAS</t>
        </is>
      </c>
      <c r="K789" s="2" t="inlineStr">
        <is>
          <t>Abierto simplificado</t>
        </is>
      </c>
      <c r="L789" s="6" t="n">
        <v>16</v>
      </c>
      <c r="M789" s="2" t="inlineStr">
        <is>
          <t>J2-2; C3-2; C*-2; J*-2</t>
        </is>
      </c>
      <c r="N789" s="7" t="n">
        <v>0</v>
      </c>
      <c r="O789" s="4" t="n"/>
      <c r="P789" s="2" t="inlineStr">
        <is>
          <t>45212220</t>
        </is>
      </c>
      <c r="Q789" s="8" t="inlineStr">
        <is>
          <t>Ver</t>
        </is>
      </c>
      <c r="R789" s="8" t="inlineStr">
        <is>
          <t>PCAP</t>
        </is>
      </c>
      <c r="S789" s="9" t="n">
        <v>46310</v>
      </c>
      <c r="T789" s="3" t="n">
        <v>46317.46578703704</v>
      </c>
      <c r="U789" s="2" t="n"/>
    </row>
    <row r="790">
      <c r="A790" s="2" t="inlineStr">
        <is>
          <t>Adjudicada</t>
        </is>
      </c>
      <c r="B790" s="3" t="n"/>
      <c r="C790" s="5" t="n">
        <v>39600</v>
      </c>
      <c r="D790" s="5" t="n">
        <v>39600</v>
      </c>
      <c r="E790" s="2" t="inlineStr">
        <is>
          <t>Andalucía</t>
        </is>
      </c>
      <c r="F790" s="2" t="inlineStr">
        <is>
          <t>Málaga</t>
        </is>
      </c>
      <c r="G790" s="2" t="inlineStr">
        <is>
          <t>Málaga</t>
        </is>
      </c>
      <c r="H790" s="2" t="inlineStr">
        <is>
          <t>Aena. Dirección del Aeropuerto de Málaga-Costa del Sol</t>
        </is>
      </c>
      <c r="I790" s="2" t="inlineStr">
        <is>
          <t>Suministro E Instalación De Sistema De Enclavamiento Mecánico Entre Cabinas De Acoplamiento De Mt En El Aeropuerto De Málaga - Costa Del Sol</t>
        </is>
      </c>
      <c r="J790" s="2" t="inlineStr">
        <is>
          <t>AGP-137/2026</t>
        </is>
      </c>
      <c r="K790" s="2" t="inlineStr">
        <is>
          <t>Normas internas</t>
        </is>
      </c>
      <c r="L790" s="6" t="n">
        <v>6</v>
      </c>
      <c r="M790" s="2" t="n"/>
      <c r="N790" s="7" t="n"/>
      <c r="O790" s="4" t="n"/>
      <c r="P790" s="2" t="inlineStr">
        <is>
          <t>45317300</t>
        </is>
      </c>
      <c r="Q790" s="8" t="inlineStr">
        <is>
          <t>Ver</t>
        </is>
      </c>
      <c r="R790" s="2" t="n"/>
      <c r="S790" s="9" t="n">
        <v>46318</v>
      </c>
      <c r="T790" s="3" t="n">
        <v>46317.4655787037</v>
      </c>
      <c r="U790" s="2" t="n"/>
    </row>
    <row r="791">
      <c r="A791" s="2" t="inlineStr">
        <is>
          <t>Pendiente de adjudicación</t>
        </is>
      </c>
      <c r="B791" s="3" t="n">
        <v>46304.99930555555</v>
      </c>
      <c r="C791" s="5" t="n">
        <v>449000</v>
      </c>
      <c r="D791" s="5" t="n">
        <v>449000</v>
      </c>
      <c r="E791" s="2" t="inlineStr">
        <is>
          <t>Andalucía</t>
        </is>
      </c>
      <c r="F791" s="2" t="inlineStr">
        <is>
          <t>Málaga</t>
        </is>
      </c>
      <c r="G791" s="2" t="inlineStr">
        <is>
          <t>Marbella (Málaga).</t>
        </is>
      </c>
      <c r="H791" s="2" t="inlineStr">
        <is>
          <t>Consejería delegada de ACOSOL, S.A.U.</t>
        </is>
      </c>
      <c r="I791" s="2" t="inlineStr">
        <is>
          <t>Contratación de la Obra de adecuación, renovación y puesta en servicio de instalaciones eléctricas de media y baja tensión en instalaciones gestionadas por ACOSOL, S.A.- ACTUACIÓN PARA LA ADECUACIÓN ELÉCTRICA EBAR LA VÍBORA.</t>
        </is>
      </c>
      <c r="J791" s="2" t="inlineStr">
        <is>
          <t>70-26 (5308)</t>
        </is>
      </c>
      <c r="K791" s="2" t="inlineStr">
        <is>
          <t>Abierto</t>
        </is>
      </c>
      <c r="L791" s="6" t="n">
        <v>9</v>
      </c>
      <c r="M791" s="2" t="n"/>
      <c r="N791" s="7" t="n">
        <v>0.49</v>
      </c>
      <c r="O791" s="4" t="n"/>
      <c r="P791" s="2" t="inlineStr">
        <is>
          <t>45310000; 71310000; 45317000; 45252100; 71320000</t>
        </is>
      </c>
      <c r="Q791" s="8" t="inlineStr">
        <is>
          <t>Ver</t>
        </is>
      </c>
      <c r="R791" s="8" t="inlineStr">
        <is>
          <t>PCAP</t>
        </is>
      </c>
      <c r="S791" s="9" t="n">
        <v>46310</v>
      </c>
      <c r="T791" s="3" t="n">
        <v>46317.4650925926</v>
      </c>
      <c r="U791" s="2" t="n"/>
    </row>
    <row r="792">
      <c r="A792" s="2" t="inlineStr">
        <is>
          <t>En plazo</t>
        </is>
      </c>
      <c r="B792" s="3" t="n">
        <v>46335.99930555555</v>
      </c>
      <c r="C792" s="5" t="n">
        <v>188374.43</v>
      </c>
      <c r="D792" s="5" t="n">
        <v>188374.43</v>
      </c>
      <c r="E792" s="2" t="inlineStr">
        <is>
          <t>Andalucía</t>
        </is>
      </c>
      <c r="F792" s="2" t="inlineStr">
        <is>
          <t>Sevilla</t>
        </is>
      </c>
      <c r="G792" s="2" t="n"/>
      <c r="H792" s="2" t="inlineStr">
        <is>
          <t>Alcaldia del Ayuntamiento de Paradas</t>
        </is>
      </c>
      <c r="I792" s="2" t="inlineStr">
        <is>
          <t>Renovación instalaciones de alumbrado público</t>
        </is>
      </c>
      <c r="J792" s="2" t="inlineStr">
        <is>
          <t>P4107100B-2026/001584-PAA</t>
        </is>
      </c>
      <c r="K792" s="2" t="inlineStr">
        <is>
          <t>Abierto</t>
        </is>
      </c>
      <c r="L792" s="6" t="n">
        <v>2</v>
      </c>
      <c r="M792" s="2" t="n"/>
      <c r="N792" s="7" t="n">
        <v>0</v>
      </c>
      <c r="O792" s="4" t="n"/>
      <c r="P792" s="2" t="inlineStr">
        <is>
          <t>45316100; 45315600</t>
        </is>
      </c>
      <c r="Q792" s="8" t="inlineStr">
        <is>
          <t>Ver</t>
        </is>
      </c>
      <c r="R792" s="8" t="inlineStr">
        <is>
          <t>PCAP</t>
        </is>
      </c>
      <c r="S792" s="9" t="n">
        <v>46310</v>
      </c>
      <c r="T792" s="3" t="n">
        <v>46317.46150462963</v>
      </c>
      <c r="U792" s="2" t="n"/>
    </row>
    <row r="793">
      <c r="A793" s="2" t="inlineStr">
        <is>
          <t>Pendiente de adjudicación</t>
        </is>
      </c>
      <c r="B793" s="3" t="n">
        <v>46280.99930555555</v>
      </c>
      <c r="C793" s="5" t="n">
        <v>746709.64</v>
      </c>
      <c r="D793" s="5" t="n">
        <v>746709.64</v>
      </c>
      <c r="E793" s="2" t="inlineStr">
        <is>
          <t>Comunitat Valenciana</t>
        </is>
      </c>
      <c r="F793" s="2" t="inlineStr">
        <is>
          <t>Alicante</t>
        </is>
      </c>
      <c r="G793" s="2" t="n"/>
      <c r="H793" s="2" t="inlineStr">
        <is>
          <t>Junta de Gobierno del Ayuntamiento de Aspe</t>
        </is>
      </c>
      <c r="I793" s="2" t="inlineStr">
        <is>
          <t>Contrato Administrativo de Obras rehabilitación de edificio de viviendas de profesores sito en c/Santander, 2 con destino a alquiler con fines sociales, según proyecto redactado por Xuquer Arqing.</t>
        </is>
      </c>
      <c r="J793" s="2" t="inlineStr">
        <is>
          <t>2026/45-GUACON</t>
        </is>
      </c>
      <c r="K793" s="2" t="inlineStr">
        <is>
          <t>Abierto simplificado</t>
        </is>
      </c>
      <c r="L793" s="6" t="n">
        <v>10</v>
      </c>
      <c r="M793" s="2" t="n"/>
      <c r="N793" s="7" t="n">
        <v>0</v>
      </c>
      <c r="O793" s="4" t="n"/>
      <c r="P793" s="2" t="inlineStr">
        <is>
          <t>45000000</t>
        </is>
      </c>
      <c r="Q793" s="8" t="inlineStr">
        <is>
          <t>Ver</t>
        </is>
      </c>
      <c r="R793" s="8" t="inlineStr">
        <is>
          <t>PCAP</t>
        </is>
      </c>
      <c r="S793" s="9" t="n">
        <v>46317</v>
      </c>
      <c r="T793" s="3" t="n">
        <v>46317.456875</v>
      </c>
      <c r="U793" s="2" t="n"/>
    </row>
    <row r="794">
      <c r="A794" s="2" t="inlineStr">
        <is>
          <t>Adjudicada</t>
        </is>
      </c>
      <c r="B794" s="3" t="n">
        <v>46275.41666666666</v>
      </c>
      <c r="C794" s="5" t="n">
        <v>280721.67</v>
      </c>
      <c r="D794" s="5" t="n">
        <v>280721.67</v>
      </c>
      <c r="E794" s="2" t="inlineStr">
        <is>
          <t>Andalucía</t>
        </is>
      </c>
      <c r="F794" s="2" t="inlineStr">
        <is>
          <t>Sevilla</t>
        </is>
      </c>
      <c r="G794" s="2" t="n"/>
      <c r="H794" s="2" t="inlineStr">
        <is>
          <t>Jefatura de la Sección Económico Administrativa 24 de la Base Aérea de Morón</t>
        </is>
      </c>
      <c r="I794" s="2" t="inlineStr">
        <is>
          <t>Sevilla/Morón de la Frontera/ Base Aérea de Morón/ Adecuación instalación eléctrica hangares modulares (2623EHM)</t>
        </is>
      </c>
      <c r="J794" s="2" t="inlineStr">
        <is>
          <t>2026/EA24/00001874E</t>
        </is>
      </c>
      <c r="K794" s="2" t="inlineStr">
        <is>
          <t>Abierto simplificado</t>
        </is>
      </c>
      <c r="L794" s="6" t="n">
        <v>3</v>
      </c>
      <c r="M794" s="2" t="n"/>
      <c r="N794" s="7" t="n">
        <v>0</v>
      </c>
      <c r="O794" s="4" t="n"/>
      <c r="P794" s="2" t="inlineStr">
        <is>
          <t>45310000; 45000000; 45311000</t>
        </is>
      </c>
      <c r="Q794" s="8" t="inlineStr">
        <is>
          <t>Ver</t>
        </is>
      </c>
      <c r="R794" s="8" t="inlineStr">
        <is>
          <t>PCAP</t>
        </is>
      </c>
      <c r="S794" s="9" t="n">
        <v>46318</v>
      </c>
      <c r="T794" s="3" t="n">
        <v>46317.45394675926</v>
      </c>
      <c r="U794" s="2" t="n"/>
    </row>
    <row r="795">
      <c r="A795" s="2" t="inlineStr">
        <is>
          <t>Pendiente de adjudicación</t>
        </is>
      </c>
      <c r="B795" s="3" t="n">
        <v>46309.54166666666</v>
      </c>
      <c r="C795" s="5" t="n">
        <v>65479.02</v>
      </c>
      <c r="D795" s="5" t="n">
        <v>65479.02</v>
      </c>
      <c r="E795" s="2" t="inlineStr">
        <is>
          <t>Andalucía</t>
        </is>
      </c>
      <c r="F795" s="2" t="inlineStr">
        <is>
          <t>Sevilla</t>
        </is>
      </c>
      <c r="G795" s="2" t="n"/>
      <c r="H795" s="2" t="inlineStr">
        <is>
          <t>Autoridad Portuaria de Sevilla</t>
        </is>
      </c>
      <c r="I795" s="2" t="inlineStr">
        <is>
          <t>Nueva caseta para comedor en la zona de la Esclusa Puerto de Sevilla</t>
        </is>
      </c>
      <c r="J795" s="2" t="inlineStr">
        <is>
          <t>CONT25115</t>
        </is>
      </c>
      <c r="K795" s="2" t="inlineStr">
        <is>
          <t>Abierto</t>
        </is>
      </c>
      <c r="L795" s="6" t="n">
        <v>2</v>
      </c>
      <c r="M795" s="2" t="n"/>
      <c r="N795" s="7" t="n">
        <v>0.51</v>
      </c>
      <c r="O795" s="4" t="n"/>
      <c r="P795" s="2" t="inlineStr">
        <is>
          <t>45223000</t>
        </is>
      </c>
      <c r="Q795" s="8" t="inlineStr">
        <is>
          <t>Ver</t>
        </is>
      </c>
      <c r="R795" s="8" t="inlineStr">
        <is>
          <t>PCAP</t>
        </is>
      </c>
      <c r="S795" s="9" t="n">
        <v>46315</v>
      </c>
      <c r="T795" s="3" t="n">
        <v>46317.44997685185</v>
      </c>
      <c r="U795" s="2" t="n"/>
    </row>
    <row r="796">
      <c r="A796" s="2" t="inlineStr">
        <is>
          <t>Resuelta</t>
        </is>
      </c>
      <c r="B796" s="3" t="n">
        <v>46288.54166666666</v>
      </c>
      <c r="C796" s="5" t="n">
        <v>743801.65</v>
      </c>
      <c r="D796" s="5" t="n">
        <v>743801.65</v>
      </c>
      <c r="E796" s="2" t="inlineStr">
        <is>
          <t>Comunitat Valenciana</t>
        </is>
      </c>
      <c r="F796" s="2" t="inlineStr">
        <is>
          <t>Castellón</t>
        </is>
      </c>
      <c r="G796" s="2" t="inlineStr">
        <is>
          <t>Moncofa</t>
        </is>
      </c>
      <c r="H796" s="2" t="inlineStr">
        <is>
          <t>Alcaldía del Ayuntamiento de Moncofa</t>
        </is>
      </c>
      <c r="I796" s="2" t="inlineStr">
        <is>
          <t>Ejecución del Proyecto de reurbanización de la Plaza Constitución de Moncofa</t>
        </is>
      </c>
      <c r="J796" s="2" t="inlineStr">
        <is>
          <t>3719/2026</t>
        </is>
      </c>
      <c r="K796" s="2" t="inlineStr">
        <is>
          <t>Abierto simplificado</t>
        </is>
      </c>
      <c r="L796" s="6" t="n">
        <v>9</v>
      </c>
      <c r="M796" s="2" t="inlineStr">
        <is>
          <t>G*-3</t>
        </is>
      </c>
      <c r="N796" s="7" t="n">
        <v>0</v>
      </c>
      <c r="O796" s="4" t="n"/>
      <c r="P796" s="2" t="inlineStr">
        <is>
          <t>45233262; 45233293; 45233252</t>
        </is>
      </c>
      <c r="Q796" s="8" t="inlineStr">
        <is>
          <t>Ver</t>
        </is>
      </c>
      <c r="R796" s="8" t="inlineStr">
        <is>
          <t>PCAP</t>
        </is>
      </c>
      <c r="S796" s="9" t="n">
        <v>46317</v>
      </c>
      <c r="T796" s="3" t="n">
        <v>46317.4468287037</v>
      </c>
      <c r="U796" s="2" t="inlineStr">
        <is>
          <t>2026-10-23: estado ADJ → RES</t>
        </is>
      </c>
    </row>
    <row r="797">
      <c r="A797" s="2" t="inlineStr">
        <is>
          <t>Resuelta</t>
        </is>
      </c>
      <c r="B797" s="3" t="n"/>
      <c r="C797" s="5" t="n">
        <v>2503300</v>
      </c>
      <c r="D797" s="5" t="n">
        <v>3028993</v>
      </c>
      <c r="E797" s="2" t="inlineStr">
        <is>
          <t>Andalucía</t>
        </is>
      </c>
      <c r="F797" s="2" t="inlineStr">
        <is>
          <t>Granada</t>
        </is>
      </c>
      <c r="G797" s="2" t="n"/>
      <c r="H797" s="2" t="inlineStr">
        <is>
          <t>Demarcación de Carreteras del Estado en Andalucía Oriental</t>
        </is>
      </c>
      <c r="I797" s="2" t="inlineStr">
        <is>
          <t>Reparación de estructura sobre la línea de FF.CC Alcázar de San Juan-Cádiz, P.K. 340+100 de la Autovía A-4, T.M. Marmolejo, provincia de Jaén. LOTE 1, CLAVE 38-J-260008</t>
        </is>
      </c>
      <c r="J797" s="2" t="inlineStr">
        <is>
          <t>EM38-J-260008.L1</t>
        </is>
      </c>
      <c r="K797" s="2" t="inlineStr">
        <is>
          <t>Negociado sin publicidad</t>
        </is>
      </c>
      <c r="L797" s="6" t="n">
        <v>5</v>
      </c>
      <c r="M797" s="2" t="n"/>
      <c r="N797" s="7" t="n"/>
      <c r="O797" s="4" t="n"/>
      <c r="P797" s="2" t="inlineStr">
        <is>
          <t>45000000</t>
        </is>
      </c>
      <c r="Q797" s="8" t="inlineStr">
        <is>
          <t>Ver</t>
        </is>
      </c>
      <c r="R797" s="2" t="n"/>
      <c r="S797" s="9" t="n">
        <v>46318</v>
      </c>
      <c r="T797" s="3" t="n">
        <v>46317.44326388889</v>
      </c>
      <c r="U797" s="2" t="n"/>
    </row>
    <row r="798">
      <c r="A798" s="2" t="inlineStr">
        <is>
          <t>Resuelta</t>
        </is>
      </c>
      <c r="B798" s="3" t="n">
        <v>46308.41666666666</v>
      </c>
      <c r="C798" s="5" t="n">
        <v>363389.29</v>
      </c>
      <c r="D798" s="5" t="n">
        <v>363389.29</v>
      </c>
      <c r="E798" s="2" t="inlineStr">
        <is>
          <t>Comunitat Valenciana</t>
        </is>
      </c>
      <c r="F798" s="2" t="inlineStr">
        <is>
          <t>Valencia</t>
        </is>
      </c>
      <c r="G798" s="2" t="inlineStr">
        <is>
          <t>Massanassa (Valencia).</t>
        </is>
      </c>
      <c r="H798" s="2" t="inlineStr">
        <is>
          <t>Empresa de Transformación Agraria S.A.,S.M.E., M.P., (TRAGSA)</t>
        </is>
      </c>
      <c r="I798" s="2" t="inlineStr">
        <is>
          <t>Contrato derivado de acuerdo marco para la contratación de los trabajos de reparación de daños en infraestructuras, instalaciones y servicios de los municipios afectados por la DANA, entre el 28 de octubre y el 4 de noviembre de 2024, Nº 0786502 RECUPERACIÓN DE LA INFRAESTRUCTURA VERDE MUNICIPAL DE MASSANASSA</t>
        </is>
      </c>
      <c r="J798" s="2" t="inlineStr">
        <is>
          <t>TSA0080551-037</t>
        </is>
      </c>
      <c r="K798" s="2" t="inlineStr">
        <is>
          <t>Abierto</t>
        </is>
      </c>
      <c r="L798" s="6" t="n">
        <v>12</v>
      </c>
      <c r="M798" s="2" t="n"/>
      <c r="N798" s="7" t="n">
        <v>0</v>
      </c>
      <c r="O798" s="4" t="n"/>
      <c r="P798" s="2" t="inlineStr">
        <is>
          <t>45112700</t>
        </is>
      </c>
      <c r="Q798" s="8" t="inlineStr">
        <is>
          <t>Ver</t>
        </is>
      </c>
      <c r="R798" s="8" t="inlineStr">
        <is>
          <t>PCAP</t>
        </is>
      </c>
      <c r="S798" s="9" t="n">
        <v>46318</v>
      </c>
      <c r="T798" s="3" t="n">
        <v>46317.44043981482</v>
      </c>
      <c r="U798" s="2" t="n"/>
    </row>
    <row r="799">
      <c r="A799" s="2" t="inlineStr">
        <is>
          <t>En plazo</t>
        </is>
      </c>
      <c r="B799" s="3" t="n">
        <v>46337.625</v>
      </c>
      <c r="C799" s="5" t="n">
        <v>351239.67</v>
      </c>
      <c r="D799" s="5" t="n">
        <v>421487.6</v>
      </c>
      <c r="E799" s="2" t="inlineStr">
        <is>
          <t>Andalucía</t>
        </is>
      </c>
      <c r="F799" s="2" t="inlineStr">
        <is>
          <t>Málaga</t>
        </is>
      </c>
      <c r="G799" s="2" t="inlineStr">
        <is>
          <t>Rincón de la Victoria</t>
        </is>
      </c>
      <c r="H799" s="2" t="inlineStr">
        <is>
          <t>Alcaldía del Ayuntamiento de Rincón de la Victoria</t>
        </is>
      </c>
      <c r="I799" s="2" t="inlineStr">
        <is>
          <t>Proyecto de asfaltado de la Avda. El Cantal, Calle Acacias y Carril de Villalobos</t>
        </is>
      </c>
      <c r="J799" s="2" t="inlineStr">
        <is>
          <t>Contratación 61/26</t>
        </is>
      </c>
      <c r="K799" s="2" t="inlineStr">
        <is>
          <t>Abierto simplificado</t>
        </is>
      </c>
      <c r="L799" s="6" t="n">
        <v>1</v>
      </c>
      <c r="M799" s="2" t="n"/>
      <c r="N799" s="7" t="n">
        <v>0.25</v>
      </c>
      <c r="O799" s="4" t="n"/>
      <c r="P799" s="2" t="inlineStr">
        <is>
          <t>45000000; 45233222</t>
        </is>
      </c>
      <c r="Q799" s="8" t="inlineStr">
        <is>
          <t>Ver</t>
        </is>
      </c>
      <c r="R799" s="8" t="inlineStr">
        <is>
          <t>PCAP</t>
        </is>
      </c>
      <c r="S799" s="9" t="n">
        <v>46318</v>
      </c>
      <c r="T799" s="3" t="n">
        <v>46317.43885416666</v>
      </c>
      <c r="U799" s="2" t="n"/>
    </row>
    <row r="800">
      <c r="A800" s="2" t="inlineStr">
        <is>
          <t>En plazo</t>
        </is>
      </c>
      <c r="B800" s="3" t="n">
        <v>46324.625</v>
      </c>
      <c r="C800" s="5" t="n">
        <v>799446.1899999999</v>
      </c>
      <c r="D800" s="5" t="n">
        <v>959335.4300000001</v>
      </c>
      <c r="E800" s="2" t="inlineStr">
        <is>
          <t>Andalucía</t>
        </is>
      </c>
      <c r="F800" s="2" t="inlineStr">
        <is>
          <t>Málaga</t>
        </is>
      </c>
      <c r="G800" s="2" t="inlineStr">
        <is>
          <t>Torre de Benagalbón, término municipal de Rincón de la Victoria</t>
        </is>
      </c>
      <c r="H800" s="2" t="inlineStr">
        <is>
          <t>Alcaldía del Ayuntamiento de Rincón de la Victoria</t>
        </is>
      </c>
      <c r="I800" s="2" t="inlineStr">
        <is>
          <t>Aparcamientos en sótano del Pabellón Rubén Ruzafa</t>
        </is>
      </c>
      <c r="J800" s="2" t="inlineStr">
        <is>
          <t>Contratación 57/26</t>
        </is>
      </c>
      <c r="K800" s="2" t="inlineStr">
        <is>
          <t>Abierto simplificado</t>
        </is>
      </c>
      <c r="L800" s="6" t="n">
        <v>8</v>
      </c>
      <c r="M800" s="2" t="inlineStr">
        <is>
          <t>C4-3</t>
        </is>
      </c>
      <c r="N800" s="7" t="n">
        <v>0.25</v>
      </c>
      <c r="O800" s="4" t="n"/>
      <c r="P800" s="2" t="inlineStr">
        <is>
          <t>45000000; 45223310</t>
        </is>
      </c>
      <c r="Q800" s="8" t="inlineStr">
        <is>
          <t>Ver</t>
        </is>
      </c>
      <c r="R800" s="8" t="inlineStr">
        <is>
          <t>PCAP</t>
        </is>
      </c>
      <c r="S800" s="9" t="n">
        <v>46317</v>
      </c>
      <c r="T800" s="3" t="n">
        <v>46317.43048611111</v>
      </c>
      <c r="U800" s="2" t="inlineStr">
        <is>
          <t>2026-10-23: plazo 2026-10-26 15:00 → 2026-10-29 15:00</t>
        </is>
      </c>
    </row>
    <row r="801">
      <c r="A801" s="2" t="inlineStr">
        <is>
          <t>Resuelta</t>
        </is>
      </c>
      <c r="B801" s="3" t="n">
        <v>46188.5</v>
      </c>
      <c r="C801" s="5" t="n">
        <v>200000</v>
      </c>
      <c r="D801" s="5" t="n">
        <v>208000</v>
      </c>
      <c r="E801" s="2" t="inlineStr">
        <is>
          <t>Andalucía</t>
        </is>
      </c>
      <c r="F801" s="2" t="inlineStr">
        <is>
          <t>Málaga</t>
        </is>
      </c>
      <c r="G801" s="2" t="inlineStr">
        <is>
          <t>Málaga</t>
        </is>
      </c>
      <c r="H801" s="2" t="inlineStr">
        <is>
          <t>Aena. Dirección del Aeropuerto de Málaga-Costa del Sol</t>
        </is>
      </c>
      <c r="I801" s="2" t="inlineStr">
        <is>
          <t>Suministro E Instalación De Backbone Principal Y Fibra Óptica En El Sce Del Aeropuerto De Málaga - Costa Del Sol</t>
        </is>
      </c>
      <c r="J801" s="2" t="inlineStr">
        <is>
          <t>AGP-68/2026</t>
        </is>
      </c>
      <c r="K801" s="2" t="inlineStr">
        <is>
          <t>Normas internas</t>
        </is>
      </c>
      <c r="L801" s="6" t="n"/>
      <c r="M801" s="2" t="n"/>
      <c r="N801" s="7" t="n">
        <v>0</v>
      </c>
      <c r="O801" s="4" t="n"/>
      <c r="P801" s="2" t="inlineStr">
        <is>
          <t>45300000</t>
        </is>
      </c>
      <c r="Q801" s="8" t="inlineStr">
        <is>
          <t>Ver</t>
        </is>
      </c>
      <c r="R801" s="8" t="inlineStr">
        <is>
          <t>PCAP</t>
        </is>
      </c>
      <c r="S801" s="9" t="n">
        <v>46310</v>
      </c>
      <c r="T801" s="3" t="n">
        <v>46317.43046296296</v>
      </c>
      <c r="U801" s="2" t="inlineStr">
        <is>
          <t>2026-10-23: estado ADJ → RES</t>
        </is>
      </c>
    </row>
    <row r="802">
      <c r="A802" s="2" t="inlineStr">
        <is>
          <t>Resuelta</t>
        </is>
      </c>
      <c r="B802" s="3" t="n">
        <v>46283.99930555555</v>
      </c>
      <c r="C802" s="5" t="n">
        <v>79126.28</v>
      </c>
      <c r="D802" s="5" t="n">
        <v>79126.28</v>
      </c>
      <c r="E802" s="2" t="inlineStr">
        <is>
          <t>Andalucía</t>
        </is>
      </c>
      <c r="F802" s="2" t="inlineStr">
        <is>
          <t>Málaga</t>
        </is>
      </c>
      <c r="G802" s="2" t="n"/>
      <c r="H802" s="2" t="inlineStr">
        <is>
          <t>Junta de Gobierno del Ayuntamiento de Fuengirola</t>
        </is>
      </c>
      <c r="I802" s="2" t="inlineStr">
        <is>
          <t>Obras de reordenación del tráfico Calle Deportes.</t>
        </is>
      </c>
      <c r="J802" s="2" t="inlineStr">
        <is>
          <t>CONTR-2026000082</t>
        </is>
      </c>
      <c r="K802" s="2" t="inlineStr">
        <is>
          <t>Abierto simplificado</t>
        </is>
      </c>
      <c r="L802" s="6" t="n">
        <v>1.3</v>
      </c>
      <c r="M802" s="2" t="n"/>
      <c r="N802" s="7" t="n">
        <v>0</v>
      </c>
      <c r="O802" s="4" t="n"/>
      <c r="P802" s="2" t="inlineStr">
        <is>
          <t>45233140</t>
        </is>
      </c>
      <c r="Q802" s="8" t="inlineStr">
        <is>
          <t>Ver</t>
        </is>
      </c>
      <c r="R802" s="8" t="inlineStr">
        <is>
          <t>PCAP</t>
        </is>
      </c>
      <c r="S802" s="9" t="n">
        <v>46310</v>
      </c>
      <c r="T802" s="3" t="n">
        <v>46317.42924768518</v>
      </c>
      <c r="U802" s="2" t="inlineStr">
        <is>
          <t>2026-10-23: estado ADJ → RES</t>
        </is>
      </c>
    </row>
    <row r="803">
      <c r="A803" s="2" t="inlineStr">
        <is>
          <t>Plazo vencido</t>
        </is>
      </c>
      <c r="B803" s="3" t="n">
        <v>46323.99930555555</v>
      </c>
      <c r="C803" s="5" t="n">
        <v>261106.22</v>
      </c>
      <c r="D803" s="5" t="n">
        <v>261106.22</v>
      </c>
      <c r="E803" s="2" t="inlineStr">
        <is>
          <t>Comunitat Valenciana</t>
        </is>
      </c>
      <c r="F803" s="2" t="inlineStr">
        <is>
          <t>Valencia</t>
        </is>
      </c>
      <c r="G803" s="2" t="n"/>
      <c r="H803" s="2" t="inlineStr">
        <is>
          <t>Alcaldía del Ayuntamiento de Vilamarxant</t>
        </is>
      </c>
      <c r="I803" s="2" t="inlineStr">
        <is>
          <t>Es objeto del presente contrato las obras de actuación en zonas verdes calle San Jaime, Plaza del Pilar, calle Mariano Benlliure y calle Puzol de Vilamarxant.</t>
        </is>
      </c>
      <c r="J803" s="2" t="inlineStr">
        <is>
          <t>2998856D</t>
        </is>
      </c>
      <c r="K803" s="2" t="inlineStr">
        <is>
          <t>Abierto simplificado</t>
        </is>
      </c>
      <c r="L803" s="6" t="n">
        <v>3</v>
      </c>
      <c r="M803" s="2" t="n"/>
      <c r="N803" s="7" t="n">
        <v>0</v>
      </c>
      <c r="O803" s="4" t="n"/>
      <c r="P803" s="2" t="inlineStr">
        <is>
          <t>45000000</t>
        </is>
      </c>
      <c r="Q803" s="8" t="inlineStr">
        <is>
          <t>Ver</t>
        </is>
      </c>
      <c r="R803" s="8" t="inlineStr">
        <is>
          <t>PCAP</t>
        </is>
      </c>
      <c r="S803" s="9" t="n">
        <v>46310</v>
      </c>
      <c r="T803" s="3" t="n">
        <v>46317.42770833334</v>
      </c>
      <c r="U803" s="2" t="n"/>
    </row>
    <row r="804">
      <c r="A804" s="2" t="inlineStr">
        <is>
          <t>Pendiente de adjudicación</t>
        </is>
      </c>
      <c r="B804" s="3" t="n">
        <v>46300.58333333334</v>
      </c>
      <c r="C804" s="5" t="n">
        <v>1447357.42</v>
      </c>
      <c r="D804" s="5" t="n">
        <v>1736828.9</v>
      </c>
      <c r="E804" s="2" t="inlineStr">
        <is>
          <t>Andalucía</t>
        </is>
      </c>
      <c r="F804" s="2" t="inlineStr">
        <is>
          <t>Sevilla</t>
        </is>
      </c>
      <c r="G804" s="2" t="inlineStr">
        <is>
          <t>Sevilla</t>
        </is>
      </c>
      <c r="H804" s="2" t="inlineStr">
        <is>
          <t>Subsecretaría de Hacienda (Dirección General del Patrimonio del Estado)</t>
        </is>
      </c>
      <c r="I804" s="2" t="inlineStr">
        <is>
          <t>Obras de restauración de los artesonados de las Puertas de Navarra y Aragón de la Plaza de España de Sevilla</t>
        </is>
      </c>
      <c r="J804" s="2" t="inlineStr">
        <is>
          <t>MES-2026-12</t>
        </is>
      </c>
      <c r="K804" s="2" t="inlineStr">
        <is>
          <t>Abierto simplificado</t>
        </is>
      </c>
      <c r="L804" s="6" t="n">
        <v>9</v>
      </c>
      <c r="M804" s="2" t="inlineStr">
        <is>
          <t>K7-4</t>
        </is>
      </c>
      <c r="N804" s="7" t="n">
        <v>0.25</v>
      </c>
      <c r="O804" s="4" t="n"/>
      <c r="P804" s="2" t="inlineStr">
        <is>
          <t>45454100</t>
        </is>
      </c>
      <c r="Q804" s="8" t="inlineStr">
        <is>
          <t>Ver</t>
        </is>
      </c>
      <c r="R804" s="8" t="inlineStr">
        <is>
          <t>PCAP</t>
        </is>
      </c>
      <c r="S804" s="9" t="n">
        <v>46310</v>
      </c>
      <c r="T804" s="3" t="n">
        <v>46317.4258912037</v>
      </c>
      <c r="U804" s="2" t="n"/>
    </row>
    <row r="805">
      <c r="A805" s="2" t="inlineStr">
        <is>
          <t>En plazo</t>
        </is>
      </c>
      <c r="B805" s="3" t="n">
        <v>46337.99930555555</v>
      </c>
      <c r="C805" s="5" t="n">
        <v>115701.25</v>
      </c>
      <c r="D805" s="5" t="n">
        <v>115701.25</v>
      </c>
      <c r="E805" s="2" t="inlineStr">
        <is>
          <t>Andalucía</t>
        </is>
      </c>
      <c r="F805" s="2" t="inlineStr">
        <is>
          <t>Málaga</t>
        </is>
      </c>
      <c r="G805" s="2" t="inlineStr">
        <is>
          <t>Alhaurín el Grande</t>
        </is>
      </c>
      <c r="H805" s="2" t="inlineStr">
        <is>
          <t>Alcaldía del Ayuntamiento de Alhaurín el Grande</t>
        </is>
      </c>
      <c r="I805" s="2" t="inlineStr">
        <is>
          <t>Proyecto de rehabilitación energética de 10 viviendas de propiedad municipal</t>
        </is>
      </c>
      <c r="J805" s="2" t="inlineStr">
        <is>
          <t>26168/2026 REHABILITACION 10 VDAS.</t>
        </is>
      </c>
      <c r="K805" s="2" t="inlineStr">
        <is>
          <t>Abierto simplificado</t>
        </is>
      </c>
      <c r="L805" s="6" t="n">
        <v>3</v>
      </c>
      <c r="M805" s="2" t="n"/>
      <c r="N805" s="7" t="n">
        <v>0.05</v>
      </c>
      <c r="O805" s="4" t="n"/>
      <c r="P805" s="2" t="inlineStr">
        <is>
          <t>45261000; 09331100; 45421132; 39715000; 09321000; 09331000</t>
        </is>
      </c>
      <c r="Q805" s="8" t="inlineStr">
        <is>
          <t>Ver</t>
        </is>
      </c>
      <c r="R805" s="8" t="inlineStr">
        <is>
          <t>PCAP</t>
        </is>
      </c>
      <c r="S805" s="9" t="n">
        <v>46318</v>
      </c>
      <c r="T805" s="3" t="n">
        <v>46317.42296296296</v>
      </c>
      <c r="U805" s="2" t="n"/>
    </row>
    <row r="806">
      <c r="A806" s="2" t="inlineStr">
        <is>
          <t>Resuelta</t>
        </is>
      </c>
      <c r="B806" s="3" t="n">
        <v>44354.58333333334</v>
      </c>
      <c r="C806" s="5" t="n">
        <v>76859504.13</v>
      </c>
      <c r="D806" s="5" t="n">
        <v>92231404.95</v>
      </c>
      <c r="E806" s="2" t="inlineStr">
        <is>
          <t>Comunitat Valenciana</t>
        </is>
      </c>
      <c r="F806" s="2" t="inlineStr">
        <is>
          <t>Alicante</t>
        </is>
      </c>
      <c r="G806" s="2" t="n"/>
      <c r="H806" s="2" t="inlineStr">
        <is>
          <t>Conselleria de Política Territorial, Obras Públicas y Movilidad</t>
        </is>
      </c>
      <c r="I806" s="2" t="inlineStr">
        <is>
          <t>Conservación, adecuación y mantenimiento de las infraestructuras de transporte de la Generalitat Valenciana en la provincia de Alicante en el periodo 2021-2025</t>
        </is>
      </c>
      <c r="J806" s="2" t="inlineStr">
        <is>
          <t>CMAYOR/2021/03Y05/6</t>
        </is>
      </c>
      <c r="K806" s="2" t="inlineStr">
        <is>
          <t>Abierto</t>
        </is>
      </c>
      <c r="L806" s="6" t="n">
        <v>48</v>
      </c>
      <c r="M806" s="2" t="inlineStr">
        <is>
          <t>G5-4; G6-5; G4-4</t>
        </is>
      </c>
      <c r="N806" s="7" t="n">
        <v>0.4</v>
      </c>
      <c r="O806" s="4" t="n">
        <v>3</v>
      </c>
      <c r="P806" s="2" t="inlineStr">
        <is>
          <t>45233141</t>
        </is>
      </c>
      <c r="Q806" s="8" t="inlineStr">
        <is>
          <t>Ver</t>
        </is>
      </c>
      <c r="R806" s="8" t="inlineStr">
        <is>
          <t>PCAP</t>
        </is>
      </c>
      <c r="S806" s="9" t="n">
        <v>46318</v>
      </c>
      <c r="T806" s="3" t="n">
        <v>46317.42148148148</v>
      </c>
      <c r="U806" s="2" t="n"/>
    </row>
    <row r="807">
      <c r="A807" s="2" t="inlineStr">
        <is>
          <t>En plazo</t>
        </is>
      </c>
      <c r="B807" s="3" t="n">
        <v>46337.99930555555</v>
      </c>
      <c r="C807" s="5" t="n">
        <v>114357.1</v>
      </c>
      <c r="D807" s="5" t="n">
        <v>114357.1</v>
      </c>
      <c r="E807" s="2" t="inlineStr">
        <is>
          <t>Andalucía</t>
        </is>
      </c>
      <c r="F807" s="2" t="inlineStr">
        <is>
          <t>Cádiz</t>
        </is>
      </c>
      <c r="G807" s="2" t="n"/>
      <c r="H807" s="2" t="inlineStr">
        <is>
          <t>Alcaldía del Ayuntamiento de Bornos</t>
        </is>
      </c>
      <c r="I807" s="2" t="inlineStr">
        <is>
          <t>Instalación de parque Multiaventuras en zona verde El Bosquete en Coto de Bornos</t>
        </is>
      </c>
      <c r="J807" s="2" t="inlineStr">
        <is>
          <t>2026_11010_COAS_00007</t>
        </is>
      </c>
      <c r="K807" s="2" t="inlineStr">
        <is>
          <t>Abierto simplificado</t>
        </is>
      </c>
      <c r="L807" s="6" t="n">
        <v>3</v>
      </c>
      <c r="M807" s="2" t="n"/>
      <c r="N807" s="7" t="n">
        <v>0</v>
      </c>
      <c r="O807" s="4" t="n"/>
      <c r="P807" s="2" t="inlineStr">
        <is>
          <t>45212100; 45112711</t>
        </is>
      </c>
      <c r="Q807" s="8" t="inlineStr">
        <is>
          <t>Ver</t>
        </is>
      </c>
      <c r="R807" s="8" t="inlineStr">
        <is>
          <t>PCAP</t>
        </is>
      </c>
      <c r="S807" s="9" t="n">
        <v>46318</v>
      </c>
      <c r="T807" s="3" t="n">
        <v>46317.41740740741</v>
      </c>
      <c r="U807" s="2" t="n"/>
    </row>
    <row r="808">
      <c r="A808" s="2" t="inlineStr">
        <is>
          <t>Adjudicada</t>
        </is>
      </c>
      <c r="B808" s="3" t="n">
        <v>46309.58333333334</v>
      </c>
      <c r="C808" s="5" t="n">
        <v>35453.56</v>
      </c>
      <c r="D808" s="5" t="n">
        <v>35453.56</v>
      </c>
      <c r="E808" s="2" t="inlineStr">
        <is>
          <t>Comunitat Valenciana</t>
        </is>
      </c>
      <c r="F808" s="2" t="inlineStr">
        <is>
          <t>Valencia</t>
        </is>
      </c>
      <c r="G808" s="2" t="n"/>
      <c r="H808" s="2" t="inlineStr">
        <is>
          <t>Concejalía Delegada de Contratación del Ayuntamiento de Gandía</t>
        </is>
      </c>
      <c r="I808" s="2" t="inlineStr">
        <is>
          <t>Contrato de obras para la preparación de campo de fútbol anexo al Fort Llopis con instalación de césped artificial. Lote 1: obra civil necesaria para la preparación de la parcela y las actuaciones de recogida de pluviales. Lote 2: instalación del césped.</t>
        </is>
      </c>
      <c r="J808" s="2" t="inlineStr">
        <is>
          <t>CONT-043/2026 (33774/2026)</t>
        </is>
      </c>
      <c r="K808" s="2" t="inlineStr">
        <is>
          <t>Abierto simplificado</t>
        </is>
      </c>
      <c r="L808" s="6" t="n">
        <v>2</v>
      </c>
      <c r="M808" s="2" t="n"/>
      <c r="N808" s="7" t="n">
        <v>0</v>
      </c>
      <c r="O808" s="4" t="n">
        <v>2</v>
      </c>
      <c r="P808" s="2" t="inlineStr">
        <is>
          <t>45212290; 45100000; 39293400</t>
        </is>
      </c>
      <c r="Q808" s="8" t="inlineStr">
        <is>
          <t>Ver</t>
        </is>
      </c>
      <c r="R808" s="8" t="inlineStr">
        <is>
          <t>PCAP</t>
        </is>
      </c>
      <c r="S808" s="9" t="n">
        <v>46318</v>
      </c>
      <c r="T808" s="3" t="n">
        <v>46317.41703703703</v>
      </c>
      <c r="U808" s="2" t="n"/>
    </row>
    <row r="809">
      <c r="A809" s="2" t="inlineStr">
        <is>
          <t>Resuelta</t>
        </is>
      </c>
      <c r="B809" s="3" t="n">
        <v>46293.41666666666</v>
      </c>
      <c r="C809" s="5" t="n">
        <v>1161697.83</v>
      </c>
      <c r="D809" s="5" t="n">
        <v>1161697.83</v>
      </c>
      <c r="E809" s="2" t="inlineStr">
        <is>
          <t>Comunitat Valenciana</t>
        </is>
      </c>
      <c r="F809" s="2" t="inlineStr">
        <is>
          <t>Valencia</t>
        </is>
      </c>
      <c r="G809" s="2" t="inlineStr">
        <is>
          <t>Término municipal de Sedaví</t>
        </is>
      </c>
      <c r="H809" s="2" t="inlineStr">
        <is>
          <t>Empresa de Transformación Agraria S.A.,S.M.E., M.P., (TRAGSA)</t>
        </is>
      </c>
      <c r="I809" s="2" t="inlineStr">
        <is>
          <t>Contrato derivado de acuerdo marco para la contratación de los trabajos de reparación de daños en infraestructuras, instalaciones y servicios de los municipios afectados por la DANA, entre el 28 de octubre y el 4 de noviembre de 2024, Nº 0786483 RECONSTRUCCIÓN DE LA ESCUELA PÚBLICA DE ADULTOS DE SEDAVÍ</t>
        </is>
      </c>
      <c r="J809" s="2" t="inlineStr">
        <is>
          <t>TSA0080551-035</t>
        </is>
      </c>
      <c r="K809" s="2" t="inlineStr">
        <is>
          <t>Abierto</t>
        </is>
      </c>
      <c r="L809" s="6" t="n">
        <v>12</v>
      </c>
      <c r="M809" s="2" t="n"/>
      <c r="N809" s="7" t="n">
        <v>0</v>
      </c>
      <c r="O809" s="4" t="n"/>
      <c r="P809" s="2" t="inlineStr">
        <is>
          <t>45214000</t>
        </is>
      </c>
      <c r="Q809" s="8" t="inlineStr">
        <is>
          <t>Ver</t>
        </is>
      </c>
      <c r="R809" s="8" t="inlineStr">
        <is>
          <t>PCAP</t>
        </is>
      </c>
      <c r="S809" s="9" t="n">
        <v>46318</v>
      </c>
      <c r="T809" s="3" t="n">
        <v>46317.41638888889</v>
      </c>
      <c r="U809" s="2" t="n"/>
    </row>
    <row r="810">
      <c r="A810" s="2" t="inlineStr">
        <is>
          <t>En plazo</t>
        </is>
      </c>
      <c r="B810" s="3" t="n">
        <v>46335.99930555555</v>
      </c>
      <c r="C810" s="5" t="n">
        <v>829996.61</v>
      </c>
      <c r="D810" s="5" t="n">
        <v>829996.61</v>
      </c>
      <c r="E810" s="2" t="inlineStr">
        <is>
          <t>Andalucía</t>
        </is>
      </c>
      <c r="F810" s="2" t="inlineStr">
        <is>
          <t>Huelva</t>
        </is>
      </c>
      <c r="G810" s="2" t="n"/>
      <c r="H810" s="2" t="inlineStr">
        <is>
          <t>Junta de Gobierno del Ayuntamiento de Huelva</t>
        </is>
      </c>
      <c r="I810" s="2" t="inlineStr">
        <is>
          <t>Obras de renaturalización y ordenación de espacio público entorno calle Los Emires de Huelva.</t>
        </is>
      </c>
      <c r="J810" s="2" t="inlineStr">
        <is>
          <t>906/2026/12</t>
        </is>
      </c>
      <c r="K810" s="2" t="inlineStr">
        <is>
          <t>Abierto simplificado</t>
        </is>
      </c>
      <c r="L810" s="6" t="n">
        <v>6</v>
      </c>
      <c r="M810" s="2" t="inlineStr">
        <is>
          <t>G6-3</t>
        </is>
      </c>
      <c r="N810" s="7" t="n">
        <v>0</v>
      </c>
      <c r="O810" s="4" t="n"/>
      <c r="P810" s="2" t="inlineStr">
        <is>
          <t>45111100; 45316000; 45233293; 45233252; 45262520; 45451300</t>
        </is>
      </c>
      <c r="Q810" s="8" t="inlineStr">
        <is>
          <t>Ver</t>
        </is>
      </c>
      <c r="R810" s="8" t="inlineStr">
        <is>
          <t>PCAP</t>
        </is>
      </c>
      <c r="S810" s="9" t="n">
        <v>46317</v>
      </c>
      <c r="T810" s="3" t="n">
        <v>46317.41473379629</v>
      </c>
      <c r="U810" s="2" t="n"/>
    </row>
    <row r="811">
      <c r="A811" s="2" t="inlineStr">
        <is>
          <t>Pendiente de adjudicación</t>
        </is>
      </c>
      <c r="B811" s="3" t="n">
        <v>46310.99930555555</v>
      </c>
      <c r="C811" s="5" t="n">
        <v>104998.26</v>
      </c>
      <c r="D811" s="5" t="n">
        <v>104998.26</v>
      </c>
      <c r="E811" s="2" t="inlineStr">
        <is>
          <t>Andalucía</t>
        </is>
      </c>
      <c r="F811" s="2" t="inlineStr">
        <is>
          <t>Sevilla</t>
        </is>
      </c>
      <c r="G811" s="2" t="n"/>
      <c r="H811" s="2" t="inlineStr">
        <is>
          <t>Alcaldía del Ayuntamiento de Espartinas</t>
        </is>
      </c>
      <c r="I811" s="2" t="inlineStr">
        <is>
          <t>El objeto del contrato la ejecución de las obras de pavimentación, construcción de nichos, pintura y limpieza en el Cementerio Municipal San Fernando, de acuerdo con lo previsto en las correspondientes memorias que establecen las características de las actuaciones relativas a cada lote.</t>
        </is>
      </c>
      <c r="J811" s="2" t="inlineStr">
        <is>
          <t>731/2026</t>
        </is>
      </c>
      <c r="K811" s="2" t="inlineStr">
        <is>
          <t>Abierto simplificado</t>
        </is>
      </c>
      <c r="L811" s="6" t="n">
        <v>3</v>
      </c>
      <c r="M811" s="2" t="n"/>
      <c r="N811" s="7" t="n">
        <v>0</v>
      </c>
      <c r="O811" s="4" t="n">
        <v>4</v>
      </c>
      <c r="P811" s="2" t="inlineStr">
        <is>
          <t>45215400; 45111200; 45233252; 45442100; 45233222; 45111000</t>
        </is>
      </c>
      <c r="Q811" s="8" t="inlineStr">
        <is>
          <t>Ver</t>
        </is>
      </c>
      <c r="R811" s="8" t="inlineStr">
        <is>
          <t>PCAP</t>
        </is>
      </c>
      <c r="S811" s="9" t="n">
        <v>46314</v>
      </c>
      <c r="T811" s="3" t="n">
        <v>46317.41371527778</v>
      </c>
      <c r="U811" s="2" t="n"/>
    </row>
    <row r="812">
      <c r="A812" s="2" t="inlineStr">
        <is>
          <t>Pendiente de adjudicación</t>
        </is>
      </c>
      <c r="B812" s="3" t="n">
        <v>46310.99930555555</v>
      </c>
      <c r="C812" s="5" t="n">
        <v>574770</v>
      </c>
      <c r="D812" s="5" t="n">
        <v>574770</v>
      </c>
      <c r="E812" s="2" t="inlineStr">
        <is>
          <t>Comunitat Valenciana</t>
        </is>
      </c>
      <c r="F812" s="2" t="inlineStr">
        <is>
          <t>Valencia</t>
        </is>
      </c>
      <c r="G812" s="2" t="inlineStr">
        <is>
          <t>GUADASSUAR</t>
        </is>
      </c>
      <c r="H812" s="2" t="inlineStr">
        <is>
          <t>Junta de Gobierno del Ayuntamiento de Guadassuar</t>
        </is>
      </c>
      <c r="I812" s="2" t="inlineStr">
        <is>
          <t>Contrato de obra para la realización del proyecto de la obra: "Rehabilitación del edificio municipal para Centro Cultural de Guadassuar".</t>
        </is>
      </c>
      <c r="J812" s="2" t="inlineStr">
        <is>
          <t>2948860P</t>
        </is>
      </c>
      <c r="K812" s="2" t="inlineStr">
        <is>
          <t>Abierto simplificado</t>
        </is>
      </c>
      <c r="L812" s="6" t="n">
        <v>8</v>
      </c>
      <c r="M812" s="2" t="inlineStr">
        <is>
          <t>C4-3</t>
        </is>
      </c>
      <c r="N812" s="7" t="n">
        <v>0</v>
      </c>
      <c r="O812" s="4" t="n"/>
      <c r="P812" s="2" t="inlineStr">
        <is>
          <t>45212300; 45453000; 45331000; 45343000</t>
        </is>
      </c>
      <c r="Q812" s="8" t="inlineStr">
        <is>
          <t>Ver</t>
        </is>
      </c>
      <c r="R812" s="8" t="inlineStr">
        <is>
          <t>PCAP</t>
        </is>
      </c>
      <c r="S812" s="9" t="n">
        <v>46318</v>
      </c>
      <c r="T812" s="3" t="n">
        <v>46317.41149305556</v>
      </c>
      <c r="U812" s="2" t="n"/>
    </row>
    <row r="813">
      <c r="A813" s="2" t="inlineStr">
        <is>
          <t>Pendiente de adjudicación</t>
        </is>
      </c>
      <c r="B813" s="3" t="n">
        <v>46286.54166666666</v>
      </c>
      <c r="C813" s="5" t="n">
        <v>282655.82</v>
      </c>
      <c r="D813" s="5" t="n">
        <v>367452.56</v>
      </c>
      <c r="E813" s="2" t="inlineStr">
        <is>
          <t>Comunitat Valenciana</t>
        </is>
      </c>
      <c r="F813" s="2" t="inlineStr">
        <is>
          <t>Valencia</t>
        </is>
      </c>
      <c r="G813" s="2" t="inlineStr">
        <is>
          <t>Valencia</t>
        </is>
      </c>
      <c r="H813" s="2" t="inlineStr">
        <is>
          <t>Presidencia de la Autoridad Portuaria de Valencia</t>
        </is>
      </c>
      <c r="I813" s="2" t="inlineStr">
        <is>
          <t>Obras de climatización en diversos edificios de APV en los Puertos de Valencia y Sagunto</t>
        </is>
      </c>
      <c r="J813" s="2" t="inlineStr">
        <is>
          <t>EC26-C02-00330</t>
        </is>
      </c>
      <c r="K813" s="2" t="inlineStr">
        <is>
          <t>Abierto simplificado</t>
        </is>
      </c>
      <c r="L813" s="6" t="n">
        <v>6</v>
      </c>
      <c r="M813" s="2" t="inlineStr">
        <is>
          <t>I9-2</t>
        </is>
      </c>
      <c r="N813" s="7" t="n">
        <v>0.25</v>
      </c>
      <c r="O813" s="4" t="n"/>
      <c r="P813" s="2" t="inlineStr">
        <is>
          <t>45331220</t>
        </is>
      </c>
      <c r="Q813" s="8" t="inlineStr">
        <is>
          <t>Ver</t>
        </is>
      </c>
      <c r="R813" s="8" t="inlineStr">
        <is>
          <t>PCAP</t>
        </is>
      </c>
      <c r="S813" s="9" t="n">
        <v>46318</v>
      </c>
      <c r="T813" s="3" t="n">
        <v>46317.40524305555</v>
      </c>
      <c r="U813" s="2" t="n"/>
    </row>
    <row r="814">
      <c r="A814" s="2" t="inlineStr">
        <is>
          <t>Resuelta</t>
        </is>
      </c>
      <c r="B814" s="3" t="n">
        <v>46125.99930555555</v>
      </c>
      <c r="C814" s="5" t="n">
        <v>164881.4</v>
      </c>
      <c r="D814" s="5" t="n">
        <v>164881.4</v>
      </c>
      <c r="E814" s="2" t="inlineStr">
        <is>
          <t>Comunitat Valenciana</t>
        </is>
      </c>
      <c r="F814" s="2" t="inlineStr">
        <is>
          <t>Alicante</t>
        </is>
      </c>
      <c r="G814" s="2" t="inlineStr">
        <is>
          <t>ELCHE</t>
        </is>
      </c>
      <c r="H814" s="2" t="inlineStr">
        <is>
          <t>Consejo de Administración de la Societat Valenciana Fira Alacant, S.A.</t>
        </is>
      </c>
      <c r="I814" s="2" t="inlineStr">
        <is>
          <t>Obras de asfaltado parking Pabellón I y accesos SVFA</t>
        </is>
      </c>
      <c r="J814" s="2" t="inlineStr">
        <is>
          <t>CMAYOR/2026/FIRAA/49</t>
        </is>
      </c>
      <c r="K814" s="2" t="inlineStr">
        <is>
          <t>Abierto simplificado</t>
        </is>
      </c>
      <c r="L814" s="6" t="n">
        <v>1</v>
      </c>
      <c r="M814" s="2" t="n"/>
      <c r="N814" s="7" t="n">
        <v>0</v>
      </c>
      <c r="O814" s="4" t="n"/>
      <c r="P814" s="2" t="inlineStr">
        <is>
          <t>45233222</t>
        </is>
      </c>
      <c r="Q814" s="8" t="inlineStr">
        <is>
          <t>Ver</t>
        </is>
      </c>
      <c r="R814" s="8" t="inlineStr">
        <is>
          <t>PCAP</t>
        </is>
      </c>
      <c r="S814" s="9" t="n">
        <v>46318</v>
      </c>
      <c r="T814" s="3" t="n">
        <v>46317.40475694444</v>
      </c>
      <c r="U814" s="2" t="n"/>
    </row>
    <row r="815">
      <c r="A815" s="2" t="inlineStr">
        <is>
          <t>En plazo</t>
        </is>
      </c>
      <c r="B815" s="3" t="n">
        <v>46345.99930555555</v>
      </c>
      <c r="C815" s="5" t="n">
        <v>45454.55</v>
      </c>
      <c r="D815" s="5" t="n">
        <v>45454.55</v>
      </c>
      <c r="E815" s="2" t="inlineStr">
        <is>
          <t>Andalucía</t>
        </is>
      </c>
      <c r="F815" s="2" t="inlineStr">
        <is>
          <t>Sevilla</t>
        </is>
      </c>
      <c r="G815" s="2" t="n"/>
      <c r="H815" s="2" t="inlineStr">
        <is>
          <t>Alcaldía del Ayuntamiento de Castilleja de Guzmán</t>
        </is>
      </c>
      <c r="I815" s="2" t="inlineStr">
        <is>
          <t>Cambio a Led iluminación interior edificios municipales de Castilleja de Guzmán. Plan Provincial MAS Sevilla.</t>
        </is>
      </c>
      <c r="J815" s="2" t="inlineStr">
        <is>
          <t>P4102800B-2026/000102-PAAS</t>
        </is>
      </c>
      <c r="K815" s="2" t="inlineStr">
        <is>
          <t>Abierto simplificado</t>
        </is>
      </c>
      <c r="L815" s="6" t="n">
        <v>1.5</v>
      </c>
      <c r="M815" s="2" t="n"/>
      <c r="N815" s="7" t="n">
        <v>0</v>
      </c>
      <c r="O815" s="4" t="n"/>
      <c r="P815" s="2" t="inlineStr">
        <is>
          <t>45316000</t>
        </is>
      </c>
      <c r="Q815" s="8" t="inlineStr">
        <is>
          <t>Ver</t>
        </is>
      </c>
      <c r="R815" s="8" t="inlineStr">
        <is>
          <t>PCAP</t>
        </is>
      </c>
      <c r="S815" s="9" t="n">
        <v>46318</v>
      </c>
      <c r="T815" s="3" t="n">
        <v>46317.40186342593</v>
      </c>
      <c r="U815" s="2" t="n"/>
    </row>
    <row r="816">
      <c r="A816" s="2" t="inlineStr">
        <is>
          <t>En plazo</t>
        </is>
      </c>
      <c r="B816" s="3" t="n">
        <v>46336.99930555555</v>
      </c>
      <c r="C816" s="5" t="n">
        <v>76033.06</v>
      </c>
      <c r="D816" s="5" t="n">
        <v>76033.06</v>
      </c>
      <c r="E816" s="2" t="inlineStr">
        <is>
          <t>Andalucía</t>
        </is>
      </c>
      <c r="F816" s="2" t="inlineStr">
        <is>
          <t>Almería</t>
        </is>
      </c>
      <c r="G816" s="2" t="inlineStr">
        <is>
          <t>Viator</t>
        </is>
      </c>
      <c r="H816" s="2" t="inlineStr">
        <is>
          <t>Junta De Gobierno Local del Ayuntamiento de Viator</t>
        </is>
      </c>
      <c r="I816" s="2" t="inlineStr">
        <is>
          <t>Obras de reposición de saneamiento, abastecimiento y pavimentación en calle León Felipe de Viator</t>
        </is>
      </c>
      <c r="J816" s="2" t="inlineStr">
        <is>
          <t>877/2026</t>
        </is>
      </c>
      <c r="K816" s="2" t="inlineStr">
        <is>
          <t>Abierto simplificado</t>
        </is>
      </c>
      <c r="L816" s="6" t="n">
        <v>2</v>
      </c>
      <c r="M816" s="2" t="n"/>
      <c r="N816" s="7" t="n">
        <v>0</v>
      </c>
      <c r="O816" s="4" t="n"/>
      <c r="P816" s="2" t="inlineStr">
        <is>
          <t>45231300</t>
        </is>
      </c>
      <c r="Q816" s="8" t="inlineStr">
        <is>
          <t>Ver</t>
        </is>
      </c>
      <c r="R816" s="2" t="n"/>
      <c r="S816" s="9" t="n">
        <v>46318</v>
      </c>
      <c r="T816" s="3" t="n">
        <v>46317.3972337963</v>
      </c>
      <c r="U816" s="2" t="n"/>
    </row>
    <row r="817">
      <c r="A817" s="2" t="inlineStr">
        <is>
          <t>En plazo</t>
        </is>
      </c>
      <c r="B817" s="3" t="n">
        <v>46337.99930555555</v>
      </c>
      <c r="C817" s="5" t="n">
        <v>168115.62</v>
      </c>
      <c r="D817" s="5" t="n">
        <v>168115.62</v>
      </c>
      <c r="E817" s="2" t="inlineStr">
        <is>
          <t>Andalucía</t>
        </is>
      </c>
      <c r="F817" s="2" t="inlineStr">
        <is>
          <t>Cádiz</t>
        </is>
      </c>
      <c r="G817" s="2" t="n"/>
      <c r="H817" s="2" t="inlineStr">
        <is>
          <t>Alcaldía del Ayuntamiento de Bornos</t>
        </is>
      </c>
      <c r="I817" s="2" t="inlineStr">
        <is>
          <t>Rehabilitación del edificio municipal Centro para Educación de Adultos, en Calle Granada S/N</t>
        </is>
      </c>
      <c r="J817" s="2" t="inlineStr">
        <is>
          <t>2026_11010_COAS_00010</t>
        </is>
      </c>
      <c r="K817" s="2" t="inlineStr">
        <is>
          <t>Abierto simplificado</t>
        </is>
      </c>
      <c r="L817" s="6" t="n">
        <v>4</v>
      </c>
      <c r="M817" s="2" t="n"/>
      <c r="N817" s="7" t="n">
        <v>0</v>
      </c>
      <c r="O817" s="4" t="n"/>
      <c r="P817" s="2" t="inlineStr">
        <is>
          <t>45454100; 45210000; 45310000</t>
        </is>
      </c>
      <c r="Q817" s="8" t="inlineStr">
        <is>
          <t>Ver</t>
        </is>
      </c>
      <c r="R817" s="8" t="inlineStr">
        <is>
          <t>PCAP</t>
        </is>
      </c>
      <c r="S817" s="9" t="n">
        <v>46318</v>
      </c>
      <c r="T817" s="3" t="n">
        <v>46317.39716435185</v>
      </c>
      <c r="U817" s="2" t="n"/>
    </row>
    <row r="818">
      <c r="A818" s="2" t="inlineStr">
        <is>
          <t>Adjudicada</t>
        </is>
      </c>
      <c r="B818" s="3" t="n">
        <v>46281.58333333334</v>
      </c>
      <c r="C818" s="5" t="n">
        <v>63816.96</v>
      </c>
      <c r="D818" s="5" t="n">
        <v>63816.96</v>
      </c>
      <c r="E818" s="2" t="inlineStr">
        <is>
          <t>Andalucía</t>
        </is>
      </c>
      <c r="F818" s="2" t="inlineStr">
        <is>
          <t>Jaén</t>
        </is>
      </c>
      <c r="G818" s="2" t="n"/>
      <c r="H818" s="2" t="inlineStr">
        <is>
          <t>Rectorado de la Universidad de Jaén</t>
        </is>
      </c>
      <c r="I818" s="2" t="inlineStr">
        <is>
          <t>Contrato para la redacción de proyecto y la ejecución de las obras de instalación correspondientes a una red de distribución en baja tensión en la zona residencial y deportiva Domingo Savio.</t>
        </is>
      </c>
      <c r="J818" s="2" t="inlineStr">
        <is>
          <t>EXO-2026/04</t>
        </is>
      </c>
      <c r="K818" s="2" t="inlineStr">
        <is>
          <t>Abierto simplificado</t>
        </is>
      </c>
      <c r="L818" s="6" t="n">
        <v>3</v>
      </c>
      <c r="M818" s="2" t="n"/>
      <c r="N818" s="7" t="n">
        <v>0.25</v>
      </c>
      <c r="O818" s="4" t="n"/>
      <c r="P818" s="2" t="inlineStr">
        <is>
          <t>45310000; 45231400; 71320000</t>
        </is>
      </c>
      <c r="Q818" s="8" t="inlineStr">
        <is>
          <t>Ver</t>
        </is>
      </c>
      <c r="R818" s="8" t="inlineStr">
        <is>
          <t>PCAP</t>
        </is>
      </c>
      <c r="S818" s="9" t="n">
        <v>46318</v>
      </c>
      <c r="T818" s="3" t="n">
        <v>46317.39650462963</v>
      </c>
      <c r="U818" s="2" t="n"/>
    </row>
    <row r="819">
      <c r="A819" s="2" t="inlineStr">
        <is>
          <t>Resuelta</t>
        </is>
      </c>
      <c r="B819" s="3" t="n">
        <v>46280.41666666666</v>
      </c>
      <c r="C819" s="5" t="n">
        <v>980507.24</v>
      </c>
      <c r="D819" s="5" t="n">
        <v>980507.24</v>
      </c>
      <c r="E819" s="2" t="inlineStr">
        <is>
          <t>Comunitat Valenciana</t>
        </is>
      </c>
      <c r="F819" s="2" t="inlineStr">
        <is>
          <t>Valencia</t>
        </is>
      </c>
      <c r="G819" s="2" t="inlineStr">
        <is>
          <t>Paiporta (Valencia)</t>
        </is>
      </c>
      <c r="H819" s="2" t="inlineStr">
        <is>
          <t>Empresa de Transformación Agraria S.A.,S.M.E., M.P., (TRAGSA)</t>
        </is>
      </c>
      <c r="I819" s="2" t="inlineStr">
        <is>
          <t>Contrato derivado de acuerdo marco para la contratación de los trabajos de reparación de daños en infraestructuras, instalaciones y servicios de los municipios afectados por la DANA, entre el 28 de octubre y el 4 de noviembre de 2024, Nº 0786293 DANA24M CASA CONSI.PAIPORTA</t>
        </is>
      </c>
      <c r="J819" s="2" t="inlineStr">
        <is>
          <t>TSA0080551-032</t>
        </is>
      </c>
      <c r="K819" s="2" t="inlineStr">
        <is>
          <t>Abierto</t>
        </is>
      </c>
      <c r="L819" s="6" t="n">
        <v>6</v>
      </c>
      <c r="M819" s="2" t="n"/>
      <c r="N819" s="7" t="n">
        <v>0</v>
      </c>
      <c r="O819" s="4" t="n"/>
      <c r="P819" s="2" t="inlineStr">
        <is>
          <t>45454100</t>
        </is>
      </c>
      <c r="Q819" s="8" t="inlineStr">
        <is>
          <t>Ver</t>
        </is>
      </c>
      <c r="R819" s="8" t="inlineStr">
        <is>
          <t>PCAP</t>
        </is>
      </c>
      <c r="S819" s="9" t="n">
        <v>46318</v>
      </c>
      <c r="T819" s="3" t="n">
        <v>46317.39637731481</v>
      </c>
      <c r="U819" s="2" t="n"/>
    </row>
    <row r="820">
      <c r="A820" s="2" t="inlineStr">
        <is>
          <t>En plazo</t>
        </is>
      </c>
      <c r="B820" s="3" t="n">
        <v>46330.99930555555</v>
      </c>
      <c r="C820" s="5" t="n">
        <v>44332.73</v>
      </c>
      <c r="D820" s="5" t="n">
        <v>44332.73</v>
      </c>
      <c r="E820" s="2" t="inlineStr">
        <is>
          <t>Comunitat Valenciana</t>
        </is>
      </c>
      <c r="F820" s="2" t="inlineStr">
        <is>
          <t>Castellón</t>
        </is>
      </c>
      <c r="G820" s="2" t="n"/>
      <c r="H820" s="2" t="inlineStr">
        <is>
          <t>Dirección General del Aeropuerto de Castellón</t>
        </is>
      </c>
      <c r="I820" s="2" t="inlineStr">
        <is>
          <t>Contratación de la obra de adecuación del nuevo tramo de vial de servicios en el Aeropuerto de Castellón S.L.</t>
        </is>
      </c>
      <c r="J820" s="2" t="inlineStr">
        <is>
          <t>CMAYOR/2026/AEROC/511</t>
        </is>
      </c>
      <c r="K820" s="2" t="inlineStr">
        <is>
          <t>Abierto simplificado</t>
        </is>
      </c>
      <c r="L820" s="6" t="n">
        <v>1.4</v>
      </c>
      <c r="M820" s="2" t="n"/>
      <c r="N820" s="7" t="n">
        <v>0</v>
      </c>
      <c r="O820" s="4" t="n"/>
      <c r="P820" s="2" t="inlineStr">
        <is>
          <t>45233226; 45233142; 45233222</t>
        </is>
      </c>
      <c r="Q820" s="8" t="inlineStr">
        <is>
          <t>Ver</t>
        </is>
      </c>
      <c r="R820" s="8" t="inlineStr">
        <is>
          <t>PCAP</t>
        </is>
      </c>
      <c r="S820" s="9" t="n">
        <v>46317</v>
      </c>
      <c r="T820" s="3" t="n">
        <v>46317.39271990741</v>
      </c>
      <c r="U820" s="2" t="n"/>
    </row>
    <row r="821">
      <c r="A821" s="2" t="inlineStr">
        <is>
          <t>Pendiente de adjudicación</t>
        </is>
      </c>
      <c r="B821" s="3" t="n">
        <v>46301.99930555555</v>
      </c>
      <c r="C821" s="5" t="n">
        <v>56231.72</v>
      </c>
      <c r="D821" s="5" t="n">
        <v>56231.72</v>
      </c>
      <c r="E821" s="2" t="inlineStr">
        <is>
          <t>Comunitat Valenciana</t>
        </is>
      </c>
      <c r="F821" s="2" t="inlineStr">
        <is>
          <t>Valencia</t>
        </is>
      </c>
      <c r="G821" s="2" t="inlineStr">
        <is>
          <t>Náquera</t>
        </is>
      </c>
      <c r="H821" s="2" t="inlineStr">
        <is>
          <t>Alcaldía del Ayuntamiento de Náquera</t>
        </is>
      </c>
      <c r="I821" s="2" t="inlineStr">
        <is>
          <t>Contrato de obras de ampliación instalación de cámaras de control de tráfico área industrial Los Vientos</t>
        </is>
      </c>
      <c r="J821" s="2" t="inlineStr">
        <is>
          <t>3890/2026</t>
        </is>
      </c>
      <c r="K821" s="2" t="inlineStr">
        <is>
          <t>Abierto simplificado</t>
        </is>
      </c>
      <c r="L821" s="6" t="n">
        <v>3</v>
      </c>
      <c r="M821" s="2" t="n"/>
      <c r="N821" s="7" t="n">
        <v>0.2</v>
      </c>
      <c r="O821" s="4" t="n"/>
      <c r="P821" s="2" t="inlineStr">
        <is>
          <t>45310000; 45311000; 45314000</t>
        </is>
      </c>
      <c r="Q821" s="8" t="inlineStr">
        <is>
          <t>Ver</t>
        </is>
      </c>
      <c r="R821" s="8" t="inlineStr">
        <is>
          <t>PCAP</t>
        </is>
      </c>
      <c r="S821" s="9" t="n">
        <v>46318</v>
      </c>
      <c r="T821" s="3" t="n">
        <v>46317.39180555556</v>
      </c>
      <c r="U821" s="2" t="n"/>
    </row>
    <row r="822">
      <c r="A822" s="2" t="inlineStr">
        <is>
          <t>Adjudicada</t>
        </is>
      </c>
      <c r="B822" s="3" t="n">
        <v>46162.99930555555</v>
      </c>
      <c r="C822" s="5" t="n">
        <v>107438.02</v>
      </c>
      <c r="D822" s="5" t="n">
        <v>107438.02</v>
      </c>
      <c r="E822" s="2" t="inlineStr">
        <is>
          <t>Comunitat Valenciana</t>
        </is>
      </c>
      <c r="F822" s="2" t="inlineStr">
        <is>
          <t>Valencia</t>
        </is>
      </c>
      <c r="G822" s="2" t="n"/>
      <c r="H822" s="2" t="inlineStr">
        <is>
          <t>Concejalía Delegada de Contratación del Ajuntament de València</t>
        </is>
      </c>
      <c r="I822" s="2" t="inlineStr">
        <is>
          <t>Obras correspondientes al proyecto de instalación fotovoltaica y adaptación de la instalación eléctrica en el Polideportivo Doctor Lluch, actuación seleccionada en la consulta ciudadana sobre inversiones en barrios de los presupuestos participativos DECIDIM VLC (VLC 2022_6500)</t>
        </is>
      </c>
      <c r="J822" s="2" t="inlineStr">
        <is>
          <t>04101/2026/62-O</t>
        </is>
      </c>
      <c r="K822" s="2" t="inlineStr">
        <is>
          <t>Abierto simplificado</t>
        </is>
      </c>
      <c r="L822" s="6" t="n">
        <v>4</v>
      </c>
      <c r="M822" s="2" t="n"/>
      <c r="N822" s="7" t="n">
        <v>0.25</v>
      </c>
      <c r="O822" s="4" t="n"/>
      <c r="P822" s="2" t="inlineStr">
        <is>
          <t>45212200; 45315600; 45300000</t>
        </is>
      </c>
      <c r="Q822" s="8" t="inlineStr">
        <is>
          <t>Ver</t>
        </is>
      </c>
      <c r="R822" s="8" t="inlineStr">
        <is>
          <t>PCAP</t>
        </is>
      </c>
      <c r="S822" s="9" t="n">
        <v>46318</v>
      </c>
      <c r="T822" s="3" t="n">
        <v>46317.3878125</v>
      </c>
      <c r="U822" s="2" t="n"/>
    </row>
    <row r="823">
      <c r="A823" s="2" t="inlineStr">
        <is>
          <t>Pendiente de adjudicación</t>
        </is>
      </c>
      <c r="B823" s="3" t="n">
        <v>46303.99930555555</v>
      </c>
      <c r="C823" s="5" t="n">
        <v>194367.82</v>
      </c>
      <c r="D823" s="5" t="n">
        <v>194367.82</v>
      </c>
      <c r="E823" s="2" t="inlineStr">
        <is>
          <t>Comunitat Valenciana</t>
        </is>
      </c>
      <c r="F823" s="2" t="inlineStr">
        <is>
          <t>Valencia</t>
        </is>
      </c>
      <c r="G823" s="2" t="inlineStr">
        <is>
          <t>CULLERA</t>
        </is>
      </c>
      <c r="H823" s="2" t="inlineStr">
        <is>
          <t>Alcaldía del Ayuntamiento de Cullera</t>
        </is>
      </c>
      <c r="I823" s="2" t="inlineStr">
        <is>
          <t>Obras de reurbanización de la Plaza Dr Fleming de Cullera.</t>
        </is>
      </c>
      <c r="J823" s="2" t="inlineStr">
        <is>
          <t>2961336R</t>
        </is>
      </c>
      <c r="K823" s="2" t="inlineStr">
        <is>
          <t>Abierto simplificado</t>
        </is>
      </c>
      <c r="L823" s="6" t="n">
        <v>3</v>
      </c>
      <c r="M823" s="2" t="n"/>
      <c r="N823" s="7" t="n">
        <v>0</v>
      </c>
      <c r="O823" s="4" t="n"/>
      <c r="P823" s="2" t="inlineStr">
        <is>
          <t>45000000; 45316100; 45233252; 45233294; 45233262; 45233293</t>
        </is>
      </c>
      <c r="Q823" s="8" t="inlineStr">
        <is>
          <t>Ver</t>
        </is>
      </c>
      <c r="R823" s="8" t="inlineStr">
        <is>
          <t>PCAP</t>
        </is>
      </c>
      <c r="S823" s="9" t="n">
        <v>46314</v>
      </c>
      <c r="T823" s="3" t="n">
        <v>46317.38734953704</v>
      </c>
      <c r="U823" s="2" t="n"/>
    </row>
    <row r="824">
      <c r="A824" s="2" t="inlineStr">
        <is>
          <t>Resuelta</t>
        </is>
      </c>
      <c r="B824" s="3" t="n">
        <v>46076.99930555555</v>
      </c>
      <c r="C824" s="5" t="n">
        <v>109090.91</v>
      </c>
      <c r="D824" s="5" t="n">
        <v>109090.91</v>
      </c>
      <c r="E824" s="2" t="inlineStr">
        <is>
          <t>Comunitat Valenciana</t>
        </is>
      </c>
      <c r="F824" s="2" t="inlineStr">
        <is>
          <t>Valencia</t>
        </is>
      </c>
      <c r="G824" s="2" t="n"/>
      <c r="H824" s="2" t="inlineStr">
        <is>
          <t>Junta de Gobierno del Ayuntamiento de Paiporta</t>
        </is>
      </c>
      <c r="I824" s="2" t="inlineStr">
        <is>
          <t>Obras de mejora y modernización del POLÍGONO LA ESTACIÓN,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ESTACIÓN.</t>
        </is>
      </c>
      <c r="J824" s="2" t="inlineStr">
        <is>
          <t>2582873Z</t>
        </is>
      </c>
      <c r="K824" s="2" t="inlineStr">
        <is>
          <t>Abierto simplificado</t>
        </is>
      </c>
      <c r="L824" s="6" t="n">
        <v>3</v>
      </c>
      <c r="M824" s="2" t="n"/>
      <c r="N824" s="7" t="n">
        <v>0</v>
      </c>
      <c r="O824" s="4" t="n"/>
      <c r="P824" s="2" t="inlineStr">
        <is>
          <t>45233161; 45233222; 45233270; 45233221; 45233251; 45233294; 45111000; 45233293</t>
        </is>
      </c>
      <c r="Q824" s="8" t="inlineStr">
        <is>
          <t>Ver</t>
        </is>
      </c>
      <c r="R824" s="8" t="inlineStr">
        <is>
          <t>PCAP</t>
        </is>
      </c>
      <c r="S824" s="9" t="n">
        <v>46318</v>
      </c>
      <c r="T824" s="3" t="n">
        <v>46317.3846875</v>
      </c>
      <c r="U824" s="2" t="n"/>
    </row>
    <row r="825">
      <c r="A825" s="2" t="inlineStr">
        <is>
          <t>Adjudicada</t>
        </is>
      </c>
      <c r="B825" s="3" t="n">
        <v>46288.99930555555</v>
      </c>
      <c r="C825" s="5" t="n">
        <v>60000</v>
      </c>
      <c r="D825" s="5" t="n">
        <v>60000</v>
      </c>
      <c r="E825" s="2" t="inlineStr">
        <is>
          <t>Comunitat Valenciana</t>
        </is>
      </c>
      <c r="F825" s="2" t="inlineStr">
        <is>
          <t>Alicante</t>
        </is>
      </c>
      <c r="G825" s="2" t="n"/>
      <c r="H825" s="2" t="inlineStr">
        <is>
          <t>Junta de Gobierno del Ayuntamiento de Benidorm</t>
        </is>
      </c>
      <c r="I825" s="2" t="inlineStr">
        <is>
          <t>Contrato de servicio de aplicación de trabajos de pintura en mobiliario urbano</t>
        </is>
      </c>
      <c r="J825" s="2" t="inlineStr">
        <is>
          <t>7412/2026</t>
        </is>
      </c>
      <c r="K825" s="2" t="inlineStr">
        <is>
          <t>Abierto</t>
        </is>
      </c>
      <c r="L825" s="6" t="n">
        <v>4</v>
      </c>
      <c r="M825" s="2" t="n"/>
      <c r="N825" s="7" t="n">
        <v>0</v>
      </c>
      <c r="O825" s="4" t="n"/>
      <c r="P825" s="2" t="inlineStr">
        <is>
          <t>45442100</t>
        </is>
      </c>
      <c r="Q825" s="8" t="inlineStr">
        <is>
          <t>Ver</t>
        </is>
      </c>
      <c r="R825" s="2" t="n"/>
      <c r="S825" s="9" t="n">
        <v>46318</v>
      </c>
      <c r="T825" s="3" t="n">
        <v>46317.38194444445</v>
      </c>
      <c r="U825" s="2" t="n"/>
    </row>
    <row r="826">
      <c r="A826" s="2" t="inlineStr">
        <is>
          <t>Resuelta</t>
        </is>
      </c>
      <c r="B826" s="3" t="n"/>
      <c r="C826" s="5" t="n">
        <v>0</v>
      </c>
      <c r="D826" s="5" t="n">
        <v>367500</v>
      </c>
      <c r="E826" s="2" t="inlineStr">
        <is>
          <t>Andalucía</t>
        </is>
      </c>
      <c r="F826" s="2" t="n"/>
      <c r="G826" s="2" t="n"/>
      <c r="H826" s="2" t="inlineStr">
        <is>
          <t>ADIF Alta Velocidad - Presidencia</t>
        </is>
      </c>
      <c r="I826" s="2" t="inlineStr">
        <is>
          <t>Emergencia de las obras y de los servicios de estabilización del talud situado entre los puntos kilométricos 120+849 al 121+389, de la línea de Alta Velocidad 030 Córdoba – Málaga. Asistencia Técnica</t>
        </is>
      </c>
      <c r="J826" s="2" t="inlineStr">
        <is>
          <t>3.26/20810.0035</t>
        </is>
      </c>
      <c r="K826" s="2" t="inlineStr">
        <is>
          <t>Negociado sin publicidad</t>
        </is>
      </c>
      <c r="L826" s="6" t="n">
        <v>4</v>
      </c>
      <c r="M826" s="2" t="n"/>
      <c r="N826" s="7" t="n">
        <v>0</v>
      </c>
      <c r="O826" s="4" t="n"/>
      <c r="P826" s="2" t="inlineStr">
        <is>
          <t>45450000</t>
        </is>
      </c>
      <c r="Q826" s="8" t="inlineStr">
        <is>
          <t>Ver</t>
        </is>
      </c>
      <c r="R826" s="2" t="n"/>
      <c r="S826" s="9" t="n">
        <v>46310</v>
      </c>
      <c r="T826" s="3" t="n">
        <v>46317.37996527777</v>
      </c>
      <c r="U826" s="2" t="inlineStr">
        <is>
          <t>2026-10-23: estado ADJ → RES</t>
        </is>
      </c>
    </row>
    <row r="827">
      <c r="A827" s="2" t="inlineStr">
        <is>
          <t>En plazo</t>
        </is>
      </c>
      <c r="B827" s="3" t="n">
        <v>46338.79166666666</v>
      </c>
      <c r="C827" s="5" t="n">
        <v>42644.63</v>
      </c>
      <c r="D827" s="5" t="n">
        <v>42644.63</v>
      </c>
      <c r="E827" s="2" t="inlineStr">
        <is>
          <t>Comunitat Valenciana</t>
        </is>
      </c>
      <c r="F827" s="2" t="inlineStr">
        <is>
          <t>Valencia</t>
        </is>
      </c>
      <c r="G827" s="2" t="inlineStr">
        <is>
          <t>Xàtiva</t>
        </is>
      </c>
      <c r="H827" s="2" t="inlineStr">
        <is>
          <t>Departamento de Salud de Xàtiva-Ontinyent. Dirección Económica-Gerencia</t>
        </is>
      </c>
      <c r="I827" s="2" t="inlineStr">
        <is>
          <t>Obra de renovación de la instalación de agua, por cambio de tuberías del Hospital Universitari Lluís Alcanyís de Xàtiva, adscrito al Departamento de Salud Xàtiva- Ontinyent, así como la Dirección de obra y coordinación de seguridad y salud.</t>
        </is>
      </c>
      <c r="J827" s="2" t="inlineStr">
        <is>
          <t>PAS 1420 2026</t>
        </is>
      </c>
      <c r="K827" s="2" t="inlineStr">
        <is>
          <t>Abierto simplificado</t>
        </is>
      </c>
      <c r="L827" s="6" t="n">
        <v>2</v>
      </c>
      <c r="M827" s="2" t="n"/>
      <c r="N827" s="7" t="n">
        <v>0.45</v>
      </c>
      <c r="O827" s="4" t="n">
        <v>2</v>
      </c>
      <c r="P827" s="2" t="inlineStr">
        <is>
          <t>45000000; 71540000; 71520000; 71317200; 45231113; 45232100; 71317210; 45259900; 45215100</t>
        </is>
      </c>
      <c r="Q827" s="8" t="inlineStr">
        <is>
          <t>Ver</t>
        </is>
      </c>
      <c r="R827" s="8" t="inlineStr">
        <is>
          <t>PCAP</t>
        </is>
      </c>
      <c r="S827" s="9" t="n">
        <v>46318</v>
      </c>
      <c r="T827" s="3" t="n">
        <v>46317.37971064815</v>
      </c>
      <c r="U827" s="2" t="n"/>
    </row>
    <row r="828">
      <c r="A828" s="2" t="inlineStr">
        <is>
          <t>Resuelta</t>
        </is>
      </c>
      <c r="B828" s="3" t="n"/>
      <c r="C828" s="5" t="n">
        <v>0</v>
      </c>
      <c r="D828" s="5" t="n">
        <v>5953500</v>
      </c>
      <c r="E828" s="2" t="inlineStr">
        <is>
          <t>Andalucía</t>
        </is>
      </c>
      <c r="F828" s="2" t="n"/>
      <c r="G828" s="2" t="n"/>
      <c r="H828" s="2" t="inlineStr">
        <is>
          <t>ADIF Alta Velocidad - Presidencia</t>
        </is>
      </c>
      <c r="I828" s="2" t="inlineStr">
        <is>
          <t>Emergencia de las obras y de los servicios de estabilización del talud situado entre los puntos kilométricos 120+849 al 121+389, de la línea de Alta Velocidad 030 Córdoba – Málaga.Obra</t>
        </is>
      </c>
      <c r="J828" s="2" t="inlineStr">
        <is>
          <t>3.26/20810.0034</t>
        </is>
      </c>
      <c r="K828" s="2" t="inlineStr">
        <is>
          <t>Negociado sin publicidad</t>
        </is>
      </c>
      <c r="L828" s="6" t="n">
        <v>4</v>
      </c>
      <c r="M828" s="2" t="n"/>
      <c r="N828" s="7" t="n">
        <v>0</v>
      </c>
      <c r="O828" s="4" t="n"/>
      <c r="P828" s="2" t="inlineStr">
        <is>
          <t>45450000</t>
        </is>
      </c>
      <c r="Q828" s="8" t="inlineStr">
        <is>
          <t>Ver</t>
        </is>
      </c>
      <c r="R828" s="2" t="n"/>
      <c r="S828" s="9" t="n">
        <v>46310</v>
      </c>
      <c r="T828" s="3" t="n">
        <v>46317.37876157407</v>
      </c>
      <c r="U828" s="2" t="inlineStr">
        <is>
          <t>2026-10-23: estado ADJ → RES</t>
        </is>
      </c>
    </row>
    <row r="829">
      <c r="A829" s="2" t="inlineStr">
        <is>
          <t>Resuelta</t>
        </is>
      </c>
      <c r="B829" s="3" t="n">
        <v>45777.58333333334</v>
      </c>
      <c r="C829" s="5" t="n">
        <v>852834.4399999999</v>
      </c>
      <c r="D829" s="5" t="n">
        <v>1023401.33</v>
      </c>
      <c r="E829" s="2" t="inlineStr">
        <is>
          <t>Comunitat Valenciana</t>
        </is>
      </c>
      <c r="F829" s="2" t="n"/>
      <c r="G829" s="2" t="n"/>
      <c r="H829" s="2" t="inlineStr">
        <is>
          <t>Subsecretaría - Conselleria de Justicia y Administración Pública de la Generalitat Valenciana</t>
        </is>
      </c>
      <c r="I829" s="2" t="inlineStr">
        <is>
          <t>Obras de reforma, sustitución y modernización de los sistemas de detección de incendios Ciudad de la Justicia de Castellón, Palacio de Justicia de Elche y Sede Judicial de Pardo Gimeno 43 de Alicante, adscritas a la Conselleria de Justicia.</t>
        </is>
      </c>
      <c r="J829" s="2" t="inlineStr">
        <is>
          <t>CMAYOR/2024/15Y04/0050</t>
        </is>
      </c>
      <c r="K829" s="2" t="inlineStr">
        <is>
          <t>Abierto simplificado</t>
        </is>
      </c>
      <c r="L829" s="6" t="n">
        <v>15</v>
      </c>
      <c r="M829" s="2" t="n"/>
      <c r="N829" s="7" t="n">
        <v>0</v>
      </c>
      <c r="O829" s="4" t="n">
        <v>3</v>
      </c>
      <c r="P829" s="2" t="inlineStr">
        <is>
          <t>45343000</t>
        </is>
      </c>
      <c r="Q829" s="8" t="inlineStr">
        <is>
          <t>Ver</t>
        </is>
      </c>
      <c r="R829" s="8" t="inlineStr">
        <is>
          <t>PCAP</t>
        </is>
      </c>
      <c r="S829" s="9" t="n">
        <v>46318</v>
      </c>
      <c r="T829" s="3" t="n">
        <v>46317.37545138889</v>
      </c>
      <c r="U829" s="2" t="n"/>
    </row>
    <row r="830">
      <c r="A830" s="2" t="inlineStr">
        <is>
          <t>Resuelta</t>
        </is>
      </c>
      <c r="B830" s="3" t="n">
        <v>45184.5</v>
      </c>
      <c r="C830" s="5" t="n">
        <v>12556641.66</v>
      </c>
      <c r="D830" s="5" t="n">
        <v>12556641.66</v>
      </c>
      <c r="E830" s="2" t="inlineStr">
        <is>
          <t>Andalucía</t>
        </is>
      </c>
      <c r="F830" s="2" t="inlineStr">
        <is>
          <t>Cádiz</t>
        </is>
      </c>
      <c r="G830" s="2" t="n"/>
      <c r="H830" s="2" t="inlineStr">
        <is>
          <t>Consejo de Administración de la Sociedad de Infraestructuras y Equipamientos Penitenciarios y de la Seguridad del Estado, S.M.E., S.A</t>
        </is>
      </c>
      <c r="I830" s="2" t="inlineStr">
        <is>
          <t>Obra de la Comisaría Local de la Policía Nacional en El Puerto de Santa María (Cádiz) (23.031.NPN2007.OB.02)</t>
        </is>
      </c>
      <c r="J830" s="2" t="inlineStr">
        <is>
          <t>23.031.NPN2007.OB.02</t>
        </is>
      </c>
      <c r="K830" s="2" t="inlineStr">
        <is>
          <t>Abierto</t>
        </is>
      </c>
      <c r="L830" s="6" t="n">
        <v>18</v>
      </c>
      <c r="M830" s="2" t="inlineStr">
        <is>
          <t>C*-6</t>
        </is>
      </c>
      <c r="N830" s="7" t="n">
        <v>0.3</v>
      </c>
      <c r="O830" s="4" t="n"/>
      <c r="P830" s="2" t="inlineStr">
        <is>
          <t>45216110</t>
        </is>
      </c>
      <c r="Q830" s="8" t="inlineStr">
        <is>
          <t>Ver</t>
        </is>
      </c>
      <c r="R830" s="8" t="inlineStr">
        <is>
          <t>PCAP</t>
        </is>
      </c>
      <c r="S830" s="9" t="n">
        <v>46317</v>
      </c>
      <c r="T830" s="3" t="n">
        <v>46317.375</v>
      </c>
      <c r="U830" s="2" t="n"/>
    </row>
    <row r="831">
      <c r="A831" s="2" t="inlineStr">
        <is>
          <t>Pendiente de adjudicación</t>
        </is>
      </c>
      <c r="B831" s="3" t="n">
        <v>46309.99930555555</v>
      </c>
      <c r="C831" s="5" t="n">
        <v>116066.62</v>
      </c>
      <c r="D831" s="5" t="n">
        <v>116066.62</v>
      </c>
      <c r="E831" s="2" t="inlineStr">
        <is>
          <t>Comunitat Valenciana</t>
        </is>
      </c>
      <c r="F831" s="2" t="inlineStr">
        <is>
          <t>Valencia</t>
        </is>
      </c>
      <c r="G831" s="2" t="inlineStr">
        <is>
          <t>Cullera</t>
        </is>
      </c>
      <c r="H831" s="2" t="inlineStr">
        <is>
          <t>Alcaldía del Ayuntamiento de Cullera</t>
        </is>
      </c>
      <c r="I831" s="2" t="inlineStr">
        <is>
          <t>Contrato de obras de ejecución del plan de mejora y acondicionamiento de firmes 2026</t>
        </is>
      </c>
      <c r="J831" s="2" t="inlineStr">
        <is>
          <t>2961261N</t>
        </is>
      </c>
      <c r="K831" s="2" t="inlineStr">
        <is>
          <t>Abierto simplificado</t>
        </is>
      </c>
      <c r="L831" s="6" t="n">
        <v>1</v>
      </c>
      <c r="M831" s="2" t="n"/>
      <c r="N831" s="7" t="n">
        <v>0</v>
      </c>
      <c r="O831" s="4" t="n"/>
      <c r="P831" s="2" t="inlineStr">
        <is>
          <t>45233222; 45233223; 45233252</t>
        </is>
      </c>
      <c r="Q831" s="8" t="inlineStr">
        <is>
          <t>Ver</t>
        </is>
      </c>
      <c r="R831" s="8" t="inlineStr">
        <is>
          <t>PCAP</t>
        </is>
      </c>
      <c r="S831" s="9" t="n">
        <v>46318</v>
      </c>
      <c r="T831" s="3" t="n">
        <v>46317.37431712963</v>
      </c>
      <c r="U831" s="2" t="n"/>
    </row>
    <row r="832">
      <c r="A832" s="2" t="inlineStr">
        <is>
          <t>Resuelta</t>
        </is>
      </c>
      <c r="B832" s="3" t="n">
        <v>46266.58333333334</v>
      </c>
      <c r="C832" s="5" t="n">
        <v>223026.23</v>
      </c>
      <c r="D832" s="5" t="n">
        <v>269861.74</v>
      </c>
      <c r="E832" s="2" t="inlineStr">
        <is>
          <t>Andalucía</t>
        </is>
      </c>
      <c r="F832" s="2" t="inlineStr">
        <is>
          <t>Sevilla</t>
        </is>
      </c>
      <c r="G832" s="2" t="n"/>
      <c r="H832" s="2" t="inlineStr">
        <is>
          <t>Alcaldía del Ayuntamiento de Gilena</t>
        </is>
      </c>
      <c r="I832" s="2" t="inlineStr">
        <is>
          <t>obra campo de futbol</t>
        </is>
      </c>
      <c r="J832" s="2" t="inlineStr">
        <is>
          <t>245-2024</t>
        </is>
      </c>
      <c r="K832" s="2" t="inlineStr">
        <is>
          <t>Abierto simplificado</t>
        </is>
      </c>
      <c r="L832" s="6" t="n">
        <v>2</v>
      </c>
      <c r="M832" s="2" t="n"/>
      <c r="N832" s="7" t="n">
        <v>0</v>
      </c>
      <c r="O832" s="4" t="n"/>
      <c r="P832" s="2" t="inlineStr">
        <is>
          <t>45212200</t>
        </is>
      </c>
      <c r="Q832" s="8" t="inlineStr">
        <is>
          <t>Ver</t>
        </is>
      </c>
      <c r="R832" s="8" t="inlineStr">
        <is>
          <t>PCAP</t>
        </is>
      </c>
      <c r="S832" s="9" t="n">
        <v>46318</v>
      </c>
      <c r="T832" s="3" t="n">
        <v>46317.36861111111</v>
      </c>
      <c r="U832" s="2" t="n"/>
    </row>
    <row r="833">
      <c r="A833" s="2" t="inlineStr">
        <is>
          <t>En plazo</t>
        </is>
      </c>
      <c r="B833" s="3" t="n">
        <v>46337.99930555555</v>
      </c>
      <c r="C833" s="5" t="n">
        <v>119000</v>
      </c>
      <c r="D833" s="5" t="n">
        <v>119000</v>
      </c>
      <c r="E833" s="2" t="inlineStr">
        <is>
          <t>Andalucía</t>
        </is>
      </c>
      <c r="F833" s="2" t="inlineStr">
        <is>
          <t>Jaén</t>
        </is>
      </c>
      <c r="G833" s="2" t="inlineStr">
        <is>
          <t>Vilches</t>
        </is>
      </c>
      <c r="H833" s="2" t="inlineStr">
        <is>
          <t>Alcaldía del Ayuntamiento de Vilches</t>
        </is>
      </c>
      <c r="I833" s="2" t="inlineStr">
        <is>
          <t>Obras de reparación, restitución, reconstrucción, mejora y ampliación de la Calle Primero de Mayo</t>
        </is>
      </c>
      <c r="J833" s="2" t="inlineStr">
        <is>
          <t>2520/2026</t>
        </is>
      </c>
      <c r="K833" s="2" t="inlineStr">
        <is>
          <t>Abierto simplificado</t>
        </is>
      </c>
      <c r="L833" s="6" t="n">
        <v>2</v>
      </c>
      <c r="M833" s="2" t="n"/>
      <c r="N833" s="7" t="n">
        <v>0</v>
      </c>
      <c r="O833" s="4" t="n"/>
      <c r="P833" s="2" t="inlineStr">
        <is>
          <t>45233252; 45233140</t>
        </is>
      </c>
      <c r="Q833" s="8" t="inlineStr">
        <is>
          <t>Ver</t>
        </is>
      </c>
      <c r="R833" s="8" t="inlineStr">
        <is>
          <t>PCAP</t>
        </is>
      </c>
      <c r="S833" s="9" t="n">
        <v>46318</v>
      </c>
      <c r="T833" s="3" t="n">
        <v>46317.36817129629</v>
      </c>
      <c r="U833" s="2" t="n"/>
    </row>
    <row r="834">
      <c r="A834" s="2" t="inlineStr">
        <is>
          <t>Pendiente de adjudicación</t>
        </is>
      </c>
      <c r="B834" s="3" t="n">
        <v>46293.99930555555</v>
      </c>
      <c r="C834" s="5" t="n">
        <v>72985.21000000001</v>
      </c>
      <c r="D834" s="5" t="n">
        <v>72985.21000000001</v>
      </c>
      <c r="E834" s="2" t="inlineStr">
        <is>
          <t>Andalucía</t>
        </is>
      </c>
      <c r="F834" s="2" t="inlineStr">
        <is>
          <t>Granada</t>
        </is>
      </c>
      <c r="G834" s="2" t="n"/>
      <c r="H834" s="2" t="inlineStr">
        <is>
          <t>Alcaldía del Ayuntamiento de Vegas del Genil</t>
        </is>
      </c>
      <c r="I834" s="2" t="inlineStr">
        <is>
          <t>Acondicionamiento de la calzada de la C/ Escuelas y Camino Ricardo Dolz del Castellar</t>
        </is>
      </c>
      <c r="J834" s="2" t="inlineStr">
        <is>
          <t>3614/2026</t>
        </is>
      </c>
      <c r="K834" s="2" t="inlineStr">
        <is>
          <t>Abierto simplificado</t>
        </is>
      </c>
      <c r="L834" s="6" t="n">
        <v>3</v>
      </c>
      <c r="M834" s="2" t="n"/>
      <c r="N834" s="7" t="n">
        <v>0</v>
      </c>
      <c r="O834" s="4" t="n"/>
      <c r="P834" s="2" t="inlineStr">
        <is>
          <t>45233222; 45233223</t>
        </is>
      </c>
      <c r="Q834" s="8" t="inlineStr">
        <is>
          <t>Ver</t>
        </is>
      </c>
      <c r="R834" s="8" t="inlineStr">
        <is>
          <t>PCAP</t>
        </is>
      </c>
      <c r="S834" s="9" t="n">
        <v>46318</v>
      </c>
      <c r="T834" s="3" t="n">
        <v>46317.36287037037</v>
      </c>
      <c r="U834" s="2" t="n"/>
    </row>
    <row r="835">
      <c r="A835" s="2" t="inlineStr">
        <is>
          <t>Adjudicada</t>
        </is>
      </c>
      <c r="B835" s="3" t="n">
        <v>46225.99930555555</v>
      </c>
      <c r="C835" s="5" t="n">
        <v>78570.46000000001</v>
      </c>
      <c r="D835" s="5" t="n">
        <v>78570.46000000001</v>
      </c>
      <c r="E835" s="2" t="inlineStr">
        <is>
          <t>Andalucía</t>
        </is>
      </c>
      <c r="F835" s="2" t="inlineStr">
        <is>
          <t>Málaga</t>
        </is>
      </c>
      <c r="G835" s="2" t="n"/>
      <c r="H835" s="2" t="inlineStr">
        <is>
          <t>Gerente de la Gerencia Municipal de Urbanismo del Ayuntamiento de Málaga</t>
        </is>
      </c>
      <c r="I835" s="2" t="inlineStr">
        <is>
          <t>Obras del Proyecto de reparación de patologías en la sala de tambores y cornetas del Ayuntamiento de Málaga.</t>
        </is>
      </c>
      <c r="J835" s="2" t="inlineStr">
        <is>
          <t>OB-005/26</t>
        </is>
      </c>
      <c r="K835" s="2" t="inlineStr">
        <is>
          <t>Abierto simplificado</t>
        </is>
      </c>
      <c r="L835" s="6" t="n">
        <v>3</v>
      </c>
      <c r="M835" s="2" t="n"/>
      <c r="N835" s="7" t="n">
        <v>0</v>
      </c>
      <c r="O835" s="4" t="n"/>
      <c r="P835" s="2" t="inlineStr">
        <is>
          <t>45111100; 45430000; 45261213; 45262520; 45261300; 45442121; 45261910; 45261200</t>
        </is>
      </c>
      <c r="Q835" s="8" t="inlineStr">
        <is>
          <t>Ver</t>
        </is>
      </c>
      <c r="R835" s="8" t="inlineStr">
        <is>
          <t>PCAP</t>
        </is>
      </c>
      <c r="S835" s="9" t="n">
        <v>46318</v>
      </c>
      <c r="T835" s="3" t="n">
        <v>46317.35248842592</v>
      </c>
      <c r="U835" s="2" t="n"/>
    </row>
    <row r="836">
      <c r="A836" s="2" t="inlineStr">
        <is>
          <t>Pendiente de adjudicación</t>
        </is>
      </c>
      <c r="B836" s="3" t="n">
        <v>46255.99930555555</v>
      </c>
      <c r="C836" s="5" t="n">
        <v>1354509.35</v>
      </c>
      <c r="D836" s="5" t="n">
        <v>1354509.35</v>
      </c>
      <c r="E836" s="2" t="inlineStr">
        <is>
          <t>Andalucía</t>
        </is>
      </c>
      <c r="F836" s="2" t="inlineStr">
        <is>
          <t>Sevilla</t>
        </is>
      </c>
      <c r="G836" s="2" t="n"/>
      <c r="H836" s="2" t="inlineStr">
        <is>
          <t>Presidencia de la Diputación Provincial de Sevilla</t>
        </is>
      </c>
      <c r="I836" s="2" t="inlineStr">
        <is>
          <t>Obras para la mejora de la red de abastecimiento de agua potable en alta, desde la captación al depósito general, Estepa (Sevilla)</t>
        </is>
      </c>
      <c r="J836" s="2" t="inlineStr">
        <is>
          <t>2026/000329-PAAS</t>
        </is>
      </c>
      <c r="K836" s="2" t="inlineStr">
        <is>
          <t>Abierto simplificado</t>
        </is>
      </c>
      <c r="L836" s="6" t="n">
        <v>6</v>
      </c>
      <c r="M836" s="2" t="inlineStr">
        <is>
          <t>E1-4</t>
        </is>
      </c>
      <c r="N836" s="7" t="n">
        <v>0.25</v>
      </c>
      <c r="O836" s="4" t="n"/>
      <c r="P836" s="2" t="inlineStr">
        <is>
          <t>45240000; 45232150</t>
        </is>
      </c>
      <c r="Q836" s="8" t="inlineStr">
        <is>
          <t>Ver</t>
        </is>
      </c>
      <c r="R836" s="8" t="inlineStr">
        <is>
          <t>PCAP</t>
        </is>
      </c>
      <c r="S836" s="9" t="n">
        <v>46310</v>
      </c>
      <c r="T836" s="3" t="n">
        <v>46317.34703703703</v>
      </c>
      <c r="U836" s="2" t="n"/>
    </row>
    <row r="837">
      <c r="A837" s="2" t="inlineStr">
        <is>
          <t>Pendiente de adjudicación</t>
        </is>
      </c>
      <c r="B837" s="3" t="n">
        <v>46027.99930555555</v>
      </c>
      <c r="C837" s="5" t="n">
        <v>2262267.92</v>
      </c>
      <c r="D837" s="5" t="n">
        <v>2262267.92</v>
      </c>
      <c r="E837" s="2" t="inlineStr">
        <is>
          <t>Comunitat Valenciana</t>
        </is>
      </c>
      <c r="F837" s="2" t="inlineStr">
        <is>
          <t>Valencia</t>
        </is>
      </c>
      <c r="G837" s="2" t="inlineStr">
        <is>
          <t>Chiva</t>
        </is>
      </c>
      <c r="H837" s="2" t="inlineStr">
        <is>
          <t>Junta de Gobierno del Ayuntamiento de Chiva</t>
        </is>
      </c>
      <c r="I837" s="2" t="inlineStr">
        <is>
          <t>Obras incluidas en el Proyecto "Renovación de las instalaciones de alumbrado público exterior del municipio de Chiva"</t>
        </is>
      </c>
      <c r="J837" s="2" t="inlineStr">
        <is>
          <t>9284/2025</t>
        </is>
      </c>
      <c r="K837" s="2" t="inlineStr">
        <is>
          <t>Abierto</t>
        </is>
      </c>
      <c r="L837" s="6" t="n">
        <v>9</v>
      </c>
      <c r="M837" s="2" t="inlineStr">
        <is>
          <t>I*-4</t>
        </is>
      </c>
      <c r="N837" s="7" t="n">
        <v>0.25</v>
      </c>
      <c r="O837" s="4" t="n"/>
      <c r="P837" s="2" t="inlineStr">
        <is>
          <t>45316100; 50232100; 71314200</t>
        </is>
      </c>
      <c r="Q837" s="8" t="inlineStr">
        <is>
          <t>Ver</t>
        </is>
      </c>
      <c r="R837" s="8" t="inlineStr">
        <is>
          <t>PCAP</t>
        </is>
      </c>
      <c r="S837" s="9" t="n">
        <v>46318</v>
      </c>
      <c r="T837" s="3" t="n">
        <v>46317.34699074074</v>
      </c>
      <c r="U837" s="2" t="n"/>
    </row>
    <row r="838">
      <c r="A838" s="2" t="inlineStr">
        <is>
          <t>Resuelta</t>
        </is>
      </c>
      <c r="B838" s="3" t="n">
        <v>46262.5</v>
      </c>
      <c r="C838" s="5" t="n">
        <v>133502.36</v>
      </c>
      <c r="D838" s="5" t="n">
        <v>160202.83</v>
      </c>
      <c r="E838" s="2" t="inlineStr">
        <is>
          <t>Comunitat Valenciana</t>
        </is>
      </c>
      <c r="F838" s="2" t="inlineStr">
        <is>
          <t>Valencia</t>
        </is>
      </c>
      <c r="G838" s="2" t="inlineStr">
        <is>
          <t>València</t>
        </is>
      </c>
      <c r="H838" s="2" t="inlineStr">
        <is>
          <t>Rectorado de la Universitat de València</t>
        </is>
      </c>
      <c r="I838" s="2" t="inlineStr">
        <is>
          <t>Renovación de ascensores gemelares de la Facultat de Fisioteràpia i Ciències de l´Activitat Física i l´Esport</t>
        </is>
      </c>
      <c r="J838" s="2" t="inlineStr">
        <is>
          <t>2026OB00010</t>
        </is>
      </c>
      <c r="K838" s="2" t="inlineStr">
        <is>
          <t>Abierto simplificado</t>
        </is>
      </c>
      <c r="L838" s="6" t="n">
        <v>2</v>
      </c>
      <c r="M838" s="2" t="inlineStr">
        <is>
          <t>I9-1</t>
        </is>
      </c>
      <c r="N838" s="7" t="n">
        <v>0</v>
      </c>
      <c r="O838" s="4" t="n"/>
      <c r="P838" s="2" t="inlineStr">
        <is>
          <t>45313100</t>
        </is>
      </c>
      <c r="Q838" s="8" t="inlineStr">
        <is>
          <t>Ver</t>
        </is>
      </c>
      <c r="R838" s="8" t="inlineStr">
        <is>
          <t>PCAP</t>
        </is>
      </c>
      <c r="S838" s="9" t="n">
        <v>46318</v>
      </c>
      <c r="T838" s="3" t="n">
        <v>46317.34517361111</v>
      </c>
      <c r="U838" s="2" t="n"/>
    </row>
    <row r="839">
      <c r="A839" s="2" t="inlineStr">
        <is>
          <t>Pendiente de adjudicación</t>
        </is>
      </c>
      <c r="B839" s="3" t="n">
        <v>46289.99930555555</v>
      </c>
      <c r="C839" s="5" t="n">
        <v>48781.49</v>
      </c>
      <c r="D839" s="5" t="n">
        <v>48781.49</v>
      </c>
      <c r="E839" s="2" t="inlineStr">
        <is>
          <t>Andalucía</t>
        </is>
      </c>
      <c r="F839" s="2" t="inlineStr">
        <is>
          <t>Cádiz</t>
        </is>
      </c>
      <c r="G839" s="2" t="inlineStr">
        <is>
          <t>Puerto Real</t>
        </is>
      </c>
      <c r="H839" s="2" t="inlineStr">
        <is>
          <t>Alcaldía del Ayuntamiento de Puerto Real</t>
        </is>
      </c>
      <c r="I839" s="2" t="inlineStr">
        <is>
          <t>B/002/2026: Obras de restitución y refuerzo de infraestructuras de contención y pavimentación en los patios de infantil y primaria del Ceip Trocadero de Puerto Real.</t>
        </is>
      </c>
      <c r="J839" s="2" t="inlineStr">
        <is>
          <t>9980/2026</t>
        </is>
      </c>
      <c r="K839" s="2" t="inlineStr">
        <is>
          <t>Abierto simplificado</t>
        </is>
      </c>
      <c r="L839" s="6" t="n">
        <v>1.5</v>
      </c>
      <c r="M839" s="2" t="n"/>
      <c r="N839" s="7" t="n">
        <v>0.2</v>
      </c>
      <c r="O839" s="4" t="n"/>
      <c r="P839" s="2" t="inlineStr">
        <is>
          <t>45233222; 45112500; 45214200; 45262620; 45261420</t>
        </is>
      </c>
      <c r="Q839" s="8" t="inlineStr">
        <is>
          <t>Ver</t>
        </is>
      </c>
      <c r="R839" s="8" t="inlineStr">
        <is>
          <t>PCAP</t>
        </is>
      </c>
      <c r="S839" s="9" t="n">
        <v>46310</v>
      </c>
      <c r="T839" s="3" t="n">
        <v>46317.3391087963</v>
      </c>
      <c r="U839" s="2" t="n"/>
    </row>
    <row r="840">
      <c r="A840" s="2" t="inlineStr">
        <is>
          <t>Resuelta</t>
        </is>
      </c>
      <c r="B840" s="3" t="n">
        <v>46274.58333333334</v>
      </c>
      <c r="C840" s="5" t="n">
        <v>70249.32000000001</v>
      </c>
      <c r="D840" s="5" t="n">
        <v>70249.32000000001</v>
      </c>
      <c r="E840" s="2" t="inlineStr">
        <is>
          <t>Andalucía</t>
        </is>
      </c>
      <c r="F840" s="2" t="inlineStr">
        <is>
          <t>Sevilla</t>
        </is>
      </c>
      <c r="G840" s="2" t="inlineStr">
        <is>
          <t>Isla de la Cartuja Sevilla (Sevilla)</t>
        </is>
      </c>
      <c r="H840" s="2" t="inlineStr">
        <is>
          <t>Secretaría General de la Agencia Estatal Consejo Superior de Investigaciones Científicas</t>
        </is>
      </c>
      <c r="I840" s="2" t="inlineStr">
        <is>
          <t>Obras de sustitución de abastecimiento para BIEs de protección contra incendios en edificio principal de la Estación Biológica de Doñana e Instituto de Microelectrónica de Sevilla</t>
        </is>
      </c>
      <c r="J840" s="2" t="inlineStr">
        <is>
          <t>34447/26</t>
        </is>
      </c>
      <c r="K840" s="2" t="inlineStr">
        <is>
          <t>Abierto simplificado</t>
        </is>
      </c>
      <c r="L840" s="6" t="n">
        <v>2</v>
      </c>
      <c r="M840" s="2" t="n"/>
      <c r="N840" s="7" t="n">
        <v>0</v>
      </c>
      <c r="O840" s="4" t="n"/>
      <c r="P840" s="2" t="inlineStr">
        <is>
          <t>45343200</t>
        </is>
      </c>
      <c r="Q840" s="8" t="inlineStr">
        <is>
          <t>Ver</t>
        </is>
      </c>
      <c r="R840" s="8" t="inlineStr">
        <is>
          <t>PCAP</t>
        </is>
      </c>
      <c r="S840" s="9" t="n">
        <v>46315</v>
      </c>
      <c r="T840" s="3" t="n">
        <v>46317.33690972222</v>
      </c>
      <c r="U840" s="2" t="n"/>
    </row>
    <row r="841">
      <c r="A841" s="2" t="inlineStr">
        <is>
          <t>Pendiente de adjudicación</t>
        </is>
      </c>
      <c r="B841" s="3" t="n">
        <v>46258.58333333334</v>
      </c>
      <c r="C841" s="5" t="n">
        <v>363288.3</v>
      </c>
      <c r="D841" s="5" t="n">
        <v>363288.3</v>
      </c>
      <c r="E841" s="2" t="inlineStr">
        <is>
          <t>Comunitat Valenciana</t>
        </is>
      </c>
      <c r="F841" s="2" t="inlineStr">
        <is>
          <t>Valencia</t>
        </is>
      </c>
      <c r="G841" s="2" t="inlineStr">
        <is>
          <t>Requena</t>
        </is>
      </c>
      <c r="H841" s="2" t="inlineStr">
        <is>
          <t>Junta de Gobierno Local del Ayuntamiento de Requena</t>
        </is>
      </c>
      <c r="I841" s="2" t="inlineStr">
        <is>
          <t>Obras de demolición de edificios en las calles Villajoyosa, Rafael Bernabeu López, Conde Vallellano y Luis Verdú López</t>
        </is>
      </c>
      <c r="J841" s="2" t="inlineStr">
        <is>
          <t>2814402R</t>
        </is>
      </c>
      <c r="K841" s="2" t="inlineStr">
        <is>
          <t>Abierto simplificado</t>
        </is>
      </c>
      <c r="L841" s="6" t="n">
        <v>6</v>
      </c>
      <c r="M841" s="2" t="n"/>
      <c r="N841" s="7" t="n">
        <v>0</v>
      </c>
      <c r="O841" s="4" t="n"/>
      <c r="P841" s="2" t="inlineStr">
        <is>
          <t>45110000</t>
        </is>
      </c>
      <c r="Q841" s="8" t="inlineStr">
        <is>
          <t>Ver</t>
        </is>
      </c>
      <c r="R841" s="8" t="inlineStr">
        <is>
          <t>PCAP</t>
        </is>
      </c>
      <c r="S841" s="9" t="n">
        <v>46318</v>
      </c>
      <c r="T841" s="3" t="n">
        <v>46317.33508101852</v>
      </c>
      <c r="U841" s="2" t="n"/>
    </row>
    <row r="842">
      <c r="A842" s="2" t="inlineStr">
        <is>
          <t>Pendiente de adjudicación</t>
        </is>
      </c>
      <c r="B842" s="3" t="n">
        <v>46316.99930555555</v>
      </c>
      <c r="C842" s="5" t="n">
        <v>56619.5</v>
      </c>
      <c r="D842" s="5" t="n">
        <v>56619.5</v>
      </c>
      <c r="E842" s="2" t="inlineStr">
        <is>
          <t>Comunitat Valenciana</t>
        </is>
      </c>
      <c r="F842" s="2" t="inlineStr">
        <is>
          <t>Castellón</t>
        </is>
      </c>
      <c r="G842" s="2" t="n"/>
      <c r="H842" s="2" t="inlineStr">
        <is>
          <t>Dirección General del Aeropuerto de Castellón</t>
        </is>
      </c>
      <c r="I842" s="2" t="inlineStr">
        <is>
          <t>Contratación de la obra de adecuación de la acometida de agua potable en torre de control y zona industrial del Aeropuerto de Castellón S.L.</t>
        </is>
      </c>
      <c r="J842" s="2" t="inlineStr">
        <is>
          <t>CMAYOR/2026/AEROC/464</t>
        </is>
      </c>
      <c r="K842" s="2" t="inlineStr">
        <is>
          <t>Abierto simplificado</t>
        </is>
      </c>
      <c r="L842" s="6" t="n">
        <v>3</v>
      </c>
      <c r="M842" s="2" t="n"/>
      <c r="N842" s="7" t="n">
        <v>0</v>
      </c>
      <c r="O842" s="4" t="n">
        <v>3</v>
      </c>
      <c r="P842" s="2" t="inlineStr">
        <is>
          <t>45232150; 42912310; 90920000; 65111000</t>
        </is>
      </c>
      <c r="Q842" s="8" t="inlineStr">
        <is>
          <t>Ver</t>
        </is>
      </c>
      <c r="R842" s="8" t="inlineStr">
        <is>
          <t>PCAP</t>
        </is>
      </c>
      <c r="S842" s="9" t="n">
        <v>46318</v>
      </c>
      <c r="T842" s="3" t="n">
        <v>46317.3341087963</v>
      </c>
      <c r="U842" s="2" t="n"/>
    </row>
    <row r="843">
      <c r="A843" s="2" t="inlineStr">
        <is>
          <t>Pendiente de adjudicación</t>
        </is>
      </c>
      <c r="B843" s="3" t="n">
        <v>46287.99930555555</v>
      </c>
      <c r="C843" s="5" t="n">
        <v>479338.84</v>
      </c>
      <c r="D843" s="5" t="n">
        <v>479338.84</v>
      </c>
      <c r="E843" s="2" t="inlineStr">
        <is>
          <t>Andalucía</t>
        </is>
      </c>
      <c r="F843" s="2" t="inlineStr">
        <is>
          <t>Córdoba</t>
        </is>
      </c>
      <c r="G843" s="2" t="n"/>
      <c r="H843" s="2" t="inlineStr">
        <is>
          <t>Junta de Gobierno de la Diputación Provincial de Córdoba</t>
        </is>
      </c>
      <c r="I843" s="2" t="inlineStr">
        <is>
          <t>Refuerzo del firme de la CO-6413 "de la CO-6411 a el Puerto del Caballón" entre los pp.kk 24+000 y 32+160 (Córdoba)</t>
        </is>
      </c>
      <c r="J843" s="2" t="inlineStr">
        <is>
          <t>701/26</t>
        </is>
      </c>
      <c r="K843" s="2" t="inlineStr">
        <is>
          <t>Abierto</t>
        </is>
      </c>
      <c r="L843" s="6" t="n">
        <v>1</v>
      </c>
      <c r="M843" s="2" t="n"/>
      <c r="N843" s="7" t="n">
        <v>0.4</v>
      </c>
      <c r="O843" s="4" t="n"/>
      <c r="P843" s="2" t="inlineStr">
        <is>
          <t>45233000; 45233140</t>
        </is>
      </c>
      <c r="Q843" s="8" t="inlineStr">
        <is>
          <t>Ver</t>
        </is>
      </c>
      <c r="R843" s="8" t="inlineStr">
        <is>
          <t>PCAP</t>
        </is>
      </c>
      <c r="S843" s="9" t="n">
        <v>46310</v>
      </c>
      <c r="T843" s="3" t="n">
        <v>46317.33049768519</v>
      </c>
      <c r="U843" s="2" t="n"/>
    </row>
    <row r="844">
      <c r="A844" s="2" t="inlineStr">
        <is>
          <t>Resuelta</t>
        </is>
      </c>
      <c r="B844" s="3" t="n"/>
      <c r="C844" s="5" t="n">
        <v>83000.33</v>
      </c>
      <c r="D844" s="5" t="n">
        <v>83000.33</v>
      </c>
      <c r="E844" s="2" t="inlineStr">
        <is>
          <t>Andalucía</t>
        </is>
      </c>
      <c r="F844" s="2" t="inlineStr">
        <is>
          <t>Málaga</t>
        </is>
      </c>
      <c r="G844" s="2" t="n"/>
      <c r="H844" s="2" t="inlineStr">
        <is>
          <t>Concejalía Delegada de la Presidencia de la Junta Municipal del Distrito nº 5, Palma Palmilla del Ayuntamiento de Málaga</t>
        </is>
      </c>
      <c r="I844" s="2" t="inlineStr">
        <is>
          <t>Remodelación Plaza Mark Twain</t>
        </is>
      </c>
      <c r="J844" s="2" t="inlineStr">
        <is>
          <t>108/23/BASADO/77</t>
        </is>
      </c>
      <c r="K844" s="2" t="inlineStr">
        <is>
          <t>Abierto</t>
        </is>
      </c>
      <c r="L844" s="6" t="n">
        <v>3</v>
      </c>
      <c r="M844" s="2" t="n"/>
      <c r="N844" s="7" t="n">
        <v>0</v>
      </c>
      <c r="O844" s="4" t="n"/>
      <c r="P844" s="2" t="inlineStr">
        <is>
          <t>45000000</t>
        </is>
      </c>
      <c r="Q844" s="8" t="inlineStr">
        <is>
          <t>Ver</t>
        </is>
      </c>
      <c r="R844" s="2" t="n"/>
      <c r="S844" s="9" t="n">
        <v>46318</v>
      </c>
      <c r="T844" s="3" t="n">
        <v>46317.32913194445</v>
      </c>
      <c r="U844" s="2" t="n"/>
    </row>
    <row r="845">
      <c r="A845" s="2" t="inlineStr">
        <is>
          <t>Pendiente de adjudicación</t>
        </is>
      </c>
      <c r="B845" s="3" t="n">
        <v>46283.45833333334</v>
      </c>
      <c r="C845" s="5" t="n">
        <v>1797069.65</v>
      </c>
      <c r="D845" s="5" t="n">
        <v>1908724.51</v>
      </c>
      <c r="E845" s="2" t="inlineStr">
        <is>
          <t>Andalucía</t>
        </is>
      </c>
      <c r="F845" s="2" t="inlineStr">
        <is>
          <t>Sevilla</t>
        </is>
      </c>
      <c r="G845" s="2" t="n"/>
      <c r="H845" s="2" t="inlineStr">
        <is>
          <t>ADIF Alta Velocidad - Presidencia</t>
        </is>
      </c>
      <c r="I845" s="2" t="inlineStr">
        <is>
          <t>Obras de ejecución del proyecto constructivo para la adecuación de vías de estacionamiento y maniobras en la e stación de Sevilla Santa Justa</t>
        </is>
      </c>
      <c r="J845" s="2" t="inlineStr">
        <is>
          <t>3.26/20810.0031</t>
        </is>
      </c>
      <c r="K845" s="2" t="inlineStr">
        <is>
          <t>Abierto</t>
        </is>
      </c>
      <c r="L845" s="6" t="n">
        <v>8</v>
      </c>
      <c r="M845" s="2" t="inlineStr">
        <is>
          <t>D5-4; D1-3; D4-3</t>
        </is>
      </c>
      <c r="N845" s="7" t="n">
        <v>0.49</v>
      </c>
      <c r="O845" s="4" t="n"/>
      <c r="P845" s="2" t="inlineStr">
        <is>
          <t>45234100</t>
        </is>
      </c>
      <c r="Q845" s="8" t="inlineStr">
        <is>
          <t>Ver</t>
        </is>
      </c>
      <c r="R845" s="8" t="inlineStr">
        <is>
          <t>PCAP</t>
        </is>
      </c>
      <c r="S845" s="9" t="n">
        <v>46317</v>
      </c>
      <c r="T845" s="3" t="n">
        <v>46317.31809027777</v>
      </c>
      <c r="U845" s="2" t="n"/>
    </row>
    <row r="846">
      <c r="A846" s="2" t="inlineStr">
        <is>
          <t>Pendiente de adjudicación</t>
        </is>
      </c>
      <c r="B846" s="3" t="n">
        <v>46288.99930555555</v>
      </c>
      <c r="C846" s="5" t="n">
        <v>2067776.6</v>
      </c>
      <c r="D846" s="5" t="n">
        <v>2067776.6</v>
      </c>
      <c r="E846" s="2" t="inlineStr">
        <is>
          <t>Andalucía</t>
        </is>
      </c>
      <c r="F846" s="2" t="inlineStr">
        <is>
          <t>Almería</t>
        </is>
      </c>
      <c r="G846" s="2" t="inlineStr">
        <is>
          <t>Huércal de Almería</t>
        </is>
      </c>
      <c r="H846" s="2" t="inlineStr">
        <is>
          <t>Junta de Gobierno Local del Ayuntamiento de Huércal de Almería</t>
        </is>
      </c>
      <c r="I846" s="2" t="inlineStr">
        <is>
          <t>Ejecución de Parque de Bomberos</t>
        </is>
      </c>
      <c r="J846" s="2" t="inlineStr">
        <is>
          <t>3447/2026</t>
        </is>
      </c>
      <c r="K846" s="2" t="inlineStr">
        <is>
          <t>Abierto</t>
        </is>
      </c>
      <c r="L846" s="6" t="n">
        <v>18</v>
      </c>
      <c r="M846" s="2" t="inlineStr">
        <is>
          <t>C2-5</t>
        </is>
      </c>
      <c r="N846" s="7" t="n">
        <v>0.25</v>
      </c>
      <c r="O846" s="4" t="n"/>
      <c r="P846" s="2" t="inlineStr">
        <is>
          <t>45216121</t>
        </is>
      </c>
      <c r="Q846" s="8" t="inlineStr">
        <is>
          <t>Ver</t>
        </is>
      </c>
      <c r="R846" s="8" t="inlineStr">
        <is>
          <t>PCAP</t>
        </is>
      </c>
      <c r="S846" s="9" t="n">
        <v>46310</v>
      </c>
      <c r="T846" s="3" t="n">
        <v>46317.31037037037</v>
      </c>
      <c r="U846" s="2" t="n"/>
    </row>
    <row r="847">
      <c r="A847" s="2" t="inlineStr">
        <is>
          <t>Pendiente de adjudicación</t>
        </is>
      </c>
      <c r="B847" s="3" t="n">
        <v>46254.99930555555</v>
      </c>
      <c r="C847" s="5" t="n">
        <v>164380.56</v>
      </c>
      <c r="D847" s="5" t="n">
        <v>164380.56</v>
      </c>
      <c r="E847" s="2" t="inlineStr">
        <is>
          <t>Andalucía</t>
        </is>
      </c>
      <c r="F847" s="2" t="inlineStr">
        <is>
          <t>Málaga</t>
        </is>
      </c>
      <c r="G847" s="2" t="n"/>
      <c r="H847" s="2" t="inlineStr">
        <is>
          <t>Gerente de la Gerencia Municipal de Urbanismo del Ayuntamiento de Málaga</t>
        </is>
      </c>
      <c r="I847" s="2" t="inlineStr">
        <is>
          <t>Obras del Proyecto de renovación de Plaza Avicena. Distrito nº 7: Carretera de Cádiz</t>
        </is>
      </c>
      <c r="J847" s="2" t="inlineStr">
        <is>
          <t>OB-004/26</t>
        </is>
      </c>
      <c r="K847" s="2" t="inlineStr">
        <is>
          <t>Abierto simplificado</t>
        </is>
      </c>
      <c r="L847" s="6" t="n">
        <v>4</v>
      </c>
      <c r="M847" s="2" t="n"/>
      <c r="N847" s="7" t="n">
        <v>0</v>
      </c>
      <c r="O847" s="4" t="n"/>
      <c r="P847" s="2" t="inlineStr">
        <is>
          <t>45220000; 45233252; 45233293; 45212140</t>
        </is>
      </c>
      <c r="Q847" s="8" t="inlineStr">
        <is>
          <t>Ver</t>
        </is>
      </c>
      <c r="R847" s="8" t="inlineStr">
        <is>
          <t>PCAP</t>
        </is>
      </c>
      <c r="S847" s="9" t="n">
        <v>46318</v>
      </c>
      <c r="T847" s="3" t="n">
        <v>46316.92512731482</v>
      </c>
      <c r="U847" s="2" t="n"/>
    </row>
    <row r="848">
      <c r="A848" s="2" t="inlineStr">
        <is>
          <t>Pendiente de adjudicación</t>
        </is>
      </c>
      <c r="B848" s="3" t="n">
        <v>46244.99930555555</v>
      </c>
      <c r="C848" s="5" t="n">
        <v>116406.1</v>
      </c>
      <c r="D848" s="5" t="n">
        <v>116406.1</v>
      </c>
      <c r="E848" s="2" t="inlineStr">
        <is>
          <t>Andalucía</t>
        </is>
      </c>
      <c r="F848" s="2" t="inlineStr">
        <is>
          <t>Málaga</t>
        </is>
      </c>
      <c r="G848" s="2" t="n"/>
      <c r="H848" s="2" t="inlineStr">
        <is>
          <t>Gerente de la Gerencia Municipal de Urbanismo del Ayuntamiento de Málaga</t>
        </is>
      </c>
      <c r="I848" s="2" t="inlineStr">
        <is>
          <t>Obras del proyecto de demolición de varios edificios en avenida Pintor Sorolla nº58 a 68</t>
        </is>
      </c>
      <c r="J848" s="2" t="inlineStr">
        <is>
          <t>OB-002/26</t>
        </is>
      </c>
      <c r="K848" s="2" t="inlineStr">
        <is>
          <t>Abierto simplificado</t>
        </is>
      </c>
      <c r="L848" s="6" t="n">
        <v>1</v>
      </c>
      <c r="M848" s="2" t="n"/>
      <c r="N848" s="7" t="n">
        <v>0</v>
      </c>
      <c r="O848" s="4" t="n"/>
      <c r="P848" s="2" t="inlineStr">
        <is>
          <t>45111000</t>
        </is>
      </c>
      <c r="Q848" s="8" t="inlineStr">
        <is>
          <t>Ver</t>
        </is>
      </c>
      <c r="R848" s="8" t="inlineStr">
        <is>
          <t>PCAP</t>
        </is>
      </c>
      <c r="S848" s="9" t="n">
        <v>46318</v>
      </c>
      <c r="T848" s="3" t="n">
        <v>46316.92391203704</v>
      </c>
      <c r="U848" s="2" t="n"/>
    </row>
    <row r="849">
      <c r="A849" s="2" t="inlineStr">
        <is>
          <t>Pendiente de adjudicación</t>
        </is>
      </c>
      <c r="B849" s="3" t="n">
        <v>46267.99930555555</v>
      </c>
      <c r="C849" s="5" t="n">
        <v>129166.23</v>
      </c>
      <c r="D849" s="5" t="n">
        <v>129166.23</v>
      </c>
      <c r="E849" s="2" t="inlineStr">
        <is>
          <t>Andalucía</t>
        </is>
      </c>
      <c r="F849" s="2" t="inlineStr">
        <is>
          <t>Málaga</t>
        </is>
      </c>
      <c r="G849" s="2" t="n"/>
      <c r="H849" s="2" t="inlineStr">
        <is>
          <t>Gerente de la Gerencia Municipal de Urbanismo del Ayuntamiento de Málaga</t>
        </is>
      </c>
      <c r="I849" s="2" t="inlineStr">
        <is>
          <t>Obras de ejecución de instalaciones de recarga de vehículos eléctricos, coches y motocicletas oficiales de la Gerencia Municipal de Urbanismo, Obras e Infraestructuras del Ayuntamiento de Málaga, sita en Paseo Antonio Machado nº 12, Málaga - Proyecto acogido al Programa de Movilidad Eficiente y Sostenible MOVES III 2025.</t>
        </is>
      </c>
      <c r="J849" s="2" t="inlineStr">
        <is>
          <t>OB-021/26</t>
        </is>
      </c>
      <c r="K849" s="2" t="inlineStr">
        <is>
          <t>Abierto simplificado</t>
        </is>
      </c>
      <c r="L849" s="6" t="n">
        <v>3</v>
      </c>
      <c r="M849" s="2" t="n"/>
      <c r="N849" s="7" t="n">
        <v>0.2</v>
      </c>
      <c r="O849" s="4" t="n"/>
      <c r="P849" s="2" t="inlineStr">
        <is>
          <t>45311000; 45317000</t>
        </is>
      </c>
      <c r="Q849" s="8" t="inlineStr">
        <is>
          <t>Ver</t>
        </is>
      </c>
      <c r="R849" s="8" t="inlineStr">
        <is>
          <t>PCAP</t>
        </is>
      </c>
      <c r="S849" s="9" t="n">
        <v>46314</v>
      </c>
      <c r="T849" s="3" t="n">
        <v>46316.92226851852</v>
      </c>
      <c r="U849" s="2" t="n"/>
    </row>
    <row r="850">
      <c r="A850" s="2" t="inlineStr">
        <is>
          <t>Resuelta</t>
        </is>
      </c>
      <c r="B850" s="3" t="n">
        <v>46224.99930555555</v>
      </c>
      <c r="C850" s="5" t="n">
        <v>45454.55</v>
      </c>
      <c r="D850" s="5" t="n">
        <v>45454.55</v>
      </c>
      <c r="E850" s="2" t="inlineStr">
        <is>
          <t>Andalucía</t>
        </is>
      </c>
      <c r="F850" s="2" t="inlineStr">
        <is>
          <t>Sevilla</t>
        </is>
      </c>
      <c r="G850" s="2" t="n"/>
      <c r="H850" s="2" t="inlineStr">
        <is>
          <t>Alcaldia del Ayuntamiento de Marinaleda</t>
        </is>
      </c>
      <c r="I850" s="2" t="inlineStr">
        <is>
          <t>Asfaltado de varias calles de Marinaleda y Matarredonda (Sevilla)</t>
        </is>
      </c>
      <c r="J850" s="2" t="inlineStr">
        <is>
          <t>P4106100C-2026/000073-PAAS</t>
        </is>
      </c>
      <c r="K850" s="2" t="inlineStr">
        <is>
          <t>Abierto simplificado</t>
        </is>
      </c>
      <c r="L850" s="6" t="n">
        <v>3</v>
      </c>
      <c r="M850" s="2" t="n"/>
      <c r="N850" s="7" t="n">
        <v>0</v>
      </c>
      <c r="O850" s="4" t="n"/>
      <c r="P850" s="2" t="inlineStr">
        <is>
          <t>45233252</t>
        </is>
      </c>
      <c r="Q850" s="8" t="inlineStr">
        <is>
          <t>Ver</t>
        </is>
      </c>
      <c r="R850" s="8" t="inlineStr">
        <is>
          <t>PCAP</t>
        </is>
      </c>
      <c r="S850" s="9" t="n">
        <v>46318</v>
      </c>
      <c r="T850" s="3" t="n">
        <v>46316.86159722223</v>
      </c>
      <c r="U850" s="2" t="n"/>
    </row>
    <row r="851">
      <c r="A851" s="2" t="inlineStr">
        <is>
          <t>Resuelta</t>
        </is>
      </c>
      <c r="B851" s="3" t="n">
        <v>46223.99930555555</v>
      </c>
      <c r="C851" s="5" t="n">
        <v>94072.75999999999</v>
      </c>
      <c r="D851" s="5" t="n">
        <v>94072.75999999999</v>
      </c>
      <c r="E851" s="2" t="inlineStr">
        <is>
          <t>Andalucía</t>
        </is>
      </c>
      <c r="F851" s="2" t="inlineStr">
        <is>
          <t>Sevilla</t>
        </is>
      </c>
      <c r="G851" s="2" t="n"/>
      <c r="H851" s="2" t="inlineStr">
        <is>
          <t>Alcaldia del Ayuntamiento de Marinaleda</t>
        </is>
      </c>
      <c r="I851" s="2" t="inlineStr">
        <is>
          <t>Renovación, mediante la instalación de sistemas de eficiencia y ahorro de energía LED, en el sistema de alumbrado público existente en Marinaleda-Matarredonda. Fase 1"</t>
        </is>
      </c>
      <c r="J851" s="2" t="inlineStr">
        <is>
          <t>P4106100C-2026/000072-PAAS</t>
        </is>
      </c>
      <c r="K851" s="2" t="inlineStr">
        <is>
          <t>Abierto simplificado</t>
        </is>
      </c>
      <c r="L851" s="6" t="n">
        <v>5</v>
      </c>
      <c r="M851" s="2" t="n"/>
      <c r="N851" s="7" t="n">
        <v>0</v>
      </c>
      <c r="O851" s="4" t="n"/>
      <c r="P851" s="2" t="inlineStr">
        <is>
          <t>45316100; 45315300; 45315600</t>
        </is>
      </c>
      <c r="Q851" s="8" t="inlineStr">
        <is>
          <t>Ver</t>
        </is>
      </c>
      <c r="R851" s="8" t="inlineStr">
        <is>
          <t>PCAP</t>
        </is>
      </c>
      <c r="S851" s="9" t="n">
        <v>46315</v>
      </c>
      <c r="T851" s="3" t="n">
        <v>46316.85508101852</v>
      </c>
      <c r="U851" s="2" t="inlineStr">
        <is>
          <t>2026-10-23: estado ADJ → RES</t>
        </is>
      </c>
    </row>
    <row r="852">
      <c r="A852" s="2" t="inlineStr">
        <is>
          <t>Pendiente de adjudicación</t>
        </is>
      </c>
      <c r="B852" s="3" t="n">
        <v>46308.99930555555</v>
      </c>
      <c r="C852" s="5" t="n">
        <v>544689.05</v>
      </c>
      <c r="D852" s="5" t="n">
        <v>544689.05</v>
      </c>
      <c r="E852" s="2" t="inlineStr">
        <is>
          <t>Andalucía</t>
        </is>
      </c>
      <c r="F852" s="2" t="inlineStr">
        <is>
          <t>Almería</t>
        </is>
      </c>
      <c r="G852" s="2" t="inlineStr">
        <is>
          <t>Según Pliegos</t>
        </is>
      </c>
      <c r="H852" s="2" t="inlineStr">
        <is>
          <t>Pleno del Ayuntamiento de Purchena</t>
        </is>
      </c>
      <c r="I852" s="2" t="inlineStr">
        <is>
          <t>Construcción de Casa de la Cultura-Biblioteca</t>
        </is>
      </c>
      <c r="J852" s="2" t="inlineStr">
        <is>
          <t>2026/407640/006-002/00002</t>
        </is>
      </c>
      <c r="K852" s="2" t="inlineStr">
        <is>
          <t>Abierto simplificado</t>
        </is>
      </c>
      <c r="L852" s="6" t="n">
        <v>12</v>
      </c>
      <c r="M852" s="2" t="inlineStr">
        <is>
          <t>C3-3</t>
        </is>
      </c>
      <c r="N852" s="7" t="n">
        <v>0</v>
      </c>
      <c r="O852" s="4" t="n"/>
      <c r="P852" s="2" t="inlineStr">
        <is>
          <t>45212330</t>
        </is>
      </c>
      <c r="Q852" s="8" t="inlineStr">
        <is>
          <t>Ver</t>
        </is>
      </c>
      <c r="R852" s="8" t="inlineStr">
        <is>
          <t>PCAP</t>
        </is>
      </c>
      <c r="S852" s="9" t="n">
        <v>46310</v>
      </c>
      <c r="T852" s="3" t="n">
        <v>46316.80363425926</v>
      </c>
      <c r="U852" s="2" t="n"/>
    </row>
    <row r="853">
      <c r="A853" s="2" t="inlineStr">
        <is>
          <t>Adjudicada</t>
        </is>
      </c>
      <c r="B853" s="3" t="n">
        <v>46195.79166666666</v>
      </c>
      <c r="C853" s="5" t="n">
        <v>16316814.29</v>
      </c>
      <c r="D853" s="5" t="n">
        <v>16316814.29</v>
      </c>
      <c r="E853" s="2" t="inlineStr">
        <is>
          <t>Andalucía</t>
        </is>
      </c>
      <c r="F853" s="2" t="inlineStr">
        <is>
          <t>Cádiz</t>
        </is>
      </c>
      <c r="G853" s="2" t="n"/>
      <c r="H853" s="2" t="inlineStr">
        <is>
          <t>Consejo de Administración de Hub Empresa Municipal de San Fernando, M.P. S.A. (HEMSA)</t>
        </is>
      </c>
      <c r="I853" s="2" t="inlineStr">
        <is>
          <t>Obras de construcción con suministro de materiales de 132 viviendas protegidas en régimen de venta, 94 plazas de garaje y 47 trasteros en la parcela UB-4807-B1 situada en la UE-56 "San Cayetano" del PGOU de San Fernando, Cádiz.</t>
        </is>
      </c>
      <c r="J853" s="2" t="inlineStr">
        <is>
          <t>CA/001/26</t>
        </is>
      </c>
      <c r="K853" s="2" t="inlineStr">
        <is>
          <t>Abierto</t>
        </is>
      </c>
      <c r="L853" s="6" t="n">
        <v>24</v>
      </c>
      <c r="M853" s="2" t="inlineStr">
        <is>
          <t>C*-6</t>
        </is>
      </c>
      <c r="N853" s="7" t="n">
        <v>0</v>
      </c>
      <c r="O853" s="4" t="n"/>
      <c r="P853" s="2" t="inlineStr">
        <is>
          <t>45210000</t>
        </is>
      </c>
      <c r="Q853" s="8" t="inlineStr">
        <is>
          <t>Ver</t>
        </is>
      </c>
      <c r="R853" s="8" t="inlineStr">
        <is>
          <t>PCAP</t>
        </is>
      </c>
      <c r="S853" s="9" t="n">
        <v>46317</v>
      </c>
      <c r="T853" s="3" t="n">
        <v>46316.78625</v>
      </c>
      <c r="U853" s="2" t="n"/>
    </row>
    <row r="854">
      <c r="A854" s="2" t="inlineStr">
        <is>
          <t>Pendiente de adjudicación</t>
        </is>
      </c>
      <c r="B854" s="3" t="n">
        <v>46310.79166666666</v>
      </c>
      <c r="C854" s="5" t="n">
        <v>831539.76</v>
      </c>
      <c r="D854" s="5" t="n">
        <v>997847.71</v>
      </c>
      <c r="E854" s="2" t="inlineStr">
        <is>
          <t>Comunitat Valenciana</t>
        </is>
      </c>
      <c r="F854" s="2" t="inlineStr">
        <is>
          <t>Valencia</t>
        </is>
      </c>
      <c r="G854" s="2" t="inlineStr">
        <is>
          <t>Aldaia</t>
        </is>
      </c>
      <c r="H854" s="2" t="inlineStr">
        <is>
          <t>Alcaldía del Ayuntamiento de Aldaia</t>
        </is>
      </c>
      <c r="I854" s="2" t="inlineStr">
        <is>
          <t>DANA2024 Reparación de la Casa de la Música</t>
        </is>
      </c>
      <c r="J854" s="2" t="inlineStr">
        <is>
          <t>2026/C-OBRASA/4</t>
        </is>
      </c>
      <c r="K854" s="2" t="inlineStr">
        <is>
          <t>Abierto simplificado</t>
        </is>
      </c>
      <c r="L854" s="6" t="n">
        <v>6</v>
      </c>
      <c r="M854" s="2" t="inlineStr">
        <is>
          <t>C4-3</t>
        </is>
      </c>
      <c r="N854" s="7" t="n">
        <v>0</v>
      </c>
      <c r="O854" s="4" t="n"/>
      <c r="P854" s="2" t="inlineStr">
        <is>
          <t>45453100; 45262700</t>
        </is>
      </c>
      <c r="Q854" s="8" t="inlineStr">
        <is>
          <t>Ver</t>
        </is>
      </c>
      <c r="R854" s="8" t="inlineStr">
        <is>
          <t>PCAP</t>
        </is>
      </c>
      <c r="S854" s="9" t="n">
        <v>46310</v>
      </c>
      <c r="T854" s="3" t="n">
        <v>46316.75053240741</v>
      </c>
      <c r="U854" s="2" t="inlineStr">
        <is>
          <t>2026-10-22: estado PUB → EV</t>
        </is>
      </c>
    </row>
    <row r="855">
      <c r="A855" s="2" t="inlineStr">
        <is>
          <t>En plazo</t>
        </is>
      </c>
      <c r="B855" s="3" t="n">
        <v>46331.99930555555</v>
      </c>
      <c r="C855" s="5" t="n">
        <v>48886.83</v>
      </c>
      <c r="D855" s="5" t="n">
        <v>48886.83</v>
      </c>
      <c r="E855" s="2" t="inlineStr">
        <is>
          <t>Andalucía</t>
        </is>
      </c>
      <c r="F855" s="2" t="inlineStr">
        <is>
          <t>Jaén</t>
        </is>
      </c>
      <c r="G855" s="2" t="inlineStr">
        <is>
          <t>Torreblascopedro, Jaén</t>
        </is>
      </c>
      <c r="H855" s="2" t="inlineStr">
        <is>
          <t>Alcaldía del Ayuntamiento de Torreblascopedro</t>
        </is>
      </c>
      <c r="I855" s="2" t="inlineStr">
        <is>
          <t>Reparación de daños en cubierta y dependencias interiores del Centro Cívico Municipal (Centro Guadalinfo) en Campillo del Río, en el marco del Real Decreto-ley 5/2026, de 17 de febrero, por el que se adoptan medidas urgentes en respuesta a los daños causados por diversos fenómenos meteorológicos adversos, de especial afectación en las comunidades de Andalucía y Extremadura</t>
        </is>
      </c>
      <c r="J855" s="2" t="inlineStr">
        <is>
          <t>309/2026</t>
        </is>
      </c>
      <c r="K855" s="2" t="inlineStr">
        <is>
          <t>Abierto simplificado</t>
        </is>
      </c>
      <c r="L855" s="6" t="n">
        <v>2</v>
      </c>
      <c r="M855" s="2" t="n"/>
      <c r="N855" s="7" t="n">
        <v>0</v>
      </c>
      <c r="O855" s="4" t="n"/>
      <c r="P855" s="2" t="inlineStr">
        <is>
          <t>45261900; 45261410; 45261420; 45442110</t>
        </is>
      </c>
      <c r="Q855" s="8" t="inlineStr">
        <is>
          <t>Ver</t>
        </is>
      </c>
      <c r="R855" s="8" t="inlineStr">
        <is>
          <t>PCAP</t>
        </is>
      </c>
      <c r="S855" s="9" t="n">
        <v>46317</v>
      </c>
      <c r="T855" s="3" t="n">
        <v>46316.74784722222</v>
      </c>
      <c r="U855" s="2" t="n"/>
    </row>
    <row r="856">
      <c r="A856" s="2" t="inlineStr">
        <is>
          <t>Pendiente de adjudicación</t>
        </is>
      </c>
      <c r="B856" s="3" t="n">
        <v>46293.99930555555</v>
      </c>
      <c r="C856" s="5" t="n">
        <v>250321.94</v>
      </c>
      <c r="D856" s="5" t="n">
        <v>250321.94</v>
      </c>
      <c r="E856" s="2" t="inlineStr">
        <is>
          <t>Andalucía</t>
        </is>
      </c>
      <c r="F856" s="2" t="inlineStr">
        <is>
          <t>Jaén</t>
        </is>
      </c>
      <c r="G856" s="2" t="inlineStr">
        <is>
          <t>Arjonilla</t>
        </is>
      </c>
      <c r="H856" s="2" t="inlineStr">
        <is>
          <t>Alcaldia del Ayuntamiento de Arjonilla</t>
        </is>
      </c>
      <c r="I856" s="2" t="inlineStr">
        <is>
          <t>El objeto es regir la ejecución del contrato de obra denominado -Construcción de vado inundable sobre arroyo Ballesteros- en camino Lopera, T.M. Arjonilla (Jaén)</t>
        </is>
      </c>
      <c r="J856" s="2" t="inlineStr">
        <is>
          <t>1083/2026</t>
        </is>
      </c>
      <c r="K856" s="2" t="inlineStr">
        <is>
          <t>Abierto simplificado</t>
        </is>
      </c>
      <c r="L856" s="6" t="n">
        <v>6</v>
      </c>
      <c r="M856" s="2" t="inlineStr">
        <is>
          <t>C2-2</t>
        </is>
      </c>
      <c r="N856" s="7" t="n">
        <v>0</v>
      </c>
      <c r="O856" s="4" t="n"/>
      <c r="P856" s="2" t="inlineStr">
        <is>
          <t>45246100</t>
        </is>
      </c>
      <c r="Q856" s="8" t="inlineStr">
        <is>
          <t>Ver</t>
        </is>
      </c>
      <c r="R856" s="8" t="inlineStr">
        <is>
          <t>PCAP</t>
        </is>
      </c>
      <c r="S856" s="9" t="n">
        <v>46311</v>
      </c>
      <c r="T856" s="3" t="n">
        <v>46316.73486111111</v>
      </c>
      <c r="U856" s="2" t="n"/>
    </row>
    <row r="857">
      <c r="A857" s="2" t="inlineStr">
        <is>
          <t>En plazo</t>
        </is>
      </c>
      <c r="B857" s="3" t="n">
        <v>46336.99930555555</v>
      </c>
      <c r="C857" s="5" t="n">
        <v>353487.49</v>
      </c>
      <c r="D857" s="5" t="n">
        <v>353487.49</v>
      </c>
      <c r="E857" s="2" t="inlineStr">
        <is>
          <t>Comunitat Valenciana</t>
        </is>
      </c>
      <c r="F857" s="2" t="inlineStr">
        <is>
          <t>Alicante</t>
        </is>
      </c>
      <c r="G857" s="2" t="n"/>
      <c r="H857" s="2" t="inlineStr">
        <is>
          <t>Junta de Gobierno del Ayuntamiento de L'Alfàs del Pi</t>
        </is>
      </c>
      <c r="I857" s="2" t="inlineStr">
        <is>
          <t>Obra ensanche y mejora del acceso a la urbanización Foia Blanca desde el Camí d'Europa, en l'Alfàs del Pi</t>
        </is>
      </c>
      <c r="J857" s="2" t="inlineStr">
        <is>
          <t>CAO/4/2025</t>
        </is>
      </c>
      <c r="K857" s="2" t="inlineStr">
        <is>
          <t>Abierto simplificado</t>
        </is>
      </c>
      <c r="L857" s="6" t="n">
        <v>3</v>
      </c>
      <c r="M857" s="2" t="n"/>
      <c r="N857" s="7" t="n">
        <v>0</v>
      </c>
      <c r="O857" s="4" t="n"/>
      <c r="P857" s="2" t="inlineStr">
        <is>
          <t>45112000; 45316100; 45233222</t>
        </is>
      </c>
      <c r="Q857" s="8" t="inlineStr">
        <is>
          <t>Ver</t>
        </is>
      </c>
      <c r="R857" s="8" t="inlineStr">
        <is>
          <t>PCAP</t>
        </is>
      </c>
      <c r="S857" s="9" t="n">
        <v>46317</v>
      </c>
      <c r="T857" s="3" t="n">
        <v>46316.72387731481</v>
      </c>
      <c r="U857" s="2" t="n"/>
    </row>
    <row r="858">
      <c r="A858" s="2" t="inlineStr">
        <is>
          <t>En plazo</t>
        </is>
      </c>
      <c r="B858" s="3" t="n">
        <v>46332.54166666666</v>
      </c>
      <c r="C858" s="5" t="n">
        <v>30728972.25</v>
      </c>
      <c r="D858" s="5" t="n">
        <v>30728972.25</v>
      </c>
      <c r="E858" s="2" t="inlineStr">
        <is>
          <t>Andalucía</t>
        </is>
      </c>
      <c r="F858" s="2" t="inlineStr">
        <is>
          <t>Jaén</t>
        </is>
      </c>
      <c r="G858" s="2" t="inlineStr">
        <is>
          <t>JAEN</t>
        </is>
      </c>
      <c r="H858" s="2" t="inlineStr">
        <is>
          <t>Consejo de Administración de Sociedad Mercantil Estatal Aguas de las Cuencas de España, S.A. (ACUAES)</t>
        </is>
      </c>
      <c r="I858" s="2" t="inlineStr">
        <is>
          <t>Ejecución de las obras del Proyecto de construcción de la Nueva Planta de tratamiento de agua potable del Rumblar (Jaén)</t>
        </is>
      </c>
      <c r="J858" s="2" t="inlineStr">
        <is>
          <t>ACE/318.50/26/OBRA/01</t>
        </is>
      </c>
      <c r="K858" s="2" t="inlineStr">
        <is>
          <t>Abierto</t>
        </is>
      </c>
      <c r="L858" s="6" t="n">
        <v>26</v>
      </c>
      <c r="M858" s="2" t="inlineStr">
        <is>
          <t>K8-4</t>
        </is>
      </c>
      <c r="N858" s="7" t="n">
        <v>0.45</v>
      </c>
      <c r="O858" s="4" t="n"/>
      <c r="P858" s="2" t="inlineStr">
        <is>
          <t>45252120</t>
        </is>
      </c>
      <c r="Q858" s="8" t="inlineStr">
        <is>
          <t>Ver</t>
        </is>
      </c>
      <c r="R858" s="8" t="inlineStr">
        <is>
          <t>PCAP</t>
        </is>
      </c>
      <c r="S858" s="9" t="n">
        <v>46311</v>
      </c>
      <c r="T858" s="3" t="n">
        <v>46316.71721064814</v>
      </c>
      <c r="U858" s="2" t="n"/>
    </row>
    <row r="859">
      <c r="A859" s="2" t="inlineStr">
        <is>
          <t>Resuelta</t>
        </is>
      </c>
      <c r="B859" s="3" t="n">
        <v>46287.41666666666</v>
      </c>
      <c r="C859" s="5" t="n">
        <v>4405</v>
      </c>
      <c r="D859" s="5" t="n">
        <v>4405</v>
      </c>
      <c r="E859" s="2" t="inlineStr">
        <is>
          <t>Andalucía</t>
        </is>
      </c>
      <c r="F859" s="2" t="inlineStr">
        <is>
          <t>Granada</t>
        </is>
      </c>
      <c r="G859" s="2" t="n"/>
      <c r="H859" s="2" t="inlineStr">
        <is>
          <t>Empresa de Transformación Agraria S.A.,S.M.E., M.P., (TRAGSA)</t>
        </is>
      </c>
      <c r="I85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859" s="2" t="inlineStr">
        <is>
          <t>TSA0077561-335</t>
        </is>
      </c>
      <c r="K859" s="2" t="inlineStr">
        <is>
          <t>Abierto</t>
        </is>
      </c>
      <c r="L859" s="6" t="n">
        <v>2</v>
      </c>
      <c r="M859" s="2" t="n"/>
      <c r="N859" s="7" t="n">
        <v>0</v>
      </c>
      <c r="O859" s="4" t="n"/>
      <c r="P859" s="2" t="inlineStr">
        <is>
          <t>45500000</t>
        </is>
      </c>
      <c r="Q859" s="8" t="inlineStr">
        <is>
          <t>Ver</t>
        </is>
      </c>
      <c r="R859" s="8" t="inlineStr">
        <is>
          <t>PCAP</t>
        </is>
      </c>
      <c r="S859" s="9" t="n">
        <v>46310</v>
      </c>
      <c r="T859" s="3" t="n">
        <v>46316.68126157407</v>
      </c>
      <c r="U859" s="2" t="n"/>
    </row>
    <row r="860">
      <c r="A860" s="2" t="inlineStr">
        <is>
          <t>Resuelta</t>
        </is>
      </c>
      <c r="B860" s="3" t="n">
        <v>46245.41666666666</v>
      </c>
      <c r="C860" s="5" t="n">
        <v>45500</v>
      </c>
      <c r="D860" s="5" t="n">
        <v>45500</v>
      </c>
      <c r="E860" s="2" t="inlineStr">
        <is>
          <t>Andalucía</t>
        </is>
      </c>
      <c r="F860" s="2" t="inlineStr">
        <is>
          <t>Almería</t>
        </is>
      </c>
      <c r="G860" s="2" t="n"/>
      <c r="H860" s="2" t="inlineStr">
        <is>
          <t>Empresa de Transformación Agraria S.A.,S.M.E., M.P., (TRAGSA)</t>
        </is>
      </c>
      <c r="I86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60" s="2" t="inlineStr">
        <is>
          <t>TSA0078977-347</t>
        </is>
      </c>
      <c r="K860" s="2" t="inlineStr">
        <is>
          <t>Abierto</t>
        </is>
      </c>
      <c r="L860" s="6" t="n"/>
      <c r="M860" s="2" t="n"/>
      <c r="N860" s="7" t="n">
        <v>0</v>
      </c>
      <c r="O860" s="4" t="n"/>
      <c r="P860" s="2" t="inlineStr">
        <is>
          <t>45500000</t>
        </is>
      </c>
      <c r="Q860" s="8" t="inlineStr">
        <is>
          <t>Ver</t>
        </is>
      </c>
      <c r="R860" s="8" t="inlineStr">
        <is>
          <t>PCAP</t>
        </is>
      </c>
      <c r="S860" s="9" t="n">
        <v>46317</v>
      </c>
      <c r="T860" s="3" t="n">
        <v>46316.67928240741</v>
      </c>
      <c r="U860" s="2" t="n"/>
    </row>
    <row r="861">
      <c r="A861" s="2" t="inlineStr">
        <is>
          <t>Resuelta</t>
        </is>
      </c>
      <c r="B861" s="3" t="n">
        <v>46280.41666666666</v>
      </c>
      <c r="C861" s="5" t="n">
        <v>106398</v>
      </c>
      <c r="D861" s="5" t="n">
        <v>106398</v>
      </c>
      <c r="E861" s="2" t="inlineStr">
        <is>
          <t>Andalucía</t>
        </is>
      </c>
      <c r="F861" s="2" t="inlineStr">
        <is>
          <t>Almería</t>
        </is>
      </c>
      <c r="G861" s="2" t="n"/>
      <c r="H861" s="2" t="inlineStr">
        <is>
          <t>Empresa de Transformación Agraria S.A.,S.M.E., M.P., (TRAGSA)</t>
        </is>
      </c>
      <c r="I86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61" s="2" t="inlineStr">
        <is>
          <t>TSA0078977-357</t>
        </is>
      </c>
      <c r="K861" s="2" t="inlineStr">
        <is>
          <t>Abierto</t>
        </is>
      </c>
      <c r="L861" s="6" t="n">
        <v>6</v>
      </c>
      <c r="M861" s="2" t="n"/>
      <c r="N861" s="7" t="n">
        <v>0</v>
      </c>
      <c r="O861" s="4" t="n"/>
      <c r="P861" s="2" t="inlineStr">
        <is>
          <t>45500000</t>
        </is>
      </c>
      <c r="Q861" s="8" t="inlineStr">
        <is>
          <t>Ver</t>
        </is>
      </c>
      <c r="R861" s="8" t="inlineStr">
        <is>
          <t>PCAP</t>
        </is>
      </c>
      <c r="S861" s="9" t="n">
        <v>46310</v>
      </c>
      <c r="T861" s="3" t="n">
        <v>46316.66503472222</v>
      </c>
      <c r="U861" s="2" t="n"/>
    </row>
    <row r="862">
      <c r="A862" s="2" t="inlineStr">
        <is>
          <t>Resuelta</t>
        </is>
      </c>
      <c r="B862" s="3" t="n">
        <v>46273.41666666666</v>
      </c>
      <c r="C862" s="5" t="n">
        <v>56160</v>
      </c>
      <c r="D862" s="5" t="n">
        <v>56160</v>
      </c>
      <c r="E862" s="2" t="inlineStr">
        <is>
          <t>Andalucía</t>
        </is>
      </c>
      <c r="F862" s="2" t="inlineStr">
        <is>
          <t>Granada</t>
        </is>
      </c>
      <c r="G862" s="2" t="n"/>
      <c r="H862" s="2" t="inlineStr">
        <is>
          <t>Empresa de Transformación Agraria S.A.,S.M.E., M.P., (TRAGSA)</t>
        </is>
      </c>
      <c r="I86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862" s="2" t="inlineStr">
        <is>
          <t>TSA0077561-332</t>
        </is>
      </c>
      <c r="K862" s="2" t="inlineStr">
        <is>
          <t>Abierto</t>
        </is>
      </c>
      <c r="L862" s="6" t="n">
        <v>2</v>
      </c>
      <c r="M862" s="2" t="n"/>
      <c r="N862" s="7" t="n">
        <v>0</v>
      </c>
      <c r="O862" s="4" t="n"/>
      <c r="P862" s="2" t="inlineStr">
        <is>
          <t>45500000</t>
        </is>
      </c>
      <c r="Q862" s="8" t="inlineStr">
        <is>
          <t>Ver</t>
        </is>
      </c>
      <c r="R862" s="8" t="inlineStr">
        <is>
          <t>PCAP</t>
        </is>
      </c>
      <c r="S862" s="9" t="n">
        <v>46310</v>
      </c>
      <c r="T862" s="3" t="n">
        <v>46316.66010416667</v>
      </c>
      <c r="U862" s="2" t="n"/>
    </row>
    <row r="863">
      <c r="A863" s="2" t="inlineStr">
        <is>
          <t>Resuelta</t>
        </is>
      </c>
      <c r="B863" s="3" t="n">
        <v>46105.41666666666</v>
      </c>
      <c r="C863" s="5" t="n">
        <v>181000</v>
      </c>
      <c r="D863" s="5" t="n">
        <v>181000</v>
      </c>
      <c r="E863" s="2" t="inlineStr">
        <is>
          <t>Andalucía</t>
        </is>
      </c>
      <c r="F863" s="2" t="inlineStr">
        <is>
          <t>Sevilla</t>
        </is>
      </c>
      <c r="G863" s="2" t="n"/>
      <c r="H863" s="2" t="inlineStr">
        <is>
          <t>Empresa de Transformación Agraria S.A.,S.M.E., M.P., (TRAGSA)</t>
        </is>
      </c>
      <c r="I863"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863" s="2" t="inlineStr">
        <is>
          <t>TSA0076787-164</t>
        </is>
      </c>
      <c r="K863" s="2" t="inlineStr">
        <is>
          <t>Abierto</t>
        </is>
      </c>
      <c r="L863" s="6" t="n">
        <v>9</v>
      </c>
      <c r="M863" s="2" t="n"/>
      <c r="N863" s="7" t="n">
        <v>0</v>
      </c>
      <c r="O863" s="4" t="n"/>
      <c r="P863" s="2" t="inlineStr">
        <is>
          <t>45500000</t>
        </is>
      </c>
      <c r="Q863" s="8" t="inlineStr">
        <is>
          <t>Ver</t>
        </is>
      </c>
      <c r="R863" s="8" t="inlineStr">
        <is>
          <t>PCAP</t>
        </is>
      </c>
      <c r="S863" s="9" t="n">
        <v>46315</v>
      </c>
      <c r="T863" s="3" t="n">
        <v>46316.658125</v>
      </c>
      <c r="U863" s="2" t="n"/>
    </row>
    <row r="864">
      <c r="A864" s="2" t="inlineStr">
        <is>
          <t>En plazo</t>
        </is>
      </c>
      <c r="B864" s="3" t="n">
        <v>46336.99930555555</v>
      </c>
      <c r="C864" s="5" t="n">
        <v>221636.65</v>
      </c>
      <c r="D864" s="5" t="n">
        <v>221636.65</v>
      </c>
      <c r="E864" s="2" t="inlineStr">
        <is>
          <t>Andalucía</t>
        </is>
      </c>
      <c r="F864" s="2" t="inlineStr">
        <is>
          <t>Málaga</t>
        </is>
      </c>
      <c r="G864" s="2" t="n"/>
      <c r="H864" s="2" t="inlineStr">
        <is>
          <t>Alcaldía del Ayuntamiento de Alhaurín de la Torre</t>
        </is>
      </c>
      <c r="I864" s="2" t="inlineStr">
        <is>
          <t>Reforma interior del centro de usos múltiples sito en parcela de equipamiento del sector ur-ind-01, T.M. ALHAURÍN DE LA TORRE, MÁLAGA</t>
        </is>
      </c>
      <c r="J864" s="2" t="inlineStr">
        <is>
          <t>2026 CONT-00039</t>
        </is>
      </c>
      <c r="K864" s="2" t="inlineStr">
        <is>
          <t>Abierto simplificado</t>
        </is>
      </c>
      <c r="L864" s="6" t="n">
        <v>6</v>
      </c>
      <c r="M864" s="2" t="n"/>
      <c r="N864" s="7" t="n">
        <v>0</v>
      </c>
      <c r="O864" s="4" t="n"/>
      <c r="P864" s="2" t="inlineStr">
        <is>
          <t>45000000; 45320000; 45440000; 45300000; 45310000; 45420000; 45330000; 45261000</t>
        </is>
      </c>
      <c r="Q864" s="8" t="inlineStr">
        <is>
          <t>Ver</t>
        </is>
      </c>
      <c r="R864" s="8" t="inlineStr">
        <is>
          <t>PCAP</t>
        </is>
      </c>
      <c r="S864" s="9" t="n">
        <v>46317</v>
      </c>
      <c r="T864" s="3" t="n">
        <v>46316.6328587963</v>
      </c>
      <c r="U864" s="2" t="n"/>
    </row>
    <row r="865">
      <c r="A865" s="2" t="inlineStr">
        <is>
          <t>Plazo vencido</t>
        </is>
      </c>
      <c r="B865" s="3" t="n">
        <v>46322.625</v>
      </c>
      <c r="C865" s="5" t="n">
        <v>56327.1</v>
      </c>
      <c r="D865" s="5" t="n">
        <v>56327.1</v>
      </c>
      <c r="E865" s="2" t="inlineStr">
        <is>
          <t>Comunitat Valenciana</t>
        </is>
      </c>
      <c r="F865" s="2" t="inlineStr">
        <is>
          <t>Alicante</t>
        </is>
      </c>
      <c r="G865" s="2" t="inlineStr">
        <is>
          <t>Ibi</t>
        </is>
      </c>
      <c r="H865" s="2" t="inlineStr">
        <is>
          <t>Departamento de Salud Alcoy. Dirección Económica-Gerencia</t>
        </is>
      </c>
      <c r="I865" s="2" t="inlineStr">
        <is>
          <t>Obra de instalación de un nuevo ascensor en el Centro de Salud IBI II en el Departamento de Salud de Alcoi</t>
        </is>
      </c>
      <c r="J865" s="2" t="inlineStr">
        <is>
          <t>PAS 643/2026</t>
        </is>
      </c>
      <c r="K865" s="2" t="inlineStr">
        <is>
          <t>Abierto simplificado</t>
        </is>
      </c>
      <c r="L865" s="6" t="n">
        <v>6</v>
      </c>
      <c r="M865" s="2" t="n"/>
      <c r="N865" s="7" t="n">
        <v>0.1</v>
      </c>
      <c r="O865" s="4" t="n"/>
      <c r="P865" s="2" t="inlineStr">
        <is>
          <t>45000000; 45313100</t>
        </is>
      </c>
      <c r="Q865" s="8" t="inlineStr">
        <is>
          <t>Ver</t>
        </is>
      </c>
      <c r="R865" s="8" t="inlineStr">
        <is>
          <t>PCAP</t>
        </is>
      </c>
      <c r="S865" s="9" t="n">
        <v>46317</v>
      </c>
      <c r="T865" s="3" t="n">
        <v>46316.6250462963</v>
      </c>
      <c r="U865" s="2" t="n"/>
    </row>
    <row r="866">
      <c r="A866" s="2" t="inlineStr">
        <is>
          <t>En plazo</t>
        </is>
      </c>
      <c r="B866" s="3" t="n">
        <v>46328.625</v>
      </c>
      <c r="C866" s="5" t="n">
        <v>304657.12</v>
      </c>
      <c r="D866" s="5" t="n">
        <v>304657.12</v>
      </c>
      <c r="E866" s="2" t="inlineStr">
        <is>
          <t>Comunitat Valenciana</t>
        </is>
      </c>
      <c r="F866" s="2" t="inlineStr">
        <is>
          <t>Alicante</t>
        </is>
      </c>
      <c r="G866" s="2" t="inlineStr">
        <is>
          <t>Alcoi</t>
        </is>
      </c>
      <c r="H866" s="2" t="inlineStr">
        <is>
          <t>Departamento de Salud Alcoy. Dirección Económica-Gerencia</t>
        </is>
      </c>
      <c r="I866" s="2" t="inlineStr">
        <is>
          <t>Obra de reforma de la instalación de climatización del Centro de Salud Plaça de Dins en el Departamento de Salud de Alcoi.</t>
        </is>
      </c>
      <c r="J866" s="2" t="inlineStr">
        <is>
          <t>PAS 821/2026</t>
        </is>
      </c>
      <c r="K866" s="2" t="inlineStr">
        <is>
          <t>Abierto simplificado</t>
        </is>
      </c>
      <c r="L866" s="6" t="n">
        <v>7</v>
      </c>
      <c r="M866" s="2" t="n"/>
      <c r="N866" s="7" t="n">
        <v>0</v>
      </c>
      <c r="O866" s="4" t="n"/>
      <c r="P866" s="2" t="inlineStr">
        <is>
          <t>45331000; 45331200; 45321000; 42512300; 45331210</t>
        </is>
      </c>
      <c r="Q866" s="8" t="inlineStr">
        <is>
          <t>Ver</t>
        </is>
      </c>
      <c r="R866" s="8" t="inlineStr">
        <is>
          <t>PCAP</t>
        </is>
      </c>
      <c r="S866" s="9" t="n">
        <v>46310</v>
      </c>
      <c r="T866" s="3" t="n">
        <v>46316.623125</v>
      </c>
      <c r="U866" s="2" t="n"/>
    </row>
    <row r="867">
      <c r="A867" s="2" t="inlineStr">
        <is>
          <t>En plazo</t>
        </is>
      </c>
      <c r="B867" s="3" t="n">
        <v>46335.99930555555</v>
      </c>
      <c r="C867" s="5" t="n">
        <v>1170584.07</v>
      </c>
      <c r="D867" s="5" t="n">
        <v>1170584.07</v>
      </c>
      <c r="E867" s="2" t="inlineStr">
        <is>
          <t>Andalucía</t>
        </is>
      </c>
      <c r="F867" s="2" t="inlineStr">
        <is>
          <t>Sevilla</t>
        </is>
      </c>
      <c r="G867" s="2" t="n"/>
      <c r="H867" s="2" t="inlineStr">
        <is>
          <t>Pleno del Ayuntamiento de La Roda de Andalucía</t>
        </is>
      </c>
      <c r="I867" s="2" t="inlineStr">
        <is>
          <t>Contrato de obras para ejecución del "Proyecto básico y de terminación del pabellón polideportivo cubierto municipal"</t>
        </is>
      </c>
      <c r="J867" s="2" t="inlineStr">
        <is>
          <t>P4108200I-2026/000011-PAAS</t>
        </is>
      </c>
      <c r="K867" s="2" t="inlineStr">
        <is>
          <t>Abierto simplificado</t>
        </is>
      </c>
      <c r="L867" s="6" t="n">
        <v>18</v>
      </c>
      <c r="M867" s="2" t="inlineStr">
        <is>
          <t>C4-3</t>
        </is>
      </c>
      <c r="N867" s="7" t="n">
        <v>0</v>
      </c>
      <c r="O867" s="4" t="n"/>
      <c r="P867" s="2" t="inlineStr">
        <is>
          <t>45000000</t>
        </is>
      </c>
      <c r="Q867" s="8" t="inlineStr">
        <is>
          <t>Ver</t>
        </is>
      </c>
      <c r="R867" s="8" t="inlineStr">
        <is>
          <t>PCAP</t>
        </is>
      </c>
      <c r="S867" s="9" t="n">
        <v>46310</v>
      </c>
      <c r="T867" s="3" t="n">
        <v>46316.62289351852</v>
      </c>
      <c r="U867" s="2" t="inlineStr">
        <is>
          <t>2026-10-22: plazo 2026-10-29 23:59 → 2026-11-09 23:59</t>
        </is>
      </c>
    </row>
    <row r="868">
      <c r="A868" s="2" t="inlineStr">
        <is>
          <t>En plazo</t>
        </is>
      </c>
      <c r="B868" s="3" t="n">
        <v>46336.99930555555</v>
      </c>
      <c r="C868" s="5" t="n">
        <v>186936.54</v>
      </c>
      <c r="D868" s="5" t="n">
        <v>186936.54</v>
      </c>
      <c r="E868" s="2" t="inlineStr">
        <is>
          <t>Andalucía</t>
        </is>
      </c>
      <c r="F868" s="2" t="inlineStr">
        <is>
          <t>Málaga</t>
        </is>
      </c>
      <c r="G868" s="2" t="inlineStr">
        <is>
          <t>Alhaurín el Grande</t>
        </is>
      </c>
      <c r="H868" s="2" t="inlineStr">
        <is>
          <t>Alcaldía del Ayuntamiento de Alhaurín el Grande</t>
        </is>
      </c>
      <c r="I868" s="2" t="inlineStr">
        <is>
          <t>Proyecto de asfaltado de calles en el T.M. de Alhaurín el Grande y Villa del Guadalhorce</t>
        </is>
      </c>
      <c r="J868" s="2" t="inlineStr">
        <is>
          <t>27127/2026 ASFALTADO CALLES</t>
        </is>
      </c>
      <c r="K868" s="2" t="inlineStr">
        <is>
          <t>Abierto simplificado</t>
        </is>
      </c>
      <c r="L868" s="6" t="n">
        <v>2</v>
      </c>
      <c r="M868" s="2" t="n"/>
      <c r="N868" s="7" t="n">
        <v>0.25</v>
      </c>
      <c r="O868" s="4" t="n"/>
      <c r="P868" s="2" t="inlineStr">
        <is>
          <t>45233252; 45233220</t>
        </is>
      </c>
      <c r="Q868" s="8" t="inlineStr">
        <is>
          <t>Ver</t>
        </is>
      </c>
      <c r="R868" s="8" t="inlineStr">
        <is>
          <t>PCAP</t>
        </is>
      </c>
      <c r="S868" s="9" t="n">
        <v>46317</v>
      </c>
      <c r="T868" s="3" t="n">
        <v>46316.62109953703</v>
      </c>
      <c r="U868" s="2" t="n"/>
    </row>
    <row r="869">
      <c r="A869" s="2" t="inlineStr">
        <is>
          <t>Resuelta</t>
        </is>
      </c>
      <c r="B869" s="3" t="n">
        <v>45418.5</v>
      </c>
      <c r="C869" s="5" t="n">
        <v>2608353.32</v>
      </c>
      <c r="D869" s="5" t="n">
        <v>3130023.98</v>
      </c>
      <c r="E869" s="2" t="inlineStr">
        <is>
          <t>Andalucía</t>
        </is>
      </c>
      <c r="F869" s="2" t="inlineStr">
        <is>
          <t>Sevilla</t>
        </is>
      </c>
      <c r="G869" s="2" t="inlineStr">
        <is>
          <t>Sevilla</t>
        </is>
      </c>
      <c r="H869" s="2" t="inlineStr">
        <is>
          <t>Consejería Delegada de la Empresa Metropolitana de Abastecimiento y Saneamiento de Aguas de Sevilla S.A. (EMASESA)</t>
        </is>
      </c>
      <c r="I869" s="2" t="inlineStr">
        <is>
          <t>Proyecto para el desvío de servicios de abastecimiento y saneamiento por obras del Ministerio de Fomento en enlace Carreteras SE-20/A-4. Distrito Norte, Sevilla.</t>
        </is>
      </c>
      <c r="J869" s="2" t="inlineStr">
        <is>
          <t>0533/2024</t>
        </is>
      </c>
      <c r="K869" s="2" t="inlineStr">
        <is>
          <t>Abierto</t>
        </is>
      </c>
      <c r="L869" s="6" t="n">
        <v>10.5</v>
      </c>
      <c r="M869" s="2" t="inlineStr">
        <is>
          <t>E1-5</t>
        </is>
      </c>
      <c r="N869" s="7" t="n">
        <v>0</v>
      </c>
      <c r="O869" s="4" t="n"/>
      <c r="P869" s="2" t="inlineStr">
        <is>
          <t>45231300</t>
        </is>
      </c>
      <c r="Q869" s="8" t="inlineStr">
        <is>
          <t>Ver</t>
        </is>
      </c>
      <c r="R869" s="8" t="inlineStr">
        <is>
          <t>PCAP</t>
        </is>
      </c>
      <c r="S869" s="9" t="n">
        <v>46317</v>
      </c>
      <c r="T869" s="3" t="n">
        <v>46316.62061342593</v>
      </c>
      <c r="U869" s="2" t="n"/>
    </row>
    <row r="870">
      <c r="A870" s="2" t="inlineStr">
        <is>
          <t>Plazo vencido</t>
        </is>
      </c>
      <c r="B870" s="3" t="n">
        <v>46318.99930555555</v>
      </c>
      <c r="C870" s="5" t="n">
        <v>552110.2</v>
      </c>
      <c r="D870" s="5" t="n">
        <v>552110.2</v>
      </c>
      <c r="E870" s="2" t="inlineStr">
        <is>
          <t>Andalucía</t>
        </is>
      </c>
      <c r="F870" s="2" t="inlineStr">
        <is>
          <t>Sevilla</t>
        </is>
      </c>
      <c r="G870" s="2" t="inlineStr">
        <is>
          <t>Mairena del Aljarafe</t>
        </is>
      </c>
      <c r="H870" s="2" t="inlineStr">
        <is>
          <t>Alcaldía del Ayuntamiento de Mairena del Aljarafe</t>
        </is>
      </c>
      <c r="I870" s="2" t="inlineStr">
        <is>
          <t>Actualización de proyecto básico y de ejecución de equipamiento deportivo para Parque de Ruedas y Zona Biosaludable en Av. Clara Campoamor S/N, Mairena del Aljarafe (Sevilla).</t>
        </is>
      </c>
      <c r="J870" s="2" t="inlineStr">
        <is>
          <t>17730/2026</t>
        </is>
      </c>
      <c r="K870" s="2" t="inlineStr">
        <is>
          <t>Abierto simplificado</t>
        </is>
      </c>
      <c r="L870" s="6" t="n">
        <v>5</v>
      </c>
      <c r="M870" s="2" t="inlineStr">
        <is>
          <t>G*-3</t>
        </is>
      </c>
      <c r="N870" s="7" t="n">
        <v>0</v>
      </c>
      <c r="O870" s="4" t="n"/>
      <c r="P870" s="2" t="inlineStr">
        <is>
          <t>45000000; 45233252</t>
        </is>
      </c>
      <c r="Q870" s="8" t="inlineStr">
        <is>
          <t>Ver</t>
        </is>
      </c>
      <c r="R870" s="8" t="inlineStr">
        <is>
          <t>PCAP</t>
        </is>
      </c>
      <c r="S870" s="9" t="n">
        <v>46317</v>
      </c>
      <c r="T870" s="3" t="n">
        <v>46316.61888888889</v>
      </c>
      <c r="U870" s="2" t="n"/>
    </row>
    <row r="871">
      <c r="A871" s="2" t="inlineStr">
        <is>
          <t>En plazo</t>
        </is>
      </c>
      <c r="B871" s="3" t="n">
        <v>46331.99930555555</v>
      </c>
      <c r="C871" s="5" t="n">
        <v>952036.08</v>
      </c>
      <c r="D871" s="5" t="n">
        <v>952036.08</v>
      </c>
      <c r="E871" s="2" t="inlineStr">
        <is>
          <t>Comunitat Valenciana</t>
        </is>
      </c>
      <c r="F871" s="2" t="inlineStr">
        <is>
          <t>Castellón</t>
        </is>
      </c>
      <c r="G871" s="2" t="inlineStr">
        <is>
          <t>Burriana (Castellón)</t>
        </is>
      </c>
      <c r="H871" s="2" t="inlineStr">
        <is>
          <t>Alcaldía del Ayuntamiento de Borriana</t>
        </is>
      </c>
      <c r="I871"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J871" s="2" t="inlineStr">
        <is>
          <t>BURR16660/2026-PM9-PM 10</t>
        </is>
      </c>
      <c r="K871" s="2" t="inlineStr">
        <is>
          <t>Abierto simplificado</t>
        </is>
      </c>
      <c r="L871" s="6" t="n">
        <v>7</v>
      </c>
      <c r="M871" s="2" t="n"/>
      <c r="N871" s="7" t="n">
        <v>0</v>
      </c>
      <c r="O871" s="4" t="n">
        <v>2</v>
      </c>
      <c r="P871" s="2" t="inlineStr">
        <is>
          <t>45000000; 45212221; 45261000; 45443000; 45200000; 45212200</t>
        </is>
      </c>
      <c r="Q871" s="8" t="inlineStr">
        <is>
          <t>Ver</t>
        </is>
      </c>
      <c r="R871" s="8" t="inlineStr">
        <is>
          <t>PCAP</t>
        </is>
      </c>
      <c r="S871" s="9" t="n">
        <v>46314</v>
      </c>
      <c r="T871" s="3" t="n">
        <v>46316.61122685186</v>
      </c>
      <c r="U871" s="2" t="n"/>
    </row>
    <row r="872">
      <c r="A872" s="2" t="inlineStr">
        <is>
          <t>Resuelta</t>
        </is>
      </c>
      <c r="B872" s="3" t="n">
        <v>46289.75</v>
      </c>
      <c r="C872" s="5" t="n">
        <v>292655</v>
      </c>
      <c r="D872" s="5" t="n">
        <v>292655</v>
      </c>
      <c r="E872" s="2" t="inlineStr">
        <is>
          <t>Comunitat Valenciana</t>
        </is>
      </c>
      <c r="F872" s="2" t="inlineStr">
        <is>
          <t>Valencia</t>
        </is>
      </c>
      <c r="G872" s="2" t="n"/>
      <c r="H872" s="2" t="inlineStr">
        <is>
          <t>Empresa de Transformación Agraria S.A.,S.M.E., M.P., (TRAGSA)</t>
        </is>
      </c>
      <c r="I872"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0786471 DANA24 CUENCAS TURIA. GENE</t>
        </is>
      </c>
      <c r="J872" s="2" t="inlineStr">
        <is>
          <t>TSA0081958-016</t>
        </is>
      </c>
      <c r="K872" s="2" t="inlineStr">
        <is>
          <t>Abierto</t>
        </is>
      </c>
      <c r="L872" s="6" t="n">
        <v>12</v>
      </c>
      <c r="M872" s="2" t="n"/>
      <c r="N872" s="7" t="n">
        <v>0</v>
      </c>
      <c r="O872" s="4" t="n"/>
      <c r="P872" s="2" t="inlineStr">
        <is>
          <t>45500000</t>
        </is>
      </c>
      <c r="Q872" s="8" t="inlineStr">
        <is>
          <t>Ver</t>
        </is>
      </c>
      <c r="R872" s="8" t="inlineStr">
        <is>
          <t>PCAP</t>
        </is>
      </c>
      <c r="S872" s="9" t="n">
        <v>46317</v>
      </c>
      <c r="T872" s="3" t="n">
        <v>46316.60670138889</v>
      </c>
      <c r="U872" s="2" t="n"/>
    </row>
    <row r="873">
      <c r="A873" s="2" t="inlineStr">
        <is>
          <t>Resuelta</t>
        </is>
      </c>
      <c r="B873" s="3" t="n">
        <v>46213.54166666666</v>
      </c>
      <c r="C873" s="5" t="n">
        <v>398834.72</v>
      </c>
      <c r="D873" s="5" t="n">
        <v>398834.72</v>
      </c>
      <c r="E873" s="2" t="inlineStr">
        <is>
          <t>Andalucía</t>
        </is>
      </c>
      <c r="F873" s="2" t="inlineStr">
        <is>
          <t>Jaén</t>
        </is>
      </c>
      <c r="G873" s="2" t="n"/>
      <c r="H873" s="2" t="inlineStr">
        <is>
          <t>Consejo de Administración de Sociedad Mercantil Estatal Aguas de las Cuencas de España, S.A. (ACUAES)</t>
        </is>
      </c>
      <c r="I873" s="2" t="inlineStr">
        <is>
          <t>Ejecución de las obras del Proyecto de mejoras en el abastecimiento de agua potable en el municipio de Pozo Alcón (Jaén), cofinanciado por el Programa Plurirregional de España (PPE) del Fondo Europeo de Desarrollo Regional (FEDER) 2021 - 2027.</t>
        </is>
      </c>
      <c r="J873" s="2" t="inlineStr">
        <is>
          <t>ACE/318.83/26/OBRA/01</t>
        </is>
      </c>
      <c r="K873" s="2" t="inlineStr">
        <is>
          <t>Abierto</t>
        </is>
      </c>
      <c r="L873" s="6" t="n">
        <v>14</v>
      </c>
      <c r="M873" s="2" t="inlineStr">
        <is>
          <t>E1-3</t>
        </is>
      </c>
      <c r="N873" s="7" t="n">
        <v>0.45</v>
      </c>
      <c r="O873" s="4" t="n"/>
      <c r="P873" s="2" t="inlineStr">
        <is>
          <t>45240000</t>
        </is>
      </c>
      <c r="Q873" s="8" t="inlineStr">
        <is>
          <t>Ver</t>
        </is>
      </c>
      <c r="R873" s="8" t="inlineStr">
        <is>
          <t>PCAP</t>
        </is>
      </c>
      <c r="S873" s="9" t="n">
        <v>46317</v>
      </c>
      <c r="T873" s="3" t="n">
        <v>46316.60637731481</v>
      </c>
      <c r="U873" s="2" t="n"/>
    </row>
    <row r="874">
      <c r="A874" s="2" t="inlineStr">
        <is>
          <t>Adjudicada</t>
        </is>
      </c>
      <c r="B874" s="3" t="n"/>
      <c r="C874" s="5" t="n">
        <v>116424.71</v>
      </c>
      <c r="D874" s="5" t="n">
        <v>116424.71</v>
      </c>
      <c r="E874" s="2" t="inlineStr">
        <is>
          <t>Andalucía</t>
        </is>
      </c>
      <c r="F874" s="2" t="inlineStr">
        <is>
          <t>Granada</t>
        </is>
      </c>
      <c r="G874" s="2" t="n"/>
      <c r="H874" s="2" t="inlineStr">
        <is>
          <t>Junta de Gobierno del Ayuntamiento de Granada</t>
        </is>
      </c>
      <c r="I874" s="2" t="inlineStr">
        <is>
          <t>Contrato de obras necesarias e imprescindibles para la reposición de conductores eléctricos sustraídos de las instalaciones de alumbrado público de la ciudad de Granada, por razones de emergencia</t>
        </is>
      </c>
      <c r="J874" s="2" t="inlineStr">
        <is>
          <t>OBR-2026000123</t>
        </is>
      </c>
      <c r="K874" s="2" t="inlineStr">
        <is>
          <t>Abierto</t>
        </is>
      </c>
      <c r="L874" s="6" t="n">
        <v>1.5</v>
      </c>
      <c r="M874" s="2" t="n"/>
      <c r="N874" s="7" t="n">
        <v>0</v>
      </c>
      <c r="O874" s="4" t="n"/>
      <c r="P874" s="2" t="inlineStr">
        <is>
          <t>45316000</t>
        </is>
      </c>
      <c r="Q874" s="8" t="inlineStr">
        <is>
          <t>Ver</t>
        </is>
      </c>
      <c r="R874" s="2" t="n"/>
      <c r="S874" s="9" t="n">
        <v>46310</v>
      </c>
      <c r="T874" s="3" t="n">
        <v>46316.60472222222</v>
      </c>
      <c r="U874" s="2" t="n"/>
    </row>
    <row r="875">
      <c r="A875" s="2" t="inlineStr">
        <is>
          <t>Resuelta</t>
        </is>
      </c>
      <c r="B875" s="3" t="n">
        <v>46267.58333333334</v>
      </c>
      <c r="C875" s="5" t="n">
        <v>115402.98</v>
      </c>
      <c r="D875" s="5" t="n">
        <v>115402.98</v>
      </c>
      <c r="E875" s="2" t="inlineStr">
        <is>
          <t>Comunitat Valenciana</t>
        </is>
      </c>
      <c r="F875" s="2" t="inlineStr">
        <is>
          <t>Valencia</t>
        </is>
      </c>
      <c r="G875" s="2" t="inlineStr">
        <is>
          <t>Xirivella</t>
        </is>
      </c>
      <c r="H875" s="2" t="inlineStr">
        <is>
          <t>Gerencia de Aigües de l'Horta S.A.</t>
        </is>
      </c>
      <c r="I875" s="2" t="inlineStr">
        <is>
          <t>Renovación de colectores de pluviales en planta subsuelo de edificios en Pz. Alqueria Nova (Xirivella)</t>
        </is>
      </c>
      <c r="J875" s="2" t="inlineStr">
        <is>
          <t>Xir_S26001</t>
        </is>
      </c>
      <c r="K875" s="2" t="inlineStr">
        <is>
          <t>Abierto</t>
        </is>
      </c>
      <c r="L875" s="6" t="n">
        <v>6</v>
      </c>
      <c r="M875" s="2" t="n"/>
      <c r="N875" s="7" t="n">
        <v>0.24</v>
      </c>
      <c r="O875" s="4" t="n"/>
      <c r="P875" s="2" t="inlineStr">
        <is>
          <t>45231300</t>
        </is>
      </c>
      <c r="Q875" s="8" t="inlineStr">
        <is>
          <t>Ver</t>
        </is>
      </c>
      <c r="R875" s="8" t="inlineStr">
        <is>
          <t>PCAP</t>
        </is>
      </c>
      <c r="S875" s="9" t="n">
        <v>46311</v>
      </c>
      <c r="T875" s="3" t="n">
        <v>46316.60462962963</v>
      </c>
      <c r="U875" s="2" t="inlineStr">
        <is>
          <t>2026-10-22: estado ADJ → RES</t>
        </is>
      </c>
    </row>
    <row r="876">
      <c r="A876" s="2" t="inlineStr">
        <is>
          <t>Pendiente de adjudicación</t>
        </is>
      </c>
      <c r="B876" s="3" t="n">
        <v>46288.99930555555</v>
      </c>
      <c r="C876" s="5" t="n">
        <v>603599.4399999999</v>
      </c>
      <c r="D876" s="5" t="n">
        <v>603599.4399999999</v>
      </c>
      <c r="E876" s="2" t="inlineStr">
        <is>
          <t>Comunitat Valenciana</t>
        </is>
      </c>
      <c r="F876" s="2" t="inlineStr">
        <is>
          <t>Alicante</t>
        </is>
      </c>
      <c r="G876" s="2" t="inlineStr">
        <is>
          <t>Alicante (Alacant)</t>
        </is>
      </c>
      <c r="H876" s="2" t="inlineStr">
        <is>
          <t>Junta de Gobierno del Ayuntamiento de Albatera</t>
        </is>
      </c>
      <c r="I876" s="2" t="inlineStr">
        <is>
          <t>Obras de mejora de infraestructuras y adecuación de viario en C/ Virgen de los Dolores y otras del casco viejo de Albatera</t>
        </is>
      </c>
      <c r="J876" s="2" t="inlineStr">
        <is>
          <t>7482/2026</t>
        </is>
      </c>
      <c r="K876" s="2" t="inlineStr">
        <is>
          <t>Abierto simplificado</t>
        </is>
      </c>
      <c r="L876" s="6" t="n">
        <v>5</v>
      </c>
      <c r="M876" s="2" t="inlineStr">
        <is>
          <t>G6-3</t>
        </is>
      </c>
      <c r="N876" s="7" t="n">
        <v>0.65</v>
      </c>
      <c r="O876" s="4" t="n"/>
      <c r="P876" s="2" t="inlineStr">
        <is>
          <t>45233223</t>
        </is>
      </c>
      <c r="Q876" s="8" t="inlineStr">
        <is>
          <t>Ver</t>
        </is>
      </c>
      <c r="R876" s="8" t="inlineStr">
        <is>
          <t>PCAP</t>
        </is>
      </c>
      <c r="S876" s="9" t="n">
        <v>46317</v>
      </c>
      <c r="T876" s="3" t="n">
        <v>46316.60423611111</v>
      </c>
      <c r="U876" s="2" t="n"/>
    </row>
    <row r="877">
      <c r="A877" s="2" t="inlineStr">
        <is>
          <t>En plazo</t>
        </is>
      </c>
      <c r="B877" s="3" t="n">
        <v>46336.99930555555</v>
      </c>
      <c r="C877" s="5" t="n">
        <v>285980.94</v>
      </c>
      <c r="D877" s="5" t="n">
        <v>285980.94</v>
      </c>
      <c r="E877" s="2" t="inlineStr">
        <is>
          <t>Andalucía</t>
        </is>
      </c>
      <c r="F877" s="2" t="inlineStr">
        <is>
          <t>Sevilla</t>
        </is>
      </c>
      <c r="G877" s="2" t="inlineStr">
        <is>
          <t>Mairena del Aljarafe</t>
        </is>
      </c>
      <c r="H877" s="2" t="inlineStr">
        <is>
          <t>Consejo de Gobierno de la Gerencia Municipal de Urbanismo del Ayuntamiento de Mairena del Aljarafe</t>
        </is>
      </c>
      <c r="I877" s="2" t="inlineStr">
        <is>
          <t>Obra de reparación de hundimientos en acerados en Avda. de los Olmos</t>
        </is>
      </c>
      <c r="J877" s="2" t="inlineStr">
        <is>
          <t>891/2026</t>
        </is>
      </c>
      <c r="K877" s="2" t="inlineStr">
        <is>
          <t>Abierto simplificado</t>
        </is>
      </c>
      <c r="L877" s="6" t="n">
        <v>5</v>
      </c>
      <c r="M877" s="2" t="n"/>
      <c r="N877" s="7" t="n">
        <v>0.25</v>
      </c>
      <c r="O877" s="4" t="n"/>
      <c r="P877" s="2" t="inlineStr">
        <is>
          <t>45000000</t>
        </is>
      </c>
      <c r="Q877" s="8" t="inlineStr">
        <is>
          <t>Ver</t>
        </is>
      </c>
      <c r="R877" s="8" t="inlineStr">
        <is>
          <t>PCAP</t>
        </is>
      </c>
      <c r="S877" s="9" t="n">
        <v>46317</v>
      </c>
      <c r="T877" s="3" t="n">
        <v>46316.6034375</v>
      </c>
      <c r="U877" s="2" t="n"/>
    </row>
    <row r="878">
      <c r="A878" s="2" t="inlineStr">
        <is>
          <t>Resuelta</t>
        </is>
      </c>
      <c r="B878" s="3" t="n">
        <v>44179.99930555555</v>
      </c>
      <c r="C878" s="5" t="n">
        <v>825224.22</v>
      </c>
      <c r="D878" s="5" t="n">
        <v>825224.22</v>
      </c>
      <c r="E878" s="2" t="inlineStr">
        <is>
          <t>Comunitat Valenciana</t>
        </is>
      </c>
      <c r="F878" s="2" t="inlineStr">
        <is>
          <t>Valencia</t>
        </is>
      </c>
      <c r="G878" s="2" t="n"/>
      <c r="H878" s="2" t="inlineStr">
        <is>
          <t>Junta de Gobierno del Ajuntament de València</t>
        </is>
      </c>
      <c r="I878" s="2" t="inlineStr">
        <is>
          <t>Obras de ejecución de varios proyectos de infraestructuras electromecánicas, en varias instalaciones de bombeo y estaciones depuradoras de aguas residuales urbanas, titularidad del ayuntamiento de València, dividido en tres lotes.-</t>
        </is>
      </c>
      <c r="J878" s="2" t="inlineStr">
        <is>
          <t>04101/2020/168-O</t>
        </is>
      </c>
      <c r="K878" s="2" t="inlineStr">
        <is>
          <t>Abierto simplificado</t>
        </is>
      </c>
      <c r="L878" s="6" t="n">
        <v>6</v>
      </c>
      <c r="M878" s="2" t="n"/>
      <c r="N878" s="7" t="n">
        <v>0.4</v>
      </c>
      <c r="O878" s="4" t="n">
        <v>3</v>
      </c>
      <c r="P878" s="2" t="inlineStr">
        <is>
          <t>45340000</t>
        </is>
      </c>
      <c r="Q878" s="8" t="inlineStr">
        <is>
          <t>Ver</t>
        </is>
      </c>
      <c r="R878" s="8" t="inlineStr">
        <is>
          <t>PCAP</t>
        </is>
      </c>
      <c r="S878" s="9" t="n">
        <v>46317</v>
      </c>
      <c r="T878" s="3" t="n">
        <v>46316.60290509259</v>
      </c>
      <c r="U878" s="2" t="n"/>
    </row>
    <row r="879">
      <c r="A879" s="2" t="inlineStr">
        <is>
          <t>Resuelta</t>
        </is>
      </c>
      <c r="B879" s="3" t="n">
        <v>46241.99930555555</v>
      </c>
      <c r="C879" s="5" t="n">
        <v>58945</v>
      </c>
      <c r="D879" s="5" t="n">
        <v>58945</v>
      </c>
      <c r="E879" s="2" t="inlineStr">
        <is>
          <t>Comunitat Valenciana</t>
        </is>
      </c>
      <c r="F879" s="2" t="inlineStr">
        <is>
          <t>Valencia</t>
        </is>
      </c>
      <c r="G879" s="2" t="inlineStr">
        <is>
          <t>Yátova</t>
        </is>
      </c>
      <c r="H879" s="2" t="inlineStr">
        <is>
          <t>Alcaldía del Ayuntamiento de Yátova</t>
        </is>
      </c>
      <c r="I879" s="2" t="inlineStr">
        <is>
          <t>Reforma daños causados por la DANA en la biblioteca municipal- DANA 2024</t>
        </is>
      </c>
      <c r="J879" s="2" t="inlineStr">
        <is>
          <t>677/2026</t>
        </is>
      </c>
      <c r="K879" s="2" t="inlineStr">
        <is>
          <t>Abierto simplificado</t>
        </is>
      </c>
      <c r="L879" s="6" t="n">
        <v>3</v>
      </c>
      <c r="M879" s="2" t="n"/>
      <c r="N879" s="7" t="n">
        <v>0</v>
      </c>
      <c r="O879" s="4" t="n"/>
      <c r="P879" s="2" t="inlineStr">
        <is>
          <t>45262520; 45212330</t>
        </is>
      </c>
      <c r="Q879" s="8" t="inlineStr">
        <is>
          <t>Ver</t>
        </is>
      </c>
      <c r="R879" s="8" t="inlineStr">
        <is>
          <t>PCAP</t>
        </is>
      </c>
      <c r="S879" s="9" t="n">
        <v>46317</v>
      </c>
      <c r="T879" s="3" t="n">
        <v>46316.60282407407</v>
      </c>
      <c r="U879" s="2" t="n"/>
    </row>
    <row r="880">
      <c r="A880" s="2" t="inlineStr">
        <is>
          <t>Adjudicada</t>
        </is>
      </c>
      <c r="B880" s="3" t="n">
        <v>46303.5</v>
      </c>
      <c r="C880" s="5" t="n">
        <v>380000</v>
      </c>
      <c r="D880" s="5" t="n">
        <v>380000</v>
      </c>
      <c r="E880" s="2" t="inlineStr">
        <is>
          <t>Andalucía</t>
        </is>
      </c>
      <c r="F880" s="2" t="inlineStr">
        <is>
          <t>Cádiz</t>
        </is>
      </c>
      <c r="G880" s="2" t="n"/>
      <c r="H880" s="2" t="inlineStr">
        <is>
          <t>Comité Central de Compras de Navantia S.A., S.M.E.</t>
        </is>
      </c>
      <c r="I880" s="2" t="inlineStr">
        <is>
          <t>Licitación para la adjudicación de un Contrato para los trabajos de retirada puntos altos antedique 4 en Navantia Cádiz.</t>
        </is>
      </c>
      <c r="J880" s="2" t="inlineStr">
        <is>
          <t>5100074847 dragado puntos altos D4 Navantia Cadiz</t>
        </is>
      </c>
      <c r="K880" s="2" t="inlineStr">
        <is>
          <t>Normas internas</t>
        </is>
      </c>
      <c r="L880" s="6" t="n">
        <v>2</v>
      </c>
      <c r="M880" s="2" t="n"/>
      <c r="N880" s="7" t="n">
        <v>1</v>
      </c>
      <c r="O880" s="4" t="n"/>
      <c r="P880" s="2" t="inlineStr">
        <is>
          <t>45252124</t>
        </is>
      </c>
      <c r="Q880" s="8" t="inlineStr">
        <is>
          <t>Ver</t>
        </is>
      </c>
      <c r="R880" s="8" t="inlineStr">
        <is>
          <t>PCAP</t>
        </is>
      </c>
      <c r="S880" s="9" t="n">
        <v>46317</v>
      </c>
      <c r="T880" s="3" t="n">
        <v>46316.60101851852</v>
      </c>
      <c r="U880" s="2" t="n"/>
    </row>
    <row r="881">
      <c r="A881" s="2" t="inlineStr">
        <is>
          <t>Resuelta</t>
        </is>
      </c>
      <c r="B881" s="3" t="n">
        <v>45943.5</v>
      </c>
      <c r="C881" s="5" t="n">
        <v>367462</v>
      </c>
      <c r="D881" s="5" t="n">
        <v>367462</v>
      </c>
      <c r="E881" s="2" t="inlineStr">
        <is>
          <t>Comunitat Valenciana</t>
        </is>
      </c>
      <c r="F881" s="2" t="inlineStr">
        <is>
          <t>Valencia</t>
        </is>
      </c>
      <c r="G881" s="2" t="inlineStr">
        <is>
          <t>Montroi</t>
        </is>
      </c>
      <c r="H881" s="2" t="inlineStr">
        <is>
          <t>Pleno del Ayuntamiento de Montroy</t>
        </is>
      </c>
      <c r="I881" s="2" t="inlineStr">
        <is>
          <t>Obras para la Restitución del entorno superior y trasero de la escuela infantil, por emergencia al amparo de la Orden TMD/101/2025, de 31 de enero, para la concesión directa de subvenciones a ayuntamientos y diputaciones provinciales para financiar obras ...de los daños causados por la Depresión Aislada en Niveles Altos (DANA) entre el 28 de octubre y el 4 de noviembre</t>
        </is>
      </c>
      <c r="J881" s="2" t="inlineStr">
        <is>
          <t>2095/2025</t>
        </is>
      </c>
      <c r="K881" s="2" t="inlineStr">
        <is>
          <t>Negociado sin publicidad</t>
        </is>
      </c>
      <c r="L881" s="6" t="n">
        <v>2</v>
      </c>
      <c r="M881" s="2" t="n"/>
      <c r="N881" s="7" t="n"/>
      <c r="O881" s="4" t="n"/>
      <c r="P881" s="2" t="inlineStr">
        <is>
          <t>45000000</t>
        </is>
      </c>
      <c r="Q881" s="8" t="inlineStr">
        <is>
          <t>Ver</t>
        </is>
      </c>
      <c r="R881" s="8" t="inlineStr">
        <is>
          <t>PCAP</t>
        </is>
      </c>
      <c r="S881" s="9" t="n">
        <v>46317</v>
      </c>
      <c r="T881" s="3" t="n">
        <v>46316.60053240741</v>
      </c>
      <c r="U881" s="2" t="n"/>
    </row>
    <row r="882">
      <c r="A882" s="2" t="inlineStr">
        <is>
          <t>En plazo</t>
        </is>
      </c>
      <c r="B882" s="3" t="n">
        <v>46336.99930555555</v>
      </c>
      <c r="C882" s="5" t="n">
        <v>495696.42</v>
      </c>
      <c r="D882" s="5" t="n">
        <v>495696.42</v>
      </c>
      <c r="E882" s="2" t="inlineStr">
        <is>
          <t>Andalucía</t>
        </is>
      </c>
      <c r="F882" s="2" t="inlineStr">
        <is>
          <t>Málaga</t>
        </is>
      </c>
      <c r="G882" s="2" t="n"/>
      <c r="H882" s="2" t="inlineStr">
        <is>
          <t>Concejalía de Hacienda del Ayuntamiento de Benalmádena</t>
        </is>
      </c>
      <c r="I882" s="2" t="inlineStr">
        <is>
          <t>Obra del "Parque infantil y pista polideportiva en la Viñuela", en calle Rambla, en el Término Municipal de Benalmádena</t>
        </is>
      </c>
      <c r="J882" s="2" t="inlineStr">
        <is>
          <t>2026/53673Y</t>
        </is>
      </c>
      <c r="K882" s="2" t="inlineStr">
        <is>
          <t>Abierto simplificado</t>
        </is>
      </c>
      <c r="L882" s="6" t="n">
        <v>6</v>
      </c>
      <c r="M882" s="2" t="n"/>
      <c r="N882" s="7" t="n">
        <v>0</v>
      </c>
      <c r="O882" s="4" t="n"/>
      <c r="P882" s="2" t="inlineStr">
        <is>
          <t>45220000</t>
        </is>
      </c>
      <c r="Q882" s="8" t="inlineStr">
        <is>
          <t>Ver</t>
        </is>
      </c>
      <c r="R882" s="8" t="inlineStr">
        <is>
          <t>PCAP</t>
        </is>
      </c>
      <c r="S882" s="9" t="n">
        <v>46317</v>
      </c>
      <c r="T882" s="3" t="n">
        <v>46316.59855324074</v>
      </c>
      <c r="U882" s="2" t="n"/>
    </row>
    <row r="883">
      <c r="A883" s="2" t="inlineStr">
        <is>
          <t>En plazo</t>
        </is>
      </c>
      <c r="B883" s="3" t="n">
        <v>46331.99930555555</v>
      </c>
      <c r="C883" s="5" t="n">
        <v>78500</v>
      </c>
      <c r="D883" s="5" t="n">
        <v>78500</v>
      </c>
      <c r="E883" s="2" t="inlineStr">
        <is>
          <t>Andalucía</t>
        </is>
      </c>
      <c r="F883" s="2" t="inlineStr">
        <is>
          <t>Huelva</t>
        </is>
      </c>
      <c r="G883" s="2" t="n"/>
      <c r="H883" s="2" t="inlineStr">
        <is>
          <t>Pleno del Ayuntamiento de Alájar</t>
        </is>
      </c>
      <c r="I883" s="2" t="inlineStr">
        <is>
          <t>Reparación y Rehabilitación de caminos públicos dañados por borrascas en el término municipal de Alájar.</t>
        </is>
      </c>
      <c r="J883" s="2" t="inlineStr">
        <is>
          <t>2026/CON_02/000015</t>
        </is>
      </c>
      <c r="K883" s="2" t="inlineStr">
        <is>
          <t>Abierto simplificado</t>
        </is>
      </c>
      <c r="L883" s="6" t="n">
        <v>3</v>
      </c>
      <c r="M883" s="2" t="n"/>
      <c r="N883" s="7" t="n">
        <v>0</v>
      </c>
      <c r="O883" s="4" t="n"/>
      <c r="P883" s="2" t="inlineStr">
        <is>
          <t>45233200</t>
        </is>
      </c>
      <c r="Q883" s="8" t="inlineStr">
        <is>
          <t>Ver</t>
        </is>
      </c>
      <c r="R883" s="8" t="inlineStr">
        <is>
          <t>PCAP</t>
        </is>
      </c>
      <c r="S883" s="9" t="n">
        <v>46317</v>
      </c>
      <c r="T883" s="3" t="n">
        <v>46316.59578703704</v>
      </c>
      <c r="U883" s="2" t="n"/>
    </row>
    <row r="884">
      <c r="A884" s="2" t="inlineStr">
        <is>
          <t>Pendiente de adjudicación</t>
        </is>
      </c>
      <c r="B884" s="3" t="n">
        <v>46314.99930555555</v>
      </c>
      <c r="C884" s="5" t="n">
        <v>165288.4</v>
      </c>
      <c r="D884" s="5" t="n">
        <v>165288.4</v>
      </c>
      <c r="E884" s="2" t="inlineStr">
        <is>
          <t>Andalucía</t>
        </is>
      </c>
      <c r="F884" s="2" t="inlineStr">
        <is>
          <t>Granada</t>
        </is>
      </c>
      <c r="G884" s="2" t="n"/>
      <c r="H884" s="2" t="inlineStr">
        <is>
          <t>Alcaldia del Ayuntamiento de Salobreña</t>
        </is>
      </c>
      <c r="I884" s="2" t="inlineStr">
        <is>
          <t>La ejecución del proyecto de sustitución del césped artificial y riego del campo de fútbol.</t>
        </is>
      </c>
      <c r="J884" s="2" t="inlineStr">
        <is>
          <t>Expte.807/2026</t>
        </is>
      </c>
      <c r="K884" s="2" t="inlineStr">
        <is>
          <t>Abierto simplificado</t>
        </is>
      </c>
      <c r="L884" s="6" t="n">
        <v>2</v>
      </c>
      <c r="M884" s="2" t="n"/>
      <c r="N884" s="7" t="n">
        <v>0</v>
      </c>
      <c r="O884" s="4" t="n"/>
      <c r="P884" s="2" t="inlineStr">
        <is>
          <t>45236119; 45100000; 39293400</t>
        </is>
      </c>
      <c r="Q884" s="8" t="inlineStr">
        <is>
          <t>Ver</t>
        </is>
      </c>
      <c r="R884" s="8" t="inlineStr">
        <is>
          <t>PCAP</t>
        </is>
      </c>
      <c r="S884" s="9" t="n">
        <v>46317</v>
      </c>
      <c r="T884" s="3" t="n">
        <v>46316.59578703704</v>
      </c>
      <c r="U884" s="2" t="n"/>
    </row>
    <row r="885">
      <c r="A885" s="2" t="inlineStr">
        <is>
          <t>En plazo</t>
        </is>
      </c>
      <c r="B885" s="3" t="n">
        <v>46335.79166666666</v>
      </c>
      <c r="C885" s="5" t="n">
        <v>190470.22</v>
      </c>
      <c r="D885" s="5" t="n">
        <v>190470.22</v>
      </c>
      <c r="E885" s="2" t="inlineStr">
        <is>
          <t>Comunitat Valenciana</t>
        </is>
      </c>
      <c r="F885" s="2" t="inlineStr">
        <is>
          <t>Castellón</t>
        </is>
      </c>
      <c r="G885" s="2" t="inlineStr">
        <is>
          <t>Artana</t>
        </is>
      </c>
      <c r="H885" s="2" t="inlineStr">
        <is>
          <t>Dirección Territorial de Educación y Universidades de Castellón</t>
        </is>
      </c>
      <c r="I885" s="2" t="inlineStr">
        <is>
          <t>Ampliación para ubicación de ascensor, escalera, almacén, actuaciones de accesibilidad y sustitución de aparatos sanitarios en el CEIP Carme Martín de Artana (Castellón)</t>
        </is>
      </c>
      <c r="J885" s="2" t="inlineStr">
        <is>
          <t>CMAYOR/2026/39Y14/0088</t>
        </is>
      </c>
      <c r="K885" s="2" t="inlineStr">
        <is>
          <t>Abierto simplificado</t>
        </is>
      </c>
      <c r="L885" s="6" t="n">
        <v>6</v>
      </c>
      <c r="M885" s="2" t="n"/>
      <c r="N885" s="7" t="n">
        <v>0</v>
      </c>
      <c r="O885" s="4" t="n"/>
      <c r="P885" s="2" t="inlineStr">
        <is>
          <t>45214210; 45000000</t>
        </is>
      </c>
      <c r="Q885" s="8" t="inlineStr">
        <is>
          <t>Ver</t>
        </is>
      </c>
      <c r="R885" s="8" t="inlineStr">
        <is>
          <t>PCAP</t>
        </is>
      </c>
      <c r="S885" s="9" t="n">
        <v>46310</v>
      </c>
      <c r="T885" s="3" t="n">
        <v>46316.59458333333</v>
      </c>
      <c r="U885" s="2" t="inlineStr">
        <is>
          <t>2026-10-22: plazo 2026-11-04 19:00 → 2026-11-09 19:00</t>
        </is>
      </c>
    </row>
    <row r="886">
      <c r="A886" s="2" t="inlineStr">
        <is>
          <t>En plazo</t>
        </is>
      </c>
      <c r="B886" s="3" t="n">
        <v>46330.79166666666</v>
      </c>
      <c r="C886" s="5" t="n">
        <v>173771.55</v>
      </c>
      <c r="D886" s="5" t="n">
        <v>173771.55</v>
      </c>
      <c r="E886" s="2" t="inlineStr">
        <is>
          <t>Comunitat Valenciana</t>
        </is>
      </c>
      <c r="F886" s="2" t="inlineStr">
        <is>
          <t>Castellón</t>
        </is>
      </c>
      <c r="G886" s="2" t="inlineStr">
        <is>
          <t>Morella</t>
        </is>
      </c>
      <c r="H886" s="2" t="inlineStr">
        <is>
          <t>Dirección Territorial de Educación y Universidades de Castellón</t>
        </is>
      </c>
      <c r="I886" s="2" t="inlineStr">
        <is>
          <t>Reforma de la instalación de calefacción y mejoras en el patio de infantil en el CEIP Mare de Deu de la Vallivana de Morella</t>
        </is>
      </c>
      <c r="J886" s="2" t="inlineStr">
        <is>
          <t>CMAYOR/2026/39Y14/0011</t>
        </is>
      </c>
      <c r="K886" s="2" t="inlineStr">
        <is>
          <t>Abierto simplificado</t>
        </is>
      </c>
      <c r="L886" s="6" t="n">
        <v>3</v>
      </c>
      <c r="M886" s="2" t="n"/>
      <c r="N886" s="7" t="n">
        <v>0</v>
      </c>
      <c r="O886" s="4" t="n"/>
      <c r="P886" s="2" t="inlineStr">
        <is>
          <t>45214210; 45000000</t>
        </is>
      </c>
      <c r="Q886" s="8" t="inlineStr">
        <is>
          <t>Ver</t>
        </is>
      </c>
      <c r="R886" s="8" t="inlineStr">
        <is>
          <t>PCAP</t>
        </is>
      </c>
      <c r="S886" s="9" t="n">
        <v>46310</v>
      </c>
      <c r="T886" s="3" t="n">
        <v>46316.59334490741</v>
      </c>
      <c r="U886" s="2" t="n"/>
    </row>
    <row r="887">
      <c r="A887" s="2" t="inlineStr">
        <is>
          <t>En plazo</t>
        </is>
      </c>
      <c r="B887" s="3" t="n">
        <v>46335.79166666666</v>
      </c>
      <c r="C887" s="5" t="n">
        <v>407483.45</v>
      </c>
      <c r="D887" s="5" t="n">
        <v>407483.45</v>
      </c>
      <c r="E887" s="2" t="inlineStr">
        <is>
          <t>Comunitat Valenciana</t>
        </is>
      </c>
      <c r="F887" s="2" t="inlineStr">
        <is>
          <t>Castellón</t>
        </is>
      </c>
      <c r="G887" s="2" t="inlineStr">
        <is>
          <t>Segorbe</t>
        </is>
      </c>
      <c r="H887" s="2" t="inlineStr">
        <is>
          <t>Dirección Territorial de Educación y Universidades de Castellón</t>
        </is>
      </c>
      <c r="I887" s="2" t="inlineStr">
        <is>
          <t>Obra mayor de transformación de los espacios de trinquete y galotxeta en aulas taller en el IES Alto Palancia de Segorbe</t>
        </is>
      </c>
      <c r="J887" s="2" t="inlineStr">
        <is>
          <t>CMAYOR/2026/39Y14/0001</t>
        </is>
      </c>
      <c r="K887" s="2" t="inlineStr">
        <is>
          <t>Abierto simplificado</t>
        </is>
      </c>
      <c r="L887" s="6" t="n">
        <v>4</v>
      </c>
      <c r="M887" s="2" t="n"/>
      <c r="N887" s="7" t="n">
        <v>0</v>
      </c>
      <c r="O887" s="4" t="n"/>
      <c r="P887" s="2" t="inlineStr">
        <is>
          <t>45214220; 45000000</t>
        </is>
      </c>
      <c r="Q887" s="8" t="inlineStr">
        <is>
          <t>Ver</t>
        </is>
      </c>
      <c r="R887" s="8" t="inlineStr">
        <is>
          <t>PCAP</t>
        </is>
      </c>
      <c r="S887" s="9" t="n">
        <v>46310</v>
      </c>
      <c r="T887" s="3" t="n">
        <v>46316.59190972222</v>
      </c>
      <c r="U887" s="2" t="inlineStr">
        <is>
          <t>2026-10-22: plazo 2026-11-04 19:00 → 2026-11-09 19:00</t>
        </is>
      </c>
    </row>
    <row r="888">
      <c r="A888" s="2" t="inlineStr">
        <is>
          <t>Resuelta</t>
        </is>
      </c>
      <c r="B888" s="3" t="n">
        <v>44564.99930555555</v>
      </c>
      <c r="C888" s="5" t="n">
        <v>67462.00999999999</v>
      </c>
      <c r="D888" s="5" t="n">
        <v>67462.00999999999</v>
      </c>
      <c r="E888" s="2" t="inlineStr">
        <is>
          <t>Comunitat Valenciana</t>
        </is>
      </c>
      <c r="F888" s="2" t="inlineStr">
        <is>
          <t>Valencia</t>
        </is>
      </c>
      <c r="G888" s="2" t="n"/>
      <c r="H888" s="2" t="inlineStr">
        <is>
          <t>Concejalía Delegada de Contratación del Ajuntament de València</t>
        </is>
      </c>
      <c r="I888" s="2" t="inlineStr">
        <is>
          <t>Obras de ejecución del proyecto “Rehabilitación de la Barraca de Cotofío o Tío Tonet en la Pedanía de la Torre – València”.-</t>
        </is>
      </c>
      <c r="J888" s="2" t="inlineStr">
        <is>
          <t>04101/2021/253-O</t>
        </is>
      </c>
      <c r="K888" s="2" t="inlineStr">
        <is>
          <t>Abierto simplificado</t>
        </is>
      </c>
      <c r="L888" s="6" t="n">
        <v>5</v>
      </c>
      <c r="M888" s="2" t="n"/>
      <c r="N888" s="7" t="n">
        <v>0</v>
      </c>
      <c r="O888" s="4" t="n"/>
      <c r="P888" s="2" t="inlineStr">
        <is>
          <t>45000000</t>
        </is>
      </c>
      <c r="Q888" s="8" t="inlineStr">
        <is>
          <t>Ver</t>
        </is>
      </c>
      <c r="R888" s="8" t="inlineStr">
        <is>
          <t>PCAP</t>
        </is>
      </c>
      <c r="S888" s="9" t="n">
        <v>46317</v>
      </c>
      <c r="T888" s="3" t="n">
        <v>46316.58880787037</v>
      </c>
      <c r="U888" s="2" t="n"/>
    </row>
    <row r="889">
      <c r="A889" s="2" t="inlineStr">
        <is>
          <t>Pendiente de adjudicación</t>
        </is>
      </c>
      <c r="B889" s="3" t="n">
        <v>46311.99930555555</v>
      </c>
      <c r="C889" s="5" t="n">
        <v>746329.11</v>
      </c>
      <c r="D889" s="5" t="n">
        <v>746329.11</v>
      </c>
      <c r="E889" s="2" t="inlineStr">
        <is>
          <t>Andalucía</t>
        </is>
      </c>
      <c r="F889" s="2" t="inlineStr">
        <is>
          <t>Granada</t>
        </is>
      </c>
      <c r="G889" s="2" t="n"/>
      <c r="H889" s="2" t="inlineStr">
        <is>
          <t>Alcaldia del Ayuntamiento de Salobreña</t>
        </is>
      </c>
      <c r="I889" s="2" t="inlineStr">
        <is>
          <t>La ejecución del proyecto de asfaltado viario público</t>
        </is>
      </c>
      <c r="J889" s="2" t="inlineStr">
        <is>
          <t>Expte.5578/2026</t>
        </is>
      </c>
      <c r="K889" s="2" t="inlineStr">
        <is>
          <t>Abierto simplificado</t>
        </is>
      </c>
      <c r="L889" s="6" t="n">
        <v>2</v>
      </c>
      <c r="M889" s="2" t="inlineStr">
        <is>
          <t>G4-3</t>
        </is>
      </c>
      <c r="N889" s="7" t="n">
        <v>0</v>
      </c>
      <c r="O889" s="4" t="n"/>
      <c r="P889" s="2" t="inlineStr">
        <is>
          <t>45100000; 45233222; 45000000</t>
        </is>
      </c>
      <c r="Q889" s="8" t="inlineStr">
        <is>
          <t>Ver</t>
        </is>
      </c>
      <c r="R889" s="8" t="inlineStr">
        <is>
          <t>PCAP</t>
        </is>
      </c>
      <c r="S889" s="9" t="n">
        <v>46317</v>
      </c>
      <c r="T889" s="3" t="n">
        <v>46316.58790509259</v>
      </c>
      <c r="U889" s="2" t="n"/>
    </row>
    <row r="890">
      <c r="A890" s="2" t="inlineStr">
        <is>
          <t>Pendiente de adjudicación</t>
        </is>
      </c>
      <c r="B890" s="3" t="n">
        <v>46295.99930555555</v>
      </c>
      <c r="C890" s="5" t="n">
        <v>194214.88</v>
      </c>
      <c r="D890" s="5" t="n">
        <v>194214.88</v>
      </c>
      <c r="E890" s="2" t="inlineStr">
        <is>
          <t>Andalucía</t>
        </is>
      </c>
      <c r="F890" s="2" t="inlineStr">
        <is>
          <t>Almería</t>
        </is>
      </c>
      <c r="G890" s="2" t="inlineStr">
        <is>
          <t>VÍCAR</t>
        </is>
      </c>
      <c r="H890" s="2" t="inlineStr">
        <is>
          <t>JUNTA DE GOBIERNO LOCAL AYUNTAMIENTO DE VÍCAR</t>
        </is>
      </c>
      <c r="I890" s="2" t="inlineStr">
        <is>
          <t>Reposición de red de abastecimiento camino de servicio Canal de Benínar, TM VÍCAR (Almería)</t>
        </is>
      </c>
      <c r="J890" s="2" t="inlineStr">
        <is>
          <t>7309/2026</t>
        </is>
      </c>
      <c r="K890" s="2" t="inlineStr">
        <is>
          <t>Abierto simplificado</t>
        </is>
      </c>
      <c r="L890" s="6" t="n">
        <v>2</v>
      </c>
      <c r="M890" s="2" t="n"/>
      <c r="N890" s="7" t="n">
        <v>0.25</v>
      </c>
      <c r="O890" s="4" t="n"/>
      <c r="P890" s="2" t="inlineStr">
        <is>
          <t>45231113; 45232100; 45232150</t>
        </is>
      </c>
      <c r="Q890" s="8" t="inlineStr">
        <is>
          <t>Ver</t>
        </is>
      </c>
      <c r="R890" s="8" t="inlineStr">
        <is>
          <t>PCAP</t>
        </is>
      </c>
      <c r="S890" s="9" t="n">
        <v>46310</v>
      </c>
      <c r="T890" s="3" t="n">
        <v>46316.58621527778</v>
      </c>
      <c r="U890" s="2" t="n"/>
    </row>
    <row r="891">
      <c r="A891" s="2" t="inlineStr">
        <is>
          <t>Resuelta</t>
        </is>
      </c>
      <c r="B891" s="3" t="n"/>
      <c r="C891" s="5" t="n">
        <v>3980473.41</v>
      </c>
      <c r="D891" s="5" t="n">
        <v>4816372.83</v>
      </c>
      <c r="E891" s="2" t="inlineStr">
        <is>
          <t>Andalucía</t>
        </is>
      </c>
      <c r="F891" s="2" t="inlineStr">
        <is>
          <t>Granada</t>
        </is>
      </c>
      <c r="G891" s="2" t="n"/>
      <c r="H891" s="2" t="inlineStr">
        <is>
          <t>Demarcación de Carreteras del Estado en Andalucía Oriental</t>
        </is>
      </c>
      <c r="I891" s="2" t="inlineStr">
        <is>
          <t>Reposición de ODTS por daños provocados por las lluvias del 11 de noviembre de 2024 en los TT.MM. de Adra, Balanegra, El Ejido, La Mojonera y Roquetas de Mar, provincia de Almería. Lote 3</t>
        </is>
      </c>
      <c r="J891" s="2" t="inlineStr">
        <is>
          <t>EM24-AL-01.L3</t>
        </is>
      </c>
      <c r="K891" s="2" t="inlineStr">
        <is>
          <t>Negociado sin publicidad</t>
        </is>
      </c>
      <c r="L891" s="6" t="n">
        <v>12</v>
      </c>
      <c r="M891" s="2" t="n"/>
      <c r="N891" s="7" t="n"/>
      <c r="O891" s="4" t="n"/>
      <c r="P891" s="2" t="inlineStr">
        <is>
          <t>45000000</t>
        </is>
      </c>
      <c r="Q891" s="8" t="inlineStr">
        <is>
          <t>Ver</t>
        </is>
      </c>
      <c r="R891" s="2" t="n"/>
      <c r="S891" s="9" t="n">
        <v>46317</v>
      </c>
      <c r="T891" s="3" t="n">
        <v>46316.58092592593</v>
      </c>
      <c r="U891" s="2" t="n"/>
    </row>
    <row r="892">
      <c r="A892" s="2" t="inlineStr">
        <is>
          <t>Pendiente de adjudicación</t>
        </is>
      </c>
      <c r="B892" s="3" t="n">
        <v>46308.79166666666</v>
      </c>
      <c r="C892" s="5" t="n">
        <v>70872.67999999999</v>
      </c>
      <c r="D892" s="5" t="n">
        <v>70872.67999999999</v>
      </c>
      <c r="E892" s="2" t="inlineStr">
        <is>
          <t>Comunitat Valenciana</t>
        </is>
      </c>
      <c r="F892" s="2" t="inlineStr">
        <is>
          <t>Valencia</t>
        </is>
      </c>
      <c r="G892" s="2" t="inlineStr">
        <is>
          <t>Corbera</t>
        </is>
      </c>
      <c r="H892" s="2" t="inlineStr">
        <is>
          <t>Alcaldía del Ayuntamiento de Corbera</t>
        </is>
      </c>
      <c r="I892" s="2" t="inlineStr">
        <is>
          <t>Reconstrucción áreas recreativas para actividades culturales en el ámbito de la infancia y la juventud en el municipio de Corbera.</t>
        </is>
      </c>
      <c r="J892" s="2" t="inlineStr">
        <is>
          <t>1529/2026</t>
        </is>
      </c>
      <c r="K892" s="2" t="inlineStr">
        <is>
          <t>Abierto simplificado</t>
        </is>
      </c>
      <c r="L892" s="6" t="n"/>
      <c r="M892" s="2" t="n"/>
      <c r="N892" s="7" t="n">
        <v>0</v>
      </c>
      <c r="O892" s="4" t="n"/>
      <c r="P892" s="2" t="inlineStr">
        <is>
          <t>45236210; 45236250; 34928400; 45233293; 34970000</t>
        </is>
      </c>
      <c r="Q892" s="8" t="inlineStr">
        <is>
          <t>Ver</t>
        </is>
      </c>
      <c r="R892" s="8" t="inlineStr">
        <is>
          <t>PCAP</t>
        </is>
      </c>
      <c r="S892" s="9" t="n">
        <v>46310</v>
      </c>
      <c r="T892" s="3" t="n">
        <v>46316.57957175926</v>
      </c>
      <c r="U892" s="2" t="n"/>
    </row>
    <row r="893">
      <c r="A893" s="2" t="inlineStr">
        <is>
          <t>Pendiente de adjudicación</t>
        </is>
      </c>
      <c r="B893" s="3" t="n">
        <v>46294.79166666666</v>
      </c>
      <c r="C893" s="5" t="n">
        <v>578214.0699999999</v>
      </c>
      <c r="D893" s="5" t="n">
        <v>578214.0699999999</v>
      </c>
      <c r="E893" s="2" t="inlineStr">
        <is>
          <t>Andalucía</t>
        </is>
      </c>
      <c r="F893" s="2" t="inlineStr">
        <is>
          <t>Granada</t>
        </is>
      </c>
      <c r="G893" s="2" t="n"/>
      <c r="H893" s="2" t="inlineStr">
        <is>
          <t>Junta de Gobierno Local del Ayuntamiento de Ogíjares</t>
        </is>
      </c>
      <c r="I893" s="2" t="inlineStr">
        <is>
          <t>Contrato de obras de construcción de campo de fútbol siete con módulo de vestuarios y sala polivalente en Ogíjares (Granada).</t>
        </is>
      </c>
      <c r="J893" s="2" t="inlineStr">
        <is>
          <t>4249/2026</t>
        </is>
      </c>
      <c r="K893" s="2" t="inlineStr">
        <is>
          <t>Abierto simplificado</t>
        </is>
      </c>
      <c r="L893" s="6" t="n">
        <v>12</v>
      </c>
      <c r="M893" s="2" t="inlineStr">
        <is>
          <t>G6-3</t>
        </is>
      </c>
      <c r="N893" s="7" t="n">
        <v>0</v>
      </c>
      <c r="O893" s="4" t="n"/>
      <c r="P893" s="2" t="inlineStr">
        <is>
          <t>45000000</t>
        </is>
      </c>
      <c r="Q893" s="8" t="inlineStr">
        <is>
          <t>Ver</t>
        </is>
      </c>
      <c r="R893" s="8" t="inlineStr">
        <is>
          <t>PCAP</t>
        </is>
      </c>
      <c r="S893" s="9" t="n">
        <v>46310</v>
      </c>
      <c r="T893" s="3" t="n">
        <v>46316.57942129629</v>
      </c>
      <c r="U893" s="2" t="n"/>
    </row>
    <row r="894">
      <c r="A894" s="2" t="inlineStr">
        <is>
          <t>En plazo</t>
        </is>
      </c>
      <c r="B894" s="3" t="n">
        <v>46344.99930555555</v>
      </c>
      <c r="C894" s="5" t="n">
        <v>47600</v>
      </c>
      <c r="D894" s="5" t="n">
        <v>47600</v>
      </c>
      <c r="E894" s="2" t="inlineStr">
        <is>
          <t>Andalucía</t>
        </is>
      </c>
      <c r="F894" s="2" t="inlineStr">
        <is>
          <t>Sevilla</t>
        </is>
      </c>
      <c r="G894" s="2" t="n"/>
      <c r="H894" s="2" t="inlineStr">
        <is>
          <t>Alcaldía del Ayuntamiento de Castilleja de Guzmán</t>
        </is>
      </c>
      <c r="I894" s="2" t="inlineStr">
        <is>
          <t>Sustitución de lucernario de la Casa Consistorial para la mejora de la eficiencia energética del Ayuntamiento de Castilleja de Guzmán. Plan Provincial MAS Sevilla.</t>
        </is>
      </c>
      <c r="J894" s="2" t="inlineStr">
        <is>
          <t>P4102800B-2026/000100-PAAS</t>
        </is>
      </c>
      <c r="K894" s="2" t="inlineStr">
        <is>
          <t>Abierto simplificado</t>
        </is>
      </c>
      <c r="L894" s="6" t="n">
        <v>1</v>
      </c>
      <c r="M894" s="2" t="n"/>
      <c r="N894" s="7" t="n">
        <v>0</v>
      </c>
      <c r="O894" s="4" t="n"/>
      <c r="P894" s="2" t="inlineStr">
        <is>
          <t>45000000</t>
        </is>
      </c>
      <c r="Q894" s="8" t="inlineStr">
        <is>
          <t>Ver</t>
        </is>
      </c>
      <c r="R894" s="8" t="inlineStr">
        <is>
          <t>PCAP</t>
        </is>
      </c>
      <c r="S894" s="9" t="n">
        <v>46317</v>
      </c>
      <c r="T894" s="3" t="n">
        <v>46316.57862268519</v>
      </c>
      <c r="U894" s="2" t="n"/>
    </row>
    <row r="895">
      <c r="A895" s="2" t="inlineStr">
        <is>
          <t>Pendiente de adjudicación</t>
        </is>
      </c>
      <c r="B895" s="3" t="n">
        <v>46300.99930555555</v>
      </c>
      <c r="C895" s="5" t="n">
        <v>416028.59</v>
      </c>
      <c r="D895" s="5" t="n">
        <v>416028.59</v>
      </c>
      <c r="E895" s="2" t="inlineStr">
        <is>
          <t>Andalucía</t>
        </is>
      </c>
      <c r="F895" s="2" t="inlineStr">
        <is>
          <t>Córdoba</t>
        </is>
      </c>
      <c r="G895" s="2" t="inlineStr">
        <is>
          <t>CABRA</t>
        </is>
      </c>
      <c r="H895" s="2" t="inlineStr">
        <is>
          <t>Alcaldía del Ayuntamiento de Cabra</t>
        </is>
      </c>
      <c r="I895" s="2" t="inlineStr">
        <is>
          <t>Obras de Construcción de REMODELACIÓN DE PISTA DE CICLISMO Y EDIFICIO DE VESTUARIOS PARA PISTA DE FÚTBOL-7, contrato que se ejecuta en el marco del Plan de Actuación Integrado de Cabra y está cofinanciado por la Unión Europea a través del Fondo Europeo de Desarrollo Regional (FEDER) dentro del Programa Operativo Plurirregional de España FEDER 2021-2027</t>
        </is>
      </c>
      <c r="J895" s="2" t="inlineStr">
        <is>
          <t>2026/25342</t>
        </is>
      </c>
      <c r="K895" s="2" t="inlineStr">
        <is>
          <t>Abierto simplificado</t>
        </is>
      </c>
      <c r="L895" s="6" t="n">
        <v>6</v>
      </c>
      <c r="M895" s="2" t="n"/>
      <c r="N895" s="7" t="n">
        <v>0</v>
      </c>
      <c r="O895" s="4" t="n"/>
      <c r="P895" s="2" t="inlineStr">
        <is>
          <t>45212200; 45212000</t>
        </is>
      </c>
      <c r="Q895" s="8" t="inlineStr">
        <is>
          <t>Ver</t>
        </is>
      </c>
      <c r="R895" s="8" t="inlineStr">
        <is>
          <t>PCAP</t>
        </is>
      </c>
      <c r="S895" s="9" t="n">
        <v>46317</v>
      </c>
      <c r="T895" s="3" t="n">
        <v>46316.57778935185</v>
      </c>
      <c r="U895" s="2" t="n"/>
    </row>
    <row r="896">
      <c r="A896" s="2" t="inlineStr">
        <is>
          <t>Adjudicada</t>
        </is>
      </c>
      <c r="B896" s="3" t="n">
        <v>46031.75</v>
      </c>
      <c r="C896" s="5" t="n">
        <v>6000004.82</v>
      </c>
      <c r="D896" s="5" t="n">
        <v>16200013.01</v>
      </c>
      <c r="E896" s="2" t="inlineStr">
        <is>
          <t>Andalucía</t>
        </is>
      </c>
      <c r="F896" s="2" t="inlineStr">
        <is>
          <t>Málaga</t>
        </is>
      </c>
      <c r="G896" s="2" t="n"/>
      <c r="H896" s="2" t="inlineStr">
        <is>
          <t>Consejero Delegado de la Empresa Municipal de Aguas de Málaga S.A.</t>
        </is>
      </c>
      <c r="I896" s="2" t="inlineStr">
        <is>
          <t>Acuerdo Marco para la contratación de la rehabilitación/renovación mediante tecnología sin apertura de zanja del plan de renovación de redes de la ciudad de Málaga para diámetros pequeños y medios de saneamiento (Ø&lt;= 600 mm) y otros sistemas innovadores</t>
        </is>
      </c>
      <c r="J896" s="2" t="inlineStr">
        <is>
          <t>25-620</t>
        </is>
      </c>
      <c r="K896" s="2" t="inlineStr">
        <is>
          <t>Abierto</t>
        </is>
      </c>
      <c r="L896" s="6" t="n">
        <v>24</v>
      </c>
      <c r="M896" s="2" t="n"/>
      <c r="N896" s="7" t="n">
        <v>0.42</v>
      </c>
      <c r="O896" s="4" t="n"/>
      <c r="P896" s="2" t="inlineStr">
        <is>
          <t>45232151; 45231300</t>
        </is>
      </c>
      <c r="Q896" s="8" t="inlineStr">
        <is>
          <t>Ver</t>
        </is>
      </c>
      <c r="R896" s="8" t="inlineStr">
        <is>
          <t>PCAP</t>
        </is>
      </c>
      <c r="S896" s="9" t="n">
        <v>46317</v>
      </c>
      <c r="T896" s="3" t="n">
        <v>46316.57685185185</v>
      </c>
      <c r="U896" s="2" t="n"/>
    </row>
    <row r="897">
      <c r="A897" s="2" t="inlineStr">
        <is>
          <t>Resuelta</t>
        </is>
      </c>
      <c r="B897" s="3" t="n">
        <v>46301.41666666666</v>
      </c>
      <c r="C897" s="5" t="n">
        <v>439221</v>
      </c>
      <c r="D897" s="5" t="n">
        <v>439221</v>
      </c>
      <c r="E897" s="2" t="inlineStr">
        <is>
          <t>Comunitat Valenciana</t>
        </is>
      </c>
      <c r="F897" s="2" t="inlineStr">
        <is>
          <t>Valencia</t>
        </is>
      </c>
      <c r="G897" s="2" t="inlineStr">
        <is>
          <t>Término municipal de Massanassa (Valencia).</t>
        </is>
      </c>
      <c r="H897" s="2" t="inlineStr">
        <is>
          <t>Empresa de Transformación Agraria S.A.,S.M.E., M.P., (TRAGSA)</t>
        </is>
      </c>
      <c r="I897"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INF PREV INCENDIOS VAL</t>
        </is>
      </c>
      <c r="J897" s="2" t="inlineStr">
        <is>
          <t>TSA0079986-075</t>
        </is>
      </c>
      <c r="K897" s="2" t="inlineStr">
        <is>
          <t>Abierto</t>
        </is>
      </c>
      <c r="L897" s="6" t="n">
        <v>2</v>
      </c>
      <c r="M897" s="2" t="n"/>
      <c r="N897" s="7" t="n">
        <v>0</v>
      </c>
      <c r="O897" s="4" t="n"/>
      <c r="P897" s="2" t="inlineStr">
        <is>
          <t>45233200</t>
        </is>
      </c>
      <c r="Q897" s="8" t="inlineStr">
        <is>
          <t>Ver</t>
        </is>
      </c>
      <c r="R897" s="8" t="inlineStr">
        <is>
          <t>PCAP</t>
        </is>
      </c>
      <c r="S897" s="9" t="n">
        <v>46315</v>
      </c>
      <c r="T897" s="3" t="n">
        <v>46316.57237268519</v>
      </c>
      <c r="U897" s="2" t="n"/>
    </row>
    <row r="898">
      <c r="A898" s="2" t="inlineStr">
        <is>
          <t>Adjudicada</t>
        </is>
      </c>
      <c r="B898" s="3" t="n">
        <v>46223.625</v>
      </c>
      <c r="C898" s="5" t="n">
        <v>159154.27</v>
      </c>
      <c r="D898" s="5" t="n">
        <v>159154.27</v>
      </c>
      <c r="E898" s="2" t="inlineStr">
        <is>
          <t>Comunitat Valenciana</t>
        </is>
      </c>
      <c r="F898" s="2" t="inlineStr">
        <is>
          <t>Castellón</t>
        </is>
      </c>
      <c r="G898" s="2" t="inlineStr">
        <is>
          <t>Castellón de la Plana</t>
        </is>
      </c>
      <c r="H898" s="2" t="inlineStr">
        <is>
          <t>Dirección Territorial de Educación y Universidades de Castellón</t>
        </is>
      </c>
      <c r="I898" s="2" t="inlineStr">
        <is>
          <t>Vallado perimetral de la parcela de la Escuela Oficial de Idiomas de Castellón de la Plana</t>
        </is>
      </c>
      <c r="J898" s="2" t="inlineStr">
        <is>
          <t>CMAYOR/2026/39Y14/0002</t>
        </is>
      </c>
      <c r="K898" s="2" t="inlineStr">
        <is>
          <t>Abierto simplificado</t>
        </is>
      </c>
      <c r="L898" s="6" t="n">
        <v>3</v>
      </c>
      <c r="M898" s="2" t="n"/>
      <c r="N898" s="7" t="n">
        <v>0</v>
      </c>
      <c r="O898" s="4" t="n"/>
      <c r="P898" s="2" t="inlineStr">
        <is>
          <t>45214210</t>
        </is>
      </c>
      <c r="Q898" s="8" t="inlineStr">
        <is>
          <t>Ver</t>
        </is>
      </c>
      <c r="R898" s="8" t="inlineStr">
        <is>
          <t>PCAP</t>
        </is>
      </c>
      <c r="S898" s="9" t="n">
        <v>46317</v>
      </c>
      <c r="T898" s="3" t="n">
        <v>46316.57202546296</v>
      </c>
      <c r="U898" s="2" t="n"/>
    </row>
    <row r="899">
      <c r="A899" s="2" t="inlineStr">
        <is>
          <t>Plazo vencido</t>
        </is>
      </c>
      <c r="B899" s="3" t="n">
        <v>46321.99930555555</v>
      </c>
      <c r="C899" s="5" t="n">
        <v>725142.59</v>
      </c>
      <c r="D899" s="5" t="n">
        <v>725142.59</v>
      </c>
      <c r="E899" s="2" t="inlineStr">
        <is>
          <t>Andalucía</t>
        </is>
      </c>
      <c r="F899" s="2" t="inlineStr">
        <is>
          <t>Almería</t>
        </is>
      </c>
      <c r="G899" s="2" t="n"/>
      <c r="H899" s="2" t="inlineStr">
        <is>
          <t>Junta de Gobierno de la Diputación Provincial de Almería</t>
        </is>
      </c>
      <c r="I899" s="2" t="inlineStr">
        <is>
          <t>Consolidacióin Primaria Cortijo Del Fraile 1PGM2026</t>
        </is>
      </c>
      <c r="J899" s="2" t="inlineStr">
        <is>
          <t>2026/D31000/006-013/00029</t>
        </is>
      </c>
      <c r="K899" s="2" t="inlineStr">
        <is>
          <t>Abierto simplificado</t>
        </is>
      </c>
      <c r="L899" s="6" t="n">
        <v>10</v>
      </c>
      <c r="M899" s="2" t="n"/>
      <c r="N899" s="7" t="n">
        <v>0.25</v>
      </c>
      <c r="O899" s="4" t="n"/>
      <c r="P899" s="2" t="inlineStr">
        <is>
          <t>45212350</t>
        </is>
      </c>
      <c r="Q899" s="8" t="inlineStr">
        <is>
          <t>Ver</t>
        </is>
      </c>
      <c r="R899" s="8" t="inlineStr">
        <is>
          <t>PCAP</t>
        </is>
      </c>
      <c r="S899" s="9" t="n">
        <v>46317</v>
      </c>
      <c r="T899" s="3" t="n">
        <v>46316.57186342592</v>
      </c>
      <c r="U899" s="2" t="n"/>
    </row>
    <row r="900">
      <c r="A900" s="2" t="inlineStr">
        <is>
          <t>Pendiente de adjudicación</t>
        </is>
      </c>
      <c r="B900" s="3" t="n">
        <v>46308.58333333334</v>
      </c>
      <c r="C900" s="5" t="n">
        <v>248315.19</v>
      </c>
      <c r="D900" s="5" t="n">
        <v>248315.19</v>
      </c>
      <c r="E900" s="2" t="inlineStr">
        <is>
          <t>Comunitat Valenciana</t>
        </is>
      </c>
      <c r="F900" s="2" t="n"/>
      <c r="G900" s="2" t="n"/>
      <c r="H900" s="2" t="inlineStr">
        <is>
          <t>Vicepresidente Tercero y Conseller de Medio Ambiente, Infraestructuras, Territorio y de la Recuperación</t>
        </is>
      </c>
      <c r="I900" s="2" t="inlineStr">
        <is>
          <t>Proyecto de ejecución de actuaciones de mejora selvícola en el MUP V168 "GANACIENDAS" T.M.REQUENA</t>
        </is>
      </c>
      <c r="J900" s="2" t="inlineStr">
        <is>
          <t>CMAYOR/2026/24Y06/0025</t>
        </is>
      </c>
      <c r="K900" s="2" t="inlineStr">
        <is>
          <t>Abierto simplificado</t>
        </is>
      </c>
      <c r="L900" s="6" t="n">
        <v>12</v>
      </c>
      <c r="M900" s="2" t="n"/>
      <c r="N900" s="7" t="n">
        <v>0</v>
      </c>
      <c r="O900" s="4" t="n"/>
      <c r="P900" s="2" t="inlineStr">
        <is>
          <t>45262640</t>
        </is>
      </c>
      <c r="Q900" s="8" t="inlineStr">
        <is>
          <t>Ver</t>
        </is>
      </c>
      <c r="R900" s="8" t="inlineStr">
        <is>
          <t>PCAP</t>
        </is>
      </c>
      <c r="S900" s="9" t="n">
        <v>46317</v>
      </c>
      <c r="T900" s="3" t="n">
        <v>46316.570625</v>
      </c>
      <c r="U900" s="2" t="n"/>
    </row>
    <row r="901">
      <c r="A901" s="2" t="inlineStr">
        <is>
          <t>En plazo</t>
        </is>
      </c>
      <c r="B901" s="3" t="n">
        <v>46344.99930555555</v>
      </c>
      <c r="C901" s="5" t="n">
        <v>1494349.1</v>
      </c>
      <c r="D901" s="5" t="n">
        <v>1494349.1</v>
      </c>
      <c r="E901" s="2" t="inlineStr">
        <is>
          <t>Comunitat Valenciana</t>
        </is>
      </c>
      <c r="F901" s="2" t="inlineStr">
        <is>
          <t>Valencia</t>
        </is>
      </c>
      <c r="G901" s="2" t="inlineStr">
        <is>
          <t>Yátova</t>
        </is>
      </c>
      <c r="H901" s="2" t="inlineStr">
        <is>
          <t>Pleno del Ayuntamiento de Yátova</t>
        </is>
      </c>
      <c r="I901" s="2" t="inlineStr">
        <is>
          <t>Reparación, acondicionamiento y mejora de caminos rurales en el término municipal de Yátova. Subvención Ministerio Dana2024</t>
        </is>
      </c>
      <c r="J901" s="2" t="inlineStr">
        <is>
          <t>899/2026</t>
        </is>
      </c>
      <c r="K901" s="2" t="inlineStr">
        <is>
          <t>Abierto simplificado</t>
        </is>
      </c>
      <c r="L901" s="6" t="n">
        <v>6</v>
      </c>
      <c r="M901" s="2" t="inlineStr">
        <is>
          <t>G*-4</t>
        </is>
      </c>
      <c r="N901" s="7" t="n">
        <v>0</v>
      </c>
      <c r="O901" s="4" t="n"/>
      <c r="P901" s="2" t="inlineStr">
        <is>
          <t>45233250; 45233222; 45233251; 45233140</t>
        </is>
      </c>
      <c r="Q901" s="8" t="inlineStr">
        <is>
          <t>Ver</t>
        </is>
      </c>
      <c r="R901" s="8" t="inlineStr">
        <is>
          <t>PCAP</t>
        </is>
      </c>
      <c r="S901" s="9" t="n">
        <v>46317</v>
      </c>
      <c r="T901" s="3" t="n">
        <v>46316.57015046296</v>
      </c>
      <c r="U901" s="2" t="n"/>
    </row>
    <row r="902">
      <c r="A902" s="2" t="inlineStr">
        <is>
          <t>Pendiente de adjudicación</t>
        </is>
      </c>
      <c r="B902" s="3" t="n">
        <v>46314.99930555555</v>
      </c>
      <c r="C902" s="5" t="n">
        <v>688603.6899999999</v>
      </c>
      <c r="D902" s="5" t="n">
        <v>757464.0600000001</v>
      </c>
      <c r="E902" s="2" t="inlineStr">
        <is>
          <t>Comunitat Valenciana</t>
        </is>
      </c>
      <c r="F902" s="2" t="inlineStr">
        <is>
          <t>Valencia</t>
        </is>
      </c>
      <c r="G902" s="2" t="inlineStr">
        <is>
          <t>MONCADA</t>
        </is>
      </c>
      <c r="H902" s="2" t="inlineStr">
        <is>
          <t>Dirección del Instituto Valenciano de Investigaciones Agrarias (IVIA)</t>
        </is>
      </c>
      <c r="I902" s="2" t="inlineStr">
        <is>
          <t>Acometidas de agua potable y saneamiento desde el polígono nº 3 de moncada a las instalaciones del ivia</t>
        </is>
      </c>
      <c r="J902" s="2" t="inlineStr">
        <is>
          <t>: CMAYOR/2026/26Y09/0022</t>
        </is>
      </c>
      <c r="K902" s="2" t="inlineStr">
        <is>
          <t>Abierto simplificado</t>
        </is>
      </c>
      <c r="L902" s="6" t="n">
        <v>4</v>
      </c>
      <c r="M902" s="2" t="inlineStr">
        <is>
          <t>E1-3</t>
        </is>
      </c>
      <c r="N902" s="7" t="n">
        <v>0</v>
      </c>
      <c r="O902" s="4" t="n"/>
      <c r="P902" s="2" t="inlineStr">
        <is>
          <t>45232410; 45232150</t>
        </is>
      </c>
      <c r="Q902" s="8" t="inlineStr">
        <is>
          <t>Ver</t>
        </is>
      </c>
      <c r="R902" s="8" t="inlineStr">
        <is>
          <t>PCAP</t>
        </is>
      </c>
      <c r="S902" s="9" t="n">
        <v>46317</v>
      </c>
      <c r="T902" s="3" t="n">
        <v>46316.56717592593</v>
      </c>
      <c r="U902" s="2" t="n"/>
    </row>
    <row r="903">
      <c r="A903" s="2" t="inlineStr">
        <is>
          <t>En plazo</t>
        </is>
      </c>
      <c r="B903" s="3" t="n">
        <v>46335.79166666666</v>
      </c>
      <c r="C903" s="5" t="n">
        <v>1240704.74</v>
      </c>
      <c r="D903" s="5" t="n">
        <v>1488845.69</v>
      </c>
      <c r="E903" s="2" t="inlineStr">
        <is>
          <t>Comunitat Valenciana</t>
        </is>
      </c>
      <c r="F903" s="2" t="inlineStr">
        <is>
          <t>Alicante</t>
        </is>
      </c>
      <c r="G903" s="2" t="inlineStr">
        <is>
          <t>Alicante (Alacant)</t>
        </is>
      </c>
      <c r="H903" s="2" t="inlineStr">
        <is>
          <t>Alcaldía del Ayuntamiento de Santa Pola</t>
        </is>
      </c>
      <c r="I903" s="2" t="inlineStr">
        <is>
          <t>Licitación para la contratación de las Obras de Reforma y adecuación del campo municipal Manolo Maciá de Santa Pola, susceptible de ser confinanciado por la UE a través del Fondo Europeo de Desarrollo</t>
        </is>
      </c>
      <c r="J903" s="2" t="inlineStr">
        <is>
          <t>18226/2026</t>
        </is>
      </c>
      <c r="K903" s="2" t="inlineStr">
        <is>
          <t>Abierto simplificado</t>
        </is>
      </c>
      <c r="L903" s="6" t="n">
        <v>4</v>
      </c>
      <c r="M903" s="2" t="inlineStr">
        <is>
          <t>G*-3</t>
        </is>
      </c>
      <c r="N903" s="7" t="n">
        <v>0.45</v>
      </c>
      <c r="O903" s="4" t="n"/>
      <c r="P903" s="2" t="inlineStr">
        <is>
          <t>45212200; 45212224; 45212220; 45310000</t>
        </is>
      </c>
      <c r="Q903" s="8" t="inlineStr">
        <is>
          <t>Ver</t>
        </is>
      </c>
      <c r="R903" s="8" t="inlineStr">
        <is>
          <t>PCAP</t>
        </is>
      </c>
      <c r="S903" s="9" t="n">
        <v>46315</v>
      </c>
      <c r="T903" s="3" t="n">
        <v>46316.56428240741</v>
      </c>
      <c r="U903" s="2" t="n"/>
    </row>
    <row r="904">
      <c r="A904" s="2" t="inlineStr">
        <is>
          <t>Pendiente de adjudicación</t>
        </is>
      </c>
      <c r="B904" s="3" t="n">
        <v>46314.99930555555</v>
      </c>
      <c r="C904" s="5" t="n">
        <v>329857.26</v>
      </c>
      <c r="D904" s="5" t="n">
        <v>329857.26</v>
      </c>
      <c r="E904" s="2" t="inlineStr">
        <is>
          <t>Andalucía</t>
        </is>
      </c>
      <c r="F904" s="2" t="inlineStr">
        <is>
          <t>Málaga</t>
        </is>
      </c>
      <c r="G904" s="2" t="n"/>
      <c r="H904" s="2" t="inlineStr">
        <is>
          <t>Alcaldía del Ayuntamiento de Ronda</t>
        </is>
      </c>
      <c r="I904" s="2" t="inlineStr">
        <is>
          <t>C. Obras. Proyecto de Obras de Reparación y Restitución de la red viaria municipal de Ronda. Contrato financiado con cargo a las ayudas de la Administración General del Estado, a través del Ministerio de Política Territorial y Memoria Democrática, previstas en el artículo 7 del Real Decreto-ley 5/2026, de 17 de febrero.</t>
        </is>
      </c>
      <c r="J904" s="2" t="inlineStr">
        <is>
          <t>12793/2026</t>
        </is>
      </c>
      <c r="K904" s="2" t="inlineStr">
        <is>
          <t>Abierto</t>
        </is>
      </c>
      <c r="L904" s="6" t="n">
        <v>1</v>
      </c>
      <c r="M904" s="2" t="inlineStr">
        <is>
          <t>G6-2</t>
        </is>
      </c>
      <c r="N904" s="7" t="n">
        <v>0</v>
      </c>
      <c r="O904" s="4" t="n"/>
      <c r="P904" s="2" t="inlineStr">
        <is>
          <t>45233200; 45233222</t>
        </is>
      </c>
      <c r="Q904" s="8" t="inlineStr">
        <is>
          <t>Ver</t>
        </is>
      </c>
      <c r="R904" s="8" t="inlineStr">
        <is>
          <t>PCAP</t>
        </is>
      </c>
      <c r="S904" s="9" t="n">
        <v>46317</v>
      </c>
      <c r="T904" s="3" t="n">
        <v>46316.56290509259</v>
      </c>
      <c r="U904" s="2" t="n"/>
    </row>
    <row r="905">
      <c r="A905" s="2" t="inlineStr">
        <is>
          <t>Adjudicada</t>
        </is>
      </c>
      <c r="B905" s="3" t="n">
        <v>46300.99930555555</v>
      </c>
      <c r="C905" s="5" t="n">
        <v>77598.96000000001</v>
      </c>
      <c r="D905" s="5" t="n">
        <v>77598.96000000001</v>
      </c>
      <c r="E905" s="2" t="inlineStr">
        <is>
          <t>Andalucía</t>
        </is>
      </c>
      <c r="F905" s="2" t="inlineStr">
        <is>
          <t>Huelva</t>
        </is>
      </c>
      <c r="G905" s="2" t="inlineStr">
        <is>
          <t>Gibraleón</t>
        </is>
      </c>
      <c r="H905" s="2" t="inlineStr">
        <is>
          <t>Alcaldía del Ayuntamiento de Gibraleón</t>
        </is>
      </c>
      <c r="I905" s="2" t="inlineStr">
        <is>
          <t>Contrato de obras de rehabilitación de la capa de rodadura del pavimento de determinadas calles del núcleo urbano de Gibraleón (PLAN DE CONCERTACIÓN MUNICIPAL).</t>
        </is>
      </c>
      <c r="J905" s="2" t="inlineStr">
        <is>
          <t>4138/2026</t>
        </is>
      </c>
      <c r="K905" s="2" t="inlineStr">
        <is>
          <t>Negociado sin publicidad</t>
        </is>
      </c>
      <c r="L905" s="6" t="n">
        <v>1.5</v>
      </c>
      <c r="M905" s="2" t="inlineStr">
        <is>
          <t>G*-1</t>
        </is>
      </c>
      <c r="N905" s="7" t="n">
        <v>0</v>
      </c>
      <c r="O905" s="4" t="n"/>
      <c r="P905" s="2" t="inlineStr">
        <is>
          <t>45233252</t>
        </is>
      </c>
      <c r="Q905" s="8" t="inlineStr">
        <is>
          <t>Ver</t>
        </is>
      </c>
      <c r="R905" s="8" t="inlineStr">
        <is>
          <t>PCAP</t>
        </is>
      </c>
      <c r="S905" s="9" t="n">
        <v>46317</v>
      </c>
      <c r="T905" s="3" t="n">
        <v>46316.55927083334</v>
      </c>
      <c r="U905" s="2" t="n"/>
    </row>
    <row r="906">
      <c r="A906" s="2" t="inlineStr">
        <is>
          <t>En plazo</t>
        </is>
      </c>
      <c r="B906" s="3" t="n">
        <v>46344.99930555555</v>
      </c>
      <c r="C906" s="5" t="n">
        <v>82521.58</v>
      </c>
      <c r="D906" s="5" t="n">
        <v>82521.58</v>
      </c>
      <c r="E906" s="2" t="inlineStr">
        <is>
          <t>Comunitat Valenciana</t>
        </is>
      </c>
      <c r="F906" s="2" t="inlineStr">
        <is>
          <t>Valencia</t>
        </is>
      </c>
      <c r="G906" s="2" t="inlineStr">
        <is>
          <t>Yátova</t>
        </is>
      </c>
      <c r="H906" s="2" t="inlineStr">
        <is>
          <t>Alcaldía del Ayuntamiento de Yátova</t>
        </is>
      </c>
      <c r="I906" s="2" t="inlineStr">
        <is>
          <t>Obras de reforma de los acabados dañados por la DANA en el interior del edificio destinado a escuela infantil municipal</t>
        </is>
      </c>
      <c r="J906" s="2" t="inlineStr">
        <is>
          <t>937/2026</t>
        </is>
      </c>
      <c r="K906" s="2" t="inlineStr">
        <is>
          <t>Abierto simplificado</t>
        </is>
      </c>
      <c r="L906" s="6" t="n">
        <v>3</v>
      </c>
      <c r="M906" s="2" t="n"/>
      <c r="N906" s="7" t="n">
        <v>0</v>
      </c>
      <c r="O906" s="4" t="n"/>
      <c r="P906" s="2" t="inlineStr">
        <is>
          <t>45262520; 45400000; 45200000</t>
        </is>
      </c>
      <c r="Q906" s="8" t="inlineStr">
        <is>
          <t>Ver</t>
        </is>
      </c>
      <c r="R906" s="8" t="inlineStr">
        <is>
          <t>PCAP</t>
        </is>
      </c>
      <c r="S906" s="9" t="n">
        <v>46317</v>
      </c>
      <c r="T906" s="3" t="n">
        <v>46316.55804398148</v>
      </c>
      <c r="U906" s="2" t="n"/>
    </row>
    <row r="907">
      <c r="A907" s="2" t="inlineStr">
        <is>
          <t>En plazo</t>
        </is>
      </c>
      <c r="B907" s="3" t="n">
        <v>46344.99930555555</v>
      </c>
      <c r="C907" s="5" t="n">
        <v>188019.76</v>
      </c>
      <c r="D907" s="5" t="n">
        <v>188019.76</v>
      </c>
      <c r="E907" s="2" t="inlineStr">
        <is>
          <t>Comunitat Valenciana</t>
        </is>
      </c>
      <c r="F907" s="2" t="inlineStr">
        <is>
          <t>Valencia</t>
        </is>
      </c>
      <c r="G907" s="2" t="inlineStr">
        <is>
          <t>Yátova</t>
        </is>
      </c>
      <c r="H907" s="2" t="inlineStr">
        <is>
          <t>Pleno del Ayuntamiento de Yátova</t>
        </is>
      </c>
      <c r="I907" s="2" t="inlineStr">
        <is>
          <t>Obras de reforma del Parque de San Vicente- Subvención Ministerio DANA2024</t>
        </is>
      </c>
      <c r="J907" s="2" t="inlineStr">
        <is>
          <t>940/2026</t>
        </is>
      </c>
      <c r="K907" s="2" t="inlineStr">
        <is>
          <t>Abierto simplificado</t>
        </is>
      </c>
      <c r="L907" s="6" t="n">
        <v>3</v>
      </c>
      <c r="M907" s="2" t="n"/>
      <c r="N907" s="7" t="n">
        <v>0</v>
      </c>
      <c r="O907" s="4" t="n"/>
      <c r="P907" s="2" t="inlineStr">
        <is>
          <t>45236290; 45232410</t>
        </is>
      </c>
      <c r="Q907" s="8" t="inlineStr">
        <is>
          <t>Ver</t>
        </is>
      </c>
      <c r="R907" s="8" t="inlineStr">
        <is>
          <t>PCAP</t>
        </is>
      </c>
      <c r="S907" s="9" t="n">
        <v>46317</v>
      </c>
      <c r="T907" s="3" t="n">
        <v>46316.55787037037</v>
      </c>
      <c r="U907" s="2" t="n"/>
    </row>
    <row r="908">
      <c r="A908" s="2" t="inlineStr">
        <is>
          <t>Pendiente de adjudicación</t>
        </is>
      </c>
      <c r="B908" s="3" t="n">
        <v>46313.99930555555</v>
      </c>
      <c r="C908" s="5" t="n">
        <v>82285.41</v>
      </c>
      <c r="D908" s="5" t="n">
        <v>82285.41</v>
      </c>
      <c r="E908" s="2" t="inlineStr">
        <is>
          <t>Andalucía</t>
        </is>
      </c>
      <c r="F908" s="2" t="inlineStr">
        <is>
          <t>Jaén</t>
        </is>
      </c>
      <c r="G908" s="2" t="inlineStr">
        <is>
          <t>TORREPEROGIL</t>
        </is>
      </c>
      <c r="H908" s="2" t="inlineStr">
        <is>
          <t>Alcaldía del Ayuntamiento de Torreperogil</t>
        </is>
      </c>
      <c r="I908" s="2" t="inlineStr">
        <is>
          <t>“Reparación y restitución de cubiertas en instalaciones municipales “nave servicios limpieza y obras, nave servicios municipales y cubiertas cementerio municipal” en municipio de Torreperogil (Jaén)”</t>
        </is>
      </c>
      <c r="J908" s="2" t="inlineStr">
        <is>
          <t>2224/2026</t>
        </is>
      </c>
      <c r="K908" s="2" t="inlineStr">
        <is>
          <t>Abierto simplificado</t>
        </is>
      </c>
      <c r="L908" s="6" t="n">
        <v>5</v>
      </c>
      <c r="M908" s="2" t="n"/>
      <c r="N908" s="7" t="n">
        <v>0.2</v>
      </c>
      <c r="O908" s="4" t="n"/>
      <c r="P908" s="2" t="inlineStr">
        <is>
          <t>45454100</t>
        </is>
      </c>
      <c r="Q908" s="8" t="inlineStr">
        <is>
          <t>Ver</t>
        </is>
      </c>
      <c r="R908" s="8" t="inlineStr">
        <is>
          <t>PCAP</t>
        </is>
      </c>
      <c r="S908" s="9" t="n">
        <v>46317</v>
      </c>
      <c r="T908" s="3" t="n">
        <v>46316.55767361111</v>
      </c>
      <c r="U908" s="2" t="n"/>
    </row>
    <row r="909">
      <c r="A909" s="2" t="inlineStr">
        <is>
          <t>Resuelta</t>
        </is>
      </c>
      <c r="B909" s="3" t="n">
        <v>46275.99930555555</v>
      </c>
      <c r="C909" s="5" t="n">
        <v>130578.51</v>
      </c>
      <c r="D909" s="5" t="n">
        <v>130578.51</v>
      </c>
      <c r="E909" s="2" t="inlineStr">
        <is>
          <t>Comunitat Valenciana</t>
        </is>
      </c>
      <c r="F909" s="2" t="inlineStr">
        <is>
          <t>Castellón</t>
        </is>
      </c>
      <c r="G909" s="2" t="inlineStr">
        <is>
          <t>Torreblanca</t>
        </is>
      </c>
      <c r="H909" s="2" t="inlineStr">
        <is>
          <t>Junta de Gobierno del Ayuntamiento de Torreblanca</t>
        </is>
      </c>
      <c r="I909" s="2" t="inlineStr">
        <is>
          <t>Contrato Obra ampliación Cementerio de Torreblabanca (5ª Fase)</t>
        </is>
      </c>
      <c r="J909" s="2" t="inlineStr">
        <is>
          <t>2126/2026</t>
        </is>
      </c>
      <c r="K909" s="2" t="inlineStr">
        <is>
          <t>Abierto simplificado</t>
        </is>
      </c>
      <c r="L909" s="6" t="n">
        <v>2</v>
      </c>
      <c r="M909" s="2" t="n"/>
      <c r="N909" s="7" t="n">
        <v>0</v>
      </c>
      <c r="O909" s="4" t="n"/>
      <c r="P909" s="2" t="inlineStr">
        <is>
          <t>45215400</t>
        </is>
      </c>
      <c r="Q909" s="8" t="inlineStr">
        <is>
          <t>Ver</t>
        </is>
      </c>
      <c r="R909" s="8" t="inlineStr">
        <is>
          <t>PCAP</t>
        </is>
      </c>
      <c r="S909" s="9" t="n">
        <v>46310</v>
      </c>
      <c r="T909" s="3" t="n">
        <v>46316.55665509259</v>
      </c>
      <c r="U909" s="2" t="inlineStr">
        <is>
          <t>2026-10-20: estado EV → ADJ | 2026-10-22: estado ADJ → RES</t>
        </is>
      </c>
    </row>
    <row r="910">
      <c r="A910" s="2" t="inlineStr">
        <is>
          <t>Adjudicada</t>
        </is>
      </c>
      <c r="B910" s="3" t="n">
        <v>46237.99930555555</v>
      </c>
      <c r="C910" s="5" t="n">
        <v>163049.42</v>
      </c>
      <c r="D910" s="5" t="n">
        <v>163049.42</v>
      </c>
      <c r="E910" s="2" t="inlineStr">
        <is>
          <t>Andalucía</t>
        </is>
      </c>
      <c r="F910" s="2" t="inlineStr">
        <is>
          <t>Jaén</t>
        </is>
      </c>
      <c r="G910" s="2" t="n"/>
      <c r="H910" s="2" t="inlineStr">
        <is>
          <t>Alcaldía del Ayuntamiento de Úbeda</t>
        </is>
      </c>
      <c r="I910" s="2" t="inlineStr">
        <is>
          <t>Plan de Asfaltado en Pedanías.</t>
        </is>
      </c>
      <c r="J910" s="2" t="inlineStr">
        <is>
          <t>OBR8465/2026</t>
        </is>
      </c>
      <c r="K910" s="2" t="inlineStr">
        <is>
          <t>Abierto simplificado</t>
        </is>
      </c>
      <c r="L910" s="6" t="n">
        <v>1.5</v>
      </c>
      <c r="M910" s="2" t="n"/>
      <c r="N910" s="7" t="n">
        <v>0</v>
      </c>
      <c r="O910" s="4" t="n">
        <v>7</v>
      </c>
      <c r="P910" s="2" t="inlineStr">
        <is>
          <t>45233200</t>
        </is>
      </c>
      <c r="Q910" s="8" t="inlineStr">
        <is>
          <t>Ver</t>
        </is>
      </c>
      <c r="R910" s="8" t="inlineStr">
        <is>
          <t>PCAP</t>
        </is>
      </c>
      <c r="S910" s="9" t="n">
        <v>46317</v>
      </c>
      <c r="T910" s="3" t="n">
        <v>46316.55157407407</v>
      </c>
      <c r="U910" s="2" t="n"/>
    </row>
    <row r="911">
      <c r="A911" s="2" t="inlineStr">
        <is>
          <t>Pendiente de adjudicación</t>
        </is>
      </c>
      <c r="B911" s="3" t="n">
        <v>46314.99930555555</v>
      </c>
      <c r="C911" s="5" t="n">
        <v>765205.73</v>
      </c>
      <c r="D911" s="5" t="n">
        <v>765205.73</v>
      </c>
      <c r="E911" s="2" t="inlineStr">
        <is>
          <t>Andalucía</t>
        </is>
      </c>
      <c r="F911" s="2" t="inlineStr">
        <is>
          <t>Málaga</t>
        </is>
      </c>
      <c r="G911" s="2" t="n"/>
      <c r="H911" s="2" t="inlineStr">
        <is>
          <t>Alcaldía del Ayuntamiento de Ronda</t>
        </is>
      </c>
      <c r="I911" s="2" t="inlineStr">
        <is>
          <t>C. Obras. Proyecto de Actuación de Reparación y Mejora de Calle Tomilla, ubicada en ARUA Barrio Las Peñas y borde suroeste de Ronda (Málaga). Contrato financiado con cargo a las ayudas de la Administración General del Estado, a través del Ministerio de Política Territorial y Memoria Democrática, previstas en el artículo 7 del Real Decreto-ley 5/2026, de 17 de febrero.</t>
        </is>
      </c>
      <c r="J911" s="2" t="inlineStr">
        <is>
          <t>13542/2026</t>
        </is>
      </c>
      <c r="K911" s="2" t="inlineStr">
        <is>
          <t>Abierto</t>
        </is>
      </c>
      <c r="L911" s="6" t="n">
        <v>10</v>
      </c>
      <c r="M911" s="2" t="inlineStr">
        <is>
          <t>G6-3</t>
        </is>
      </c>
      <c r="N911" s="7" t="n">
        <v>0</v>
      </c>
      <c r="O911" s="4" t="n"/>
      <c r="P911" s="2" t="inlineStr">
        <is>
          <t>45000000; 45233252</t>
        </is>
      </c>
      <c r="Q911" s="8" t="inlineStr">
        <is>
          <t>Ver</t>
        </is>
      </c>
      <c r="R911" s="8" t="inlineStr">
        <is>
          <t>PCAP</t>
        </is>
      </c>
      <c r="S911" s="9" t="n">
        <v>46317</v>
      </c>
      <c r="T911" s="3" t="n">
        <v>46316.55054398148</v>
      </c>
      <c r="U911" s="2" t="n"/>
    </row>
    <row r="912">
      <c r="A912" s="2" t="inlineStr">
        <is>
          <t>En plazo</t>
        </is>
      </c>
      <c r="B912" s="3" t="n">
        <v>46331.99930555555</v>
      </c>
      <c r="C912" s="5" t="n">
        <v>41322.31</v>
      </c>
      <c r="D912" s="5" t="n">
        <v>41322.31</v>
      </c>
      <c r="E912" s="2" t="inlineStr">
        <is>
          <t>Andalucía</t>
        </is>
      </c>
      <c r="F912" s="2" t="inlineStr">
        <is>
          <t>Cádiz</t>
        </is>
      </c>
      <c r="G912" s="2" t="inlineStr">
        <is>
          <t>BENAMAHOMA</t>
        </is>
      </c>
      <c r="H912" s="2" t="inlineStr">
        <is>
          <t>Alcaldía del Ayuntamiento de Grazalema</t>
        </is>
      </c>
      <c r="I912" s="2" t="inlineStr">
        <is>
          <t>Ejecución de la Obra de adelantamiento Camino del Colegio de Benamahoma - PPCOS - Nº Actuacion 15.1 (PPCOS 2026-2027)</t>
        </is>
      </c>
      <c r="J912" s="2" t="inlineStr">
        <is>
          <t>1217/2026</t>
        </is>
      </c>
      <c r="K912" s="2" t="inlineStr">
        <is>
          <t>Abierto simplificado</t>
        </is>
      </c>
      <c r="L912" s="6" t="n">
        <v>6</v>
      </c>
      <c r="M912" s="2" t="n"/>
      <c r="N912" s="7" t="n">
        <v>0</v>
      </c>
      <c r="O912" s="4" t="n"/>
      <c r="P912" s="2" t="inlineStr">
        <is>
          <t>45200000; 45262620; 45210000</t>
        </is>
      </c>
      <c r="Q912" s="8" t="inlineStr">
        <is>
          <t>Ver</t>
        </is>
      </c>
      <c r="R912" s="8" t="inlineStr">
        <is>
          <t>PCAP</t>
        </is>
      </c>
      <c r="S912" s="9" t="n">
        <v>46317</v>
      </c>
      <c r="T912" s="3" t="n">
        <v>46316.54957175926</v>
      </c>
      <c r="U912" s="2" t="n"/>
    </row>
    <row r="913">
      <c r="A913" s="2" t="inlineStr">
        <is>
          <t>Pendiente de adjudicación</t>
        </is>
      </c>
      <c r="B913" s="3" t="n">
        <v>46308.99930555555</v>
      </c>
      <c r="C913" s="5" t="n">
        <v>293684.52</v>
      </c>
      <c r="D913" s="5" t="n">
        <v>293684.52</v>
      </c>
      <c r="E913" s="2" t="inlineStr">
        <is>
          <t>Comunitat Valenciana</t>
        </is>
      </c>
      <c r="F913" s="2" t="inlineStr">
        <is>
          <t>Valencia</t>
        </is>
      </c>
      <c r="G913" s="2" t="n"/>
      <c r="H913" s="2" t="inlineStr">
        <is>
          <t>Junta de Gobierno del Ayuntamiento de Serra</t>
        </is>
      </c>
      <c r="I913" s="2" t="inlineStr">
        <is>
          <t>Restauración de la Torre del Señor de la Vila de Serra.</t>
        </is>
      </c>
      <c r="J913" s="2" t="inlineStr">
        <is>
          <t>2301963X</t>
        </is>
      </c>
      <c r="K913" s="2" t="inlineStr">
        <is>
          <t>Abierto simplificado</t>
        </is>
      </c>
      <c r="L913" s="6" t="n">
        <v>6</v>
      </c>
      <c r="M913" s="2" t="n"/>
      <c r="N913" s="7" t="n">
        <v>0</v>
      </c>
      <c r="O913" s="4" t="n"/>
      <c r="P913" s="2" t="inlineStr">
        <is>
          <t>45454100</t>
        </is>
      </c>
      <c r="Q913" s="8" t="inlineStr">
        <is>
          <t>Ver</t>
        </is>
      </c>
      <c r="R913" s="8" t="inlineStr">
        <is>
          <t>PCAP</t>
        </is>
      </c>
      <c r="S913" s="9" t="n">
        <v>46317</v>
      </c>
      <c r="T913" s="3" t="n">
        <v>46316.54891203704</v>
      </c>
      <c r="U913" s="2" t="n"/>
    </row>
    <row r="914">
      <c r="A914" s="2" t="inlineStr">
        <is>
          <t>Pendiente de adjudicación</t>
        </is>
      </c>
      <c r="B914" s="3" t="n">
        <v>46308.54166666666</v>
      </c>
      <c r="C914" s="5" t="n">
        <v>1183531.28</v>
      </c>
      <c r="D914" s="5" t="n">
        <v>1301884.41</v>
      </c>
      <c r="E914" s="2" t="inlineStr">
        <is>
          <t>Comunitat Valenciana</t>
        </is>
      </c>
      <c r="F914" s="2" t="inlineStr">
        <is>
          <t>Valencia</t>
        </is>
      </c>
      <c r="G914" s="2" t="n"/>
      <c r="H914" s="2" t="inlineStr">
        <is>
          <t>Presidencia de la Diputación Provincial de Valencia</t>
        </is>
      </c>
      <c r="I914" s="2" t="inlineStr">
        <is>
          <t>S-480A/O. Ampliación de carretera, mejora de la seguridad vial e itinerario ciclo peatonal en la carretera CV-401, de Alfafar a El Saler. Tramo del pk 0+000 al pk 0+400. Término municipal de Alfafar.</t>
        </is>
      </c>
      <c r="J914" s="2" t="inlineStr">
        <is>
          <t>1241/26/CAR</t>
        </is>
      </c>
      <c r="K914" s="2" t="inlineStr">
        <is>
          <t>Abierto</t>
        </is>
      </c>
      <c r="L914" s="6" t="n">
        <v>5</v>
      </c>
      <c r="M914" s="2" t="inlineStr">
        <is>
          <t>G4-4</t>
        </is>
      </c>
      <c r="N914" s="7" t="n">
        <v>0.33</v>
      </c>
      <c r="O914" s="4" t="n"/>
      <c r="P914" s="2" t="inlineStr">
        <is>
          <t>45233120; 45233162</t>
        </is>
      </c>
      <c r="Q914" s="8" t="inlineStr">
        <is>
          <t>Ver</t>
        </is>
      </c>
      <c r="R914" s="8" t="inlineStr">
        <is>
          <t>PCAP</t>
        </is>
      </c>
      <c r="S914" s="9" t="n">
        <v>46317</v>
      </c>
      <c r="T914" s="3" t="n">
        <v>46316.54851851852</v>
      </c>
      <c r="U914" s="2" t="n"/>
    </row>
    <row r="915">
      <c r="A915" s="2" t="inlineStr">
        <is>
          <t>Adjudicada</t>
        </is>
      </c>
      <c r="B915" s="3" t="n">
        <v>46283.41666666666</v>
      </c>
      <c r="C915" s="5" t="n">
        <v>48486.9</v>
      </c>
      <c r="D915" s="5" t="n">
        <v>48486.9</v>
      </c>
      <c r="E915" s="2" t="inlineStr">
        <is>
          <t>Andalucía</t>
        </is>
      </c>
      <c r="F915" s="2" t="inlineStr">
        <is>
          <t>Huelva</t>
        </is>
      </c>
      <c r="G915" s="2" t="n"/>
      <c r="H915" s="2" t="inlineStr">
        <is>
          <t>Empresa de Transformación Agraria S.A.,S.M.E., M.P., (TRAGSA)</t>
        </is>
      </c>
      <c r="I915" s="2" t="inlineStr">
        <is>
          <t>Ejecución de señalización horizontal para la obra: Proyecto de mejora de los caminos de acceso a la presa del Andévalo, en los T.M. de El Almendro, El Granado y Puebla de Guzmán (Huelva)</t>
        </is>
      </c>
      <c r="J915" s="2" t="inlineStr">
        <is>
          <t>TSA0084000</t>
        </is>
      </c>
      <c r="K915" s="2" t="inlineStr">
        <is>
          <t>Abierto simplificado</t>
        </is>
      </c>
      <c r="L915" s="6" t="n">
        <v>4</v>
      </c>
      <c r="M915" s="2" t="n"/>
      <c r="N915" s="7" t="n">
        <v>0</v>
      </c>
      <c r="O915" s="4" t="n"/>
      <c r="P915" s="2" t="inlineStr">
        <is>
          <t>45233221</t>
        </is>
      </c>
      <c r="Q915" s="8" t="inlineStr">
        <is>
          <t>Ver</t>
        </is>
      </c>
      <c r="R915" s="8" t="inlineStr">
        <is>
          <t>PCAP</t>
        </is>
      </c>
      <c r="S915" s="9" t="n">
        <v>46310</v>
      </c>
      <c r="T915" s="3" t="n">
        <v>46316.54685185185</v>
      </c>
      <c r="U915" s="2" t="inlineStr">
        <is>
          <t>2026-10-22: estado EV → ADJ</t>
        </is>
      </c>
    </row>
    <row r="916">
      <c r="A916" s="2" t="inlineStr">
        <is>
          <t>Resuelta</t>
        </is>
      </c>
      <c r="B916" s="3" t="n">
        <v>46219.5</v>
      </c>
      <c r="C916" s="5" t="n">
        <v>157901.9</v>
      </c>
      <c r="D916" s="5" t="n">
        <v>157901.9</v>
      </c>
      <c r="E916" s="2" t="inlineStr">
        <is>
          <t>Comunitat Valenciana</t>
        </is>
      </c>
      <c r="F916" s="2" t="inlineStr">
        <is>
          <t>Valencia</t>
        </is>
      </c>
      <c r="G916" s="2" t="n"/>
      <c r="H916" s="2" t="inlineStr">
        <is>
          <t>Gerencia de Ferrocarrils de la Generalitat Valenciana</t>
        </is>
      </c>
      <c r="I916" s="2" t="inlineStr">
        <is>
          <t>Suministro y sustitución por retrofit de Feeder de DC de tracción ferroviaria de la subestación de Picassent de FGV en Valencia.</t>
        </is>
      </c>
      <c r="J916" s="2" t="inlineStr">
        <is>
          <t>26/019</t>
        </is>
      </c>
      <c r="K916" s="2" t="inlineStr">
        <is>
          <t>Abierto</t>
        </is>
      </c>
      <c r="L916" s="6" t="n">
        <v>3</v>
      </c>
      <c r="M916" s="2" t="inlineStr">
        <is>
          <t>D4-1</t>
        </is>
      </c>
      <c r="N916" s="7" t="n">
        <v>0.25</v>
      </c>
      <c r="O916" s="4" t="n"/>
      <c r="P916" s="2" t="inlineStr">
        <is>
          <t>45234170; 45315700; 45234181</t>
        </is>
      </c>
      <c r="Q916" s="8" t="inlineStr">
        <is>
          <t>Ver</t>
        </is>
      </c>
      <c r="R916" s="8" t="inlineStr">
        <is>
          <t>PCAP</t>
        </is>
      </c>
      <c r="S916" s="9" t="n">
        <v>46317</v>
      </c>
      <c r="T916" s="3" t="n">
        <v>46316.54651620371</v>
      </c>
      <c r="U916" s="2" t="n"/>
    </row>
    <row r="917">
      <c r="A917" s="2" t="inlineStr">
        <is>
          <t>Pendiente de adjudicación</t>
        </is>
      </c>
      <c r="B917" s="3" t="n">
        <v>46213.54166666666</v>
      </c>
      <c r="C917" s="5" t="n">
        <v>520584.12</v>
      </c>
      <c r="D917" s="5" t="n">
        <v>572642.53</v>
      </c>
      <c r="E917" s="2" t="inlineStr">
        <is>
          <t>Comunitat Valenciana</t>
        </is>
      </c>
      <c r="F917" s="2" t="inlineStr">
        <is>
          <t>Valencia</t>
        </is>
      </c>
      <c r="G917" s="2" t="n"/>
      <c r="H917" s="2" t="inlineStr">
        <is>
          <t>Presidencia de la Diputación Provincial de Valencia</t>
        </is>
      </c>
      <c r="I917" s="2" t="inlineStr">
        <is>
          <t>Az-378CIT/O. Acondicionamiento y mejora del Camino de Antella a Sumacárcer.</t>
        </is>
      </c>
      <c r="J917" s="2" t="inlineStr">
        <is>
          <t>3265/25/CAR</t>
        </is>
      </c>
      <c r="K917" s="2" t="inlineStr">
        <is>
          <t>Abierto</t>
        </is>
      </c>
      <c r="L917" s="6" t="n">
        <v>4</v>
      </c>
      <c r="M917" s="2" t="inlineStr">
        <is>
          <t>G4-3</t>
        </is>
      </c>
      <c r="N917" s="7" t="n">
        <v>0.49</v>
      </c>
      <c r="O917" s="4" t="n"/>
      <c r="P917" s="2" t="inlineStr">
        <is>
          <t>45233120</t>
        </is>
      </c>
      <c r="Q917" s="8" t="inlineStr">
        <is>
          <t>Ver</t>
        </is>
      </c>
      <c r="R917" s="8" t="inlineStr">
        <is>
          <t>PCAP</t>
        </is>
      </c>
      <c r="S917" s="9" t="n">
        <v>46317</v>
      </c>
      <c r="T917" s="3" t="n">
        <v>46316.54523148148</v>
      </c>
      <c r="U917" s="2" t="n"/>
    </row>
    <row r="918">
      <c r="A918" s="2" t="inlineStr">
        <is>
          <t>Adjudicada</t>
        </is>
      </c>
      <c r="B918" s="3" t="n">
        <v>46282.99930555555</v>
      </c>
      <c r="C918" s="5" t="n">
        <v>287055.49</v>
      </c>
      <c r="D918" s="5" t="n">
        <v>287055.49</v>
      </c>
      <c r="E918" s="2" t="inlineStr">
        <is>
          <t>Andalucía</t>
        </is>
      </c>
      <c r="F918" s="2" t="inlineStr">
        <is>
          <t>Málaga</t>
        </is>
      </c>
      <c r="G918" s="2" t="inlineStr">
        <is>
          <t>Alhaurín el Grande</t>
        </is>
      </c>
      <c r="H918" s="2" t="inlineStr">
        <is>
          <t>Alcaldía del Ayuntamiento de Alhaurín el Grande</t>
        </is>
      </c>
      <c r="I918" s="2" t="inlineStr">
        <is>
          <t>Proyecto de obras del proyecto de mejora y arreglo de infraestructuras existentes y acabado final de la calle Alozaina de Alhaurín el Grande</t>
        </is>
      </c>
      <c r="J918" s="2" t="inlineStr">
        <is>
          <t>23594/2026 CALLE ALOZAINA</t>
        </is>
      </c>
      <c r="K918" s="2" t="inlineStr">
        <is>
          <t>Abierto simplificado</t>
        </is>
      </c>
      <c r="L918" s="6" t="n">
        <v>5</v>
      </c>
      <c r="M918" s="2" t="n"/>
      <c r="N918" s="7" t="n">
        <v>0.15</v>
      </c>
      <c r="O918" s="4" t="n"/>
      <c r="P918" s="2" t="inlineStr">
        <is>
          <t>45233140; 45232431</t>
        </is>
      </c>
      <c r="Q918" s="8" t="inlineStr">
        <is>
          <t>Ver</t>
        </is>
      </c>
      <c r="R918" s="8" t="inlineStr">
        <is>
          <t>PCAP</t>
        </is>
      </c>
      <c r="S918" s="9" t="n">
        <v>46317</v>
      </c>
      <c r="T918" s="3" t="n">
        <v>46316.54458333334</v>
      </c>
      <c r="U918" s="2" t="n"/>
    </row>
    <row r="919">
      <c r="A919" s="2" t="inlineStr">
        <is>
          <t>Plazo vencido</t>
        </is>
      </c>
      <c r="B919" s="3" t="n">
        <v>46321.58333333334</v>
      </c>
      <c r="C919" s="5" t="n">
        <v>585223.15</v>
      </c>
      <c r="D919" s="5" t="n">
        <v>585223.15</v>
      </c>
      <c r="E919" s="2" t="inlineStr">
        <is>
          <t>Comunitat Valenciana</t>
        </is>
      </c>
      <c r="F919" s="2" t="inlineStr">
        <is>
          <t>Valencia</t>
        </is>
      </c>
      <c r="G919" s="2" t="n"/>
      <c r="H919" s="2" t="inlineStr">
        <is>
          <t>Presidencia de la Entidad Valenciana de Vivienda y Suelo</t>
        </is>
      </c>
      <c r="I919" s="2" t="inlineStr">
        <is>
          <t>Obras de Reparación y Refuerzo Estructural e Intervenciones puntuales en Fachadas y Cubiertas, así como Obras de Reparación y Refuerzo Estructural e Intervenciones puntuales en el interior de los edificios de la Manzana D del Grupo de Viviendas de Promoción Pública 030001 Miguel Hernández de Alicante.</t>
        </is>
      </c>
      <c r="J919" s="2" t="inlineStr">
        <is>
          <t>CMAYOR/2026/EVHA0/0011</t>
        </is>
      </c>
      <c r="K919" s="2" t="inlineStr">
        <is>
          <t>Abierto simplificado</t>
        </is>
      </c>
      <c r="L919" s="6" t="n">
        <v>4</v>
      </c>
      <c r="M919" s="2" t="inlineStr">
        <is>
          <t>C4-3; C*-4</t>
        </is>
      </c>
      <c r="N919" s="7" t="n">
        <v>0.2</v>
      </c>
      <c r="O919" s="4" t="n"/>
      <c r="P919" s="2" t="inlineStr">
        <is>
          <t>45200000</t>
        </is>
      </c>
      <c r="Q919" s="8" t="inlineStr">
        <is>
          <t>Ver</t>
        </is>
      </c>
      <c r="R919" s="8" t="inlineStr">
        <is>
          <t>PCAP</t>
        </is>
      </c>
      <c r="S919" s="9" t="n">
        <v>46317</v>
      </c>
      <c r="T919" s="3" t="n">
        <v>46316.54164351852</v>
      </c>
      <c r="U919" s="2" t="n"/>
    </row>
    <row r="920">
      <c r="A920" s="2" t="inlineStr">
        <is>
          <t>Resuelta</t>
        </is>
      </c>
      <c r="B920" s="3" t="n">
        <v>46211.99930555555</v>
      </c>
      <c r="C920" s="5" t="n">
        <v>82627.64999999999</v>
      </c>
      <c r="D920" s="5" t="n">
        <v>82627.64999999999</v>
      </c>
      <c r="E920" s="2" t="inlineStr">
        <is>
          <t>Comunitat Valenciana</t>
        </is>
      </c>
      <c r="F920" s="2" t="inlineStr">
        <is>
          <t>Castellón</t>
        </is>
      </c>
      <c r="G920" s="2" t="n"/>
      <c r="H920" s="2" t="inlineStr">
        <is>
          <t>Junta de Gobierno del Ayuntamiento de Castellón de la Plana</t>
        </is>
      </c>
      <c r="I920" s="2" t="inlineStr">
        <is>
          <t>Obras del itinerario accesible Tetuán XIV de Castellón de la Plana.</t>
        </is>
      </c>
      <c r="J920" s="2" t="inlineStr">
        <is>
          <t>34667/2026</t>
        </is>
      </c>
      <c r="K920" s="2" t="inlineStr">
        <is>
          <t>Abierto</t>
        </is>
      </c>
      <c r="L920" s="6" t="n">
        <v>4</v>
      </c>
      <c r="M920" s="2" t="n"/>
      <c r="N920" s="7" t="n">
        <v>0.468</v>
      </c>
      <c r="O920" s="4" t="n"/>
      <c r="P920" s="2" t="inlineStr">
        <is>
          <t>45233252</t>
        </is>
      </c>
      <c r="Q920" s="8" t="inlineStr">
        <is>
          <t>Ver</t>
        </is>
      </c>
      <c r="R920" s="8" t="inlineStr">
        <is>
          <t>PCAP</t>
        </is>
      </c>
      <c r="S920" s="9" t="n">
        <v>46317</v>
      </c>
      <c r="T920" s="3" t="n">
        <v>46316.5408912037</v>
      </c>
      <c r="U920" s="2" t="n"/>
    </row>
    <row r="921">
      <c r="A921" s="2" t="inlineStr">
        <is>
          <t>Resuelta</t>
        </is>
      </c>
      <c r="B921" s="3" t="n">
        <v>46091.99930555555</v>
      </c>
      <c r="C921" s="5" t="n">
        <v>214926.14</v>
      </c>
      <c r="D921" s="5" t="n">
        <v>214926.14</v>
      </c>
      <c r="E921" s="2" t="inlineStr">
        <is>
          <t>Andalucía</t>
        </is>
      </c>
      <c r="F921" s="2" t="inlineStr">
        <is>
          <t>Sevilla</t>
        </is>
      </c>
      <c r="G921" s="2" t="n"/>
      <c r="H921" s="2" t="inlineStr">
        <is>
          <t>Alcaldía del Ayuntamiento de Utrera</t>
        </is>
      </c>
      <c r="I921" s="2" t="inlineStr">
        <is>
          <t>Ejecución de las obras del proyecto básico y de ejecución de adecuación de dependencias para oficina de DNI en edificio sito en calle Veracruz, 74, incluido en el Programa de Cooperación General del Plan Provincial Más Sevilla.</t>
        </is>
      </c>
      <c r="J921" s="2" t="inlineStr">
        <is>
          <t>OB63/2025</t>
        </is>
      </c>
      <c r="K921" s="2" t="inlineStr">
        <is>
          <t>Abierto simplificado</t>
        </is>
      </c>
      <c r="L921" s="6" t="n">
        <v>5</v>
      </c>
      <c r="M921" s="2" t="n"/>
      <c r="N921" s="7" t="n">
        <v>0</v>
      </c>
      <c r="O921" s="4" t="n"/>
      <c r="P921" s="2" t="inlineStr">
        <is>
          <t>45000000; 45400000; 45300000</t>
        </is>
      </c>
      <c r="Q921" s="8" t="inlineStr">
        <is>
          <t>Ver</t>
        </is>
      </c>
      <c r="R921" s="8" t="inlineStr">
        <is>
          <t>PCAP</t>
        </is>
      </c>
      <c r="S921" s="9" t="n">
        <v>46317</v>
      </c>
      <c r="T921" s="3" t="n">
        <v>46316.53913194445</v>
      </c>
      <c r="U921" s="2" t="n"/>
    </row>
    <row r="922">
      <c r="A922" s="2" t="inlineStr">
        <is>
          <t>En plazo</t>
        </is>
      </c>
      <c r="B922" s="3" t="n">
        <v>46338.61111111111</v>
      </c>
      <c r="C922" s="5" t="n">
        <v>91000</v>
      </c>
      <c r="D922" s="5" t="n">
        <v>91000</v>
      </c>
      <c r="E922" s="2" t="inlineStr">
        <is>
          <t>Andalucía</t>
        </is>
      </c>
      <c r="F922" s="2" t="inlineStr">
        <is>
          <t>Granada</t>
        </is>
      </c>
      <c r="G922" s="2" t="n"/>
      <c r="H922" s="2" t="inlineStr">
        <is>
          <t>Presidencia Mancomunidad de Municipios de la Comarca de Baza</t>
        </is>
      </c>
      <c r="I922" s="2" t="inlineStr">
        <is>
          <t>Instalación de una estación particular de suministro de Gas Natural Vehicular (Gas Natural Comprimido, GNC) en modalidad de carga lenta, para la flota de la Mancomunidad de Municipios de la Comarca de Baza</t>
        </is>
      </c>
      <c r="J922" s="2" t="inlineStr">
        <is>
          <t>17/2026</t>
        </is>
      </c>
      <c r="K922" s="2" t="inlineStr">
        <is>
          <t>Abierto simplificado</t>
        </is>
      </c>
      <c r="L922" s="6" t="n">
        <v>1.5</v>
      </c>
      <c r="M922" s="2" t="n"/>
      <c r="N922" s="7" t="n">
        <v>0</v>
      </c>
      <c r="O922" s="4" t="n"/>
      <c r="P922" s="2" t="inlineStr">
        <is>
          <t>45223720; 42123100</t>
        </is>
      </c>
      <c r="Q922" s="8" t="inlineStr">
        <is>
          <t>Ver</t>
        </is>
      </c>
      <c r="R922" s="8" t="inlineStr">
        <is>
          <t>PCAP</t>
        </is>
      </c>
      <c r="S922" s="9" t="n">
        <v>46317</v>
      </c>
      <c r="T922" s="3" t="n">
        <v>46316.53854166667</v>
      </c>
      <c r="U922" s="2" t="n"/>
    </row>
    <row r="923">
      <c r="A923" s="2" t="inlineStr">
        <is>
          <t>En plazo</t>
        </is>
      </c>
      <c r="B923" s="3" t="n">
        <v>46331.99930555555</v>
      </c>
      <c r="C923" s="5" t="n">
        <v>41322.32</v>
      </c>
      <c r="D923" s="5" t="n">
        <v>41322.32</v>
      </c>
      <c r="E923" s="2" t="inlineStr">
        <is>
          <t>Andalucía</t>
        </is>
      </c>
      <c r="F923" s="2" t="inlineStr">
        <is>
          <t>Cádiz</t>
        </is>
      </c>
      <c r="G923" s="2" t="inlineStr">
        <is>
          <t>Prado del rey</t>
        </is>
      </c>
      <c r="H923" s="2" t="inlineStr">
        <is>
          <t>Alcaldía del Ayuntamiento de Prado del Rey</t>
        </is>
      </c>
      <c r="I923" s="2" t="inlineStr">
        <is>
          <t>Contrato administrativo de obras para acometer mejoras de las infraestructuras públicas municipales, tales como reparar el firme de un tramo de la cañada real Ubrique Sevilla denominada Venta Mena, incluyendo desbroce, tala, limpieza de cunetas y ejecución de badenes, del municipio de Prado del Rey.</t>
        </is>
      </c>
      <c r="J923" s="2" t="inlineStr">
        <is>
          <t>2857/2026</t>
        </is>
      </c>
      <c r="K923" s="2" t="inlineStr">
        <is>
          <t>Abierto simplificado</t>
        </is>
      </c>
      <c r="L923" s="6" t="n">
        <v>4</v>
      </c>
      <c r="M923" s="2" t="n"/>
      <c r="N923" s="7" t="n">
        <v>0</v>
      </c>
      <c r="O923" s="4" t="n"/>
      <c r="P923" s="2" t="inlineStr">
        <is>
          <t>45233200; 77312000</t>
        </is>
      </c>
      <c r="Q923" s="8" t="inlineStr">
        <is>
          <t>Ver</t>
        </is>
      </c>
      <c r="R923" s="8" t="inlineStr">
        <is>
          <t>PCAP</t>
        </is>
      </c>
      <c r="S923" s="9" t="n">
        <v>46317</v>
      </c>
      <c r="T923" s="3" t="n">
        <v>46316.53799768518</v>
      </c>
      <c r="U923" s="2" t="n"/>
    </row>
    <row r="924">
      <c r="A924" s="2" t="inlineStr">
        <is>
          <t>En plazo</t>
        </is>
      </c>
      <c r="B924" s="3" t="n">
        <v>46336.99930555555</v>
      </c>
      <c r="C924" s="5" t="n">
        <v>123966.94</v>
      </c>
      <c r="D924" s="5" t="n">
        <v>123966.94</v>
      </c>
      <c r="E924" s="2" t="inlineStr">
        <is>
          <t>Andalucía</t>
        </is>
      </c>
      <c r="F924" s="2" t="inlineStr">
        <is>
          <t>Jaén</t>
        </is>
      </c>
      <c r="G924" s="2" t="inlineStr">
        <is>
          <t>Jaén</t>
        </is>
      </c>
      <c r="H924" s="2" t="inlineStr">
        <is>
          <t>Presidencia de la Diputación Provincial de Jaén</t>
        </is>
      </c>
      <c r="I924" s="2" t="inlineStr">
        <is>
          <t>Obras de sustitución carpintería exterior dependencias oficiales y adecuación de pabellón a oficinas en acuartelamiento de Villacarrillo (Jaén)</t>
        </is>
      </c>
      <c r="J924" s="2" t="inlineStr">
        <is>
          <t>CO-2025/000784</t>
        </is>
      </c>
      <c r="K924" s="2" t="inlineStr">
        <is>
          <t>Abierto simplificado</t>
        </is>
      </c>
      <c r="L924" s="6" t="n">
        <v>6</v>
      </c>
      <c r="M924" s="2" t="n"/>
      <c r="N924" s="7" t="n">
        <v>0</v>
      </c>
      <c r="O924" s="4" t="n"/>
      <c r="P924" s="2" t="inlineStr">
        <is>
          <t>45453100</t>
        </is>
      </c>
      <c r="Q924" s="8" t="inlineStr">
        <is>
          <t>Ver</t>
        </is>
      </c>
      <c r="R924" s="8" t="inlineStr">
        <is>
          <t>PCAP</t>
        </is>
      </c>
      <c r="S924" s="9" t="n">
        <v>46317</v>
      </c>
      <c r="T924" s="3" t="n">
        <v>46316.53047453704</v>
      </c>
      <c r="U924" s="2" t="n"/>
    </row>
    <row r="925">
      <c r="A925" s="2" t="inlineStr">
        <is>
          <t>Adjudicada</t>
        </is>
      </c>
      <c r="B925" s="3" t="n">
        <v>46297.625</v>
      </c>
      <c r="C925" s="5" t="n">
        <v>42803.27</v>
      </c>
      <c r="D925" s="5" t="n">
        <v>42803.27</v>
      </c>
      <c r="E925" s="2" t="inlineStr">
        <is>
          <t>Andalucía</t>
        </is>
      </c>
      <c r="F925" s="2" t="inlineStr">
        <is>
          <t>Sevilla</t>
        </is>
      </c>
      <c r="G925" s="2" t="inlineStr">
        <is>
          <t>AGUADULCE</t>
        </is>
      </c>
      <c r="H925" s="2" t="inlineStr">
        <is>
          <t>Alcaldía del Ayuntamiento de Aguadulce</t>
        </is>
      </c>
      <c r="I925" s="2" t="inlineStr">
        <is>
          <t>construccion de modulo de 66 nichos en cementerio municipal</t>
        </is>
      </c>
      <c r="J925" s="2" t="inlineStr">
        <is>
          <t>1114/2026</t>
        </is>
      </c>
      <c r="K925" s="2" t="inlineStr">
        <is>
          <t>Abierto simplificado</t>
        </is>
      </c>
      <c r="L925" s="6" t="n">
        <v>3</v>
      </c>
      <c r="M925" s="2" t="n"/>
      <c r="N925" s="7" t="n">
        <v>0</v>
      </c>
      <c r="O925" s="4" t="n"/>
      <c r="P925" s="2" t="inlineStr">
        <is>
          <t>45215400</t>
        </is>
      </c>
      <c r="Q925" s="8" t="inlineStr">
        <is>
          <t>Ver</t>
        </is>
      </c>
      <c r="R925" s="8" t="inlineStr">
        <is>
          <t>PCAP</t>
        </is>
      </c>
      <c r="S925" s="9" t="n">
        <v>46310</v>
      </c>
      <c r="T925" s="3" t="n">
        <v>46316.52938657408</v>
      </c>
      <c r="U925" s="2" t="inlineStr">
        <is>
          <t>2026-10-22: estado EV → ADJ</t>
        </is>
      </c>
    </row>
    <row r="926">
      <c r="A926" s="2" t="inlineStr">
        <is>
          <t>Pendiente de adjudicación</t>
        </is>
      </c>
      <c r="B926" s="3" t="n">
        <v>46308.99930555555</v>
      </c>
      <c r="C926" s="5" t="n">
        <v>110375.57</v>
      </c>
      <c r="D926" s="5" t="n">
        <v>110375.57</v>
      </c>
      <c r="E926" s="2" t="inlineStr">
        <is>
          <t>Andalucía</t>
        </is>
      </c>
      <c r="F926" s="2" t="inlineStr">
        <is>
          <t>Jaén</t>
        </is>
      </c>
      <c r="G926" s="2" t="inlineStr">
        <is>
          <t>Torreblascopedro, Jaén</t>
        </is>
      </c>
      <c r="H926" s="2" t="inlineStr">
        <is>
          <t>Alcaldía del Ayuntamiento de Torreblascopedro</t>
        </is>
      </c>
      <c r="I926"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926" s="2" t="inlineStr">
        <is>
          <t>286/2026</t>
        </is>
      </c>
      <c r="K926" s="2" t="inlineStr">
        <is>
          <t>Abierto simplificado</t>
        </is>
      </c>
      <c r="L926" s="6" t="n">
        <v>4</v>
      </c>
      <c r="M926" s="2" t="inlineStr">
        <is>
          <t>C7-1</t>
        </is>
      </c>
      <c r="N926" s="7" t="n">
        <v>0</v>
      </c>
      <c r="O926" s="4" t="n"/>
      <c r="P926" s="2" t="inlineStr">
        <is>
          <t>45261900; 45450000; 45261410; 45261420</t>
        </is>
      </c>
      <c r="Q926" s="8" t="inlineStr">
        <is>
          <t>Ver</t>
        </is>
      </c>
      <c r="R926" s="8" t="inlineStr">
        <is>
          <t>PCAP</t>
        </is>
      </c>
      <c r="S926" s="9" t="n">
        <v>46310</v>
      </c>
      <c r="T926" s="3" t="n">
        <v>46316.52802083334</v>
      </c>
      <c r="U926" s="2" t="n"/>
    </row>
    <row r="927">
      <c r="A927" s="2" t="inlineStr">
        <is>
          <t>En plazo</t>
        </is>
      </c>
      <c r="B927" s="3" t="n">
        <v>46342.99930555555</v>
      </c>
      <c r="C927" s="5" t="n">
        <v>324578.52</v>
      </c>
      <c r="D927" s="5" t="n">
        <v>324578.52</v>
      </c>
      <c r="E927" s="2" t="inlineStr">
        <is>
          <t>Andalucía</t>
        </is>
      </c>
      <c r="F927" s="2" t="inlineStr">
        <is>
          <t>Málaga</t>
        </is>
      </c>
      <c r="G927" s="2" t="n"/>
      <c r="H927" s="2" t="inlineStr">
        <is>
          <t>Junta de Gobierno del Ayuntamiento de Marbella</t>
        </is>
      </c>
      <c r="I927" s="2" t="inlineStr">
        <is>
          <t>Contratación de las Obras: Mejoras de la Red de Agua en margen derecha de la Avenida Cánovas del Castillo entre Polideportivo Paco Cantos y Rotonda Canimo del Pinar. T.M. Marbella (Málaga). PAEM 2024 4ª FASE</t>
        </is>
      </c>
      <c r="J927" s="2" t="inlineStr">
        <is>
          <t>OB 201/26</t>
        </is>
      </c>
      <c r="K927" s="2" t="inlineStr">
        <is>
          <t>Abierto</t>
        </is>
      </c>
      <c r="L927" s="6" t="n">
        <v>3</v>
      </c>
      <c r="M927" s="2" t="n"/>
      <c r="N927" s="7" t="n">
        <v>0.4</v>
      </c>
      <c r="O927" s="4" t="n"/>
      <c r="P927" s="2" t="inlineStr">
        <is>
          <t>45233200; 45112712</t>
        </is>
      </c>
      <c r="Q927" s="8" t="inlineStr">
        <is>
          <t>Ver</t>
        </is>
      </c>
      <c r="R927" s="8" t="inlineStr">
        <is>
          <t>PCAP</t>
        </is>
      </c>
      <c r="S927" s="9" t="n">
        <v>46317</v>
      </c>
      <c r="T927" s="3" t="n">
        <v>46316.5271875</v>
      </c>
      <c r="U927" s="2" t="n"/>
    </row>
    <row r="928">
      <c r="A928" s="2" t="inlineStr">
        <is>
          <t>Resuelta</t>
        </is>
      </c>
      <c r="B928" s="3" t="n">
        <v>46260.99930555555</v>
      </c>
      <c r="C928" s="5" t="n">
        <v>589050</v>
      </c>
      <c r="D928" s="5" t="n">
        <v>589050</v>
      </c>
      <c r="E928" s="2" t="inlineStr">
        <is>
          <t>Andalucía</t>
        </is>
      </c>
      <c r="F928" s="2" t="inlineStr">
        <is>
          <t>Sevilla</t>
        </is>
      </c>
      <c r="G928" s="2" t="inlineStr">
        <is>
          <t>Utrera (Sevilla)</t>
        </is>
      </c>
      <c r="H928" s="2" t="inlineStr">
        <is>
          <t>Alcaldía del Ayuntamiento de Utrera</t>
        </is>
      </c>
      <c r="I928" s="2" t="inlineStr">
        <is>
          <t>Ejecución de las obras del Reformado 01 del Proyecto de Ejecución de "Rehabilitación de la casa de los Cuadra sita en plaza Enrique de la Cuadra nº 8. [Fase 0 y 1 Parcial], en Utrera (Sevilla)", cofinanciado por la Diputación de Sevilla con cargo a la línea de inversiones del Programa de Cooperación General del Plan Provincial Más Sevilla.</t>
        </is>
      </c>
      <c r="J928" s="2" t="inlineStr">
        <is>
          <t>OB38/2026</t>
        </is>
      </c>
      <c r="K928" s="2" t="inlineStr">
        <is>
          <t>Abierto simplificado</t>
        </is>
      </c>
      <c r="L928" s="6" t="n">
        <v>8</v>
      </c>
      <c r="M928" s="2" t="n"/>
      <c r="N928" s="7" t="n">
        <v>0</v>
      </c>
      <c r="O928" s="4" t="n"/>
      <c r="P928" s="2" t="inlineStr">
        <is>
          <t>45000000; 45262520; 45310000; 45400000; 45421130; 45112000; 45421160; 45111100; 45223100; 45321000; 45331200; 45330000; 45232410; 45233200</t>
        </is>
      </c>
      <c r="Q928" s="8" t="inlineStr">
        <is>
          <t>Ver</t>
        </is>
      </c>
      <c r="R928" s="8" t="inlineStr">
        <is>
          <t>PCAP</t>
        </is>
      </c>
      <c r="S928" s="9" t="n">
        <v>46314</v>
      </c>
      <c r="T928" s="3" t="n">
        <v>46316.52657407407</v>
      </c>
      <c r="U928" s="2" t="n"/>
    </row>
    <row r="929">
      <c r="A929" s="2" t="inlineStr">
        <is>
          <t>Resuelta</t>
        </is>
      </c>
      <c r="B929" s="3" t="n">
        <v>46254.99930555555</v>
      </c>
      <c r="C929" s="5" t="n">
        <v>61983.47</v>
      </c>
      <c r="D929" s="5" t="n">
        <v>61983.47</v>
      </c>
      <c r="E929" s="2" t="inlineStr">
        <is>
          <t>Andalucía</t>
        </is>
      </c>
      <c r="F929" s="2" t="inlineStr">
        <is>
          <t>Sevilla</t>
        </is>
      </c>
      <c r="G929" s="2" t="n"/>
      <c r="H929" s="2" t="inlineStr">
        <is>
          <t>Junta de Gobierno del Ayuntamiento de Dos Hermanas</t>
        </is>
      </c>
      <c r="I929"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929" s="2" t="inlineStr">
        <is>
          <t>2026000024</t>
        </is>
      </c>
      <c r="K929" s="2" t="inlineStr">
        <is>
          <t>Abierto simplificado</t>
        </is>
      </c>
      <c r="L929" s="6" t="n">
        <v>3</v>
      </c>
      <c r="M929" s="2" t="n"/>
      <c r="N929" s="7" t="n">
        <v>0</v>
      </c>
      <c r="O929" s="4" t="n"/>
      <c r="P929" s="2" t="inlineStr">
        <is>
          <t>45233200; 45111100; 45112000</t>
        </is>
      </c>
      <c r="Q929" s="8" t="inlineStr">
        <is>
          <t>Ver</t>
        </is>
      </c>
      <c r="R929" s="8" t="inlineStr">
        <is>
          <t>PCAP</t>
        </is>
      </c>
      <c r="S929" s="9" t="n">
        <v>46310</v>
      </c>
      <c r="T929" s="3" t="n">
        <v>46316.52523148148</v>
      </c>
      <c r="U929" s="2" t="inlineStr">
        <is>
          <t>2026-10-22: estado ADJ → RES</t>
        </is>
      </c>
    </row>
    <row r="930">
      <c r="A930" s="2" t="inlineStr">
        <is>
          <t>En plazo</t>
        </is>
      </c>
      <c r="B930" s="3" t="n">
        <v>46336.99930555555</v>
      </c>
      <c r="C930" s="5" t="n">
        <v>55899.78</v>
      </c>
      <c r="D930" s="5" t="n">
        <v>55899.78</v>
      </c>
      <c r="E930" s="2" t="inlineStr">
        <is>
          <t>Comunitat Valenciana</t>
        </is>
      </c>
      <c r="F930" s="2" t="inlineStr">
        <is>
          <t>Alicante</t>
        </is>
      </c>
      <c r="G930" s="2" t="inlineStr">
        <is>
          <t>Novelda</t>
        </is>
      </c>
      <c r="H930" s="2" t="inlineStr">
        <is>
          <t>Junta de Gobierno del Ayuntamiento de Novelda</t>
        </is>
      </c>
      <c r="I930" s="2" t="inlineStr">
        <is>
          <t>Mejora de la Accesibilidad en las Aceras de Novelda</t>
        </is>
      </c>
      <c r="J930" s="2" t="inlineStr">
        <is>
          <t>2025/234S</t>
        </is>
      </c>
      <c r="K930" s="2" t="inlineStr">
        <is>
          <t>Abierto simplificado</t>
        </is>
      </c>
      <c r="L930" s="6" t="n">
        <v>3</v>
      </c>
      <c r="M930" s="2" t="n"/>
      <c r="N930" s="7" t="n">
        <v>0</v>
      </c>
      <c r="O930" s="4" t="n"/>
      <c r="P930" s="2" t="inlineStr">
        <is>
          <t>45233252</t>
        </is>
      </c>
      <c r="Q930" s="8" t="inlineStr">
        <is>
          <t>Ver</t>
        </is>
      </c>
      <c r="R930" s="8" t="inlineStr">
        <is>
          <t>PCAP</t>
        </is>
      </c>
      <c r="S930" s="9" t="n">
        <v>46315</v>
      </c>
      <c r="T930" s="3" t="n">
        <v>46316.52150462963</v>
      </c>
      <c r="U930" s="2" t="inlineStr">
        <is>
          <t>2026-10-22: plazo 2026-11-09 23:59 → 2026-11-10 23:59</t>
        </is>
      </c>
    </row>
    <row r="931">
      <c r="A931" s="2" t="inlineStr">
        <is>
          <t>En plazo</t>
        </is>
      </c>
      <c r="B931" s="3" t="n">
        <v>46336.99930555555</v>
      </c>
      <c r="C931" s="5" t="n">
        <v>273362.94</v>
      </c>
      <c r="D931" s="5" t="n">
        <v>273362.94</v>
      </c>
      <c r="E931" s="2" t="inlineStr">
        <is>
          <t>Andalucía</t>
        </is>
      </c>
      <c r="F931" s="2" t="inlineStr">
        <is>
          <t>Granada</t>
        </is>
      </c>
      <c r="G931" s="2" t="inlineStr">
        <is>
          <t>Orce</t>
        </is>
      </c>
      <c r="H931" s="2" t="inlineStr">
        <is>
          <t>Alcaldia del Ayuntamiento de Orce</t>
        </is>
      </c>
      <c r="I931" s="2" t="inlineStr">
        <is>
          <t>Obras de los Muros de contención y reparación de calles adyacentes a Rambla San Marcos (Orce).</t>
        </is>
      </c>
      <c r="J931" s="2" t="inlineStr">
        <is>
          <t>586/2026</t>
        </is>
      </c>
      <c r="K931" s="2" t="inlineStr">
        <is>
          <t>Abierto simplificado</t>
        </is>
      </c>
      <c r="L931" s="6" t="n">
        <v>5</v>
      </c>
      <c r="M931" s="2" t="n"/>
      <c r="N931" s="7" t="n">
        <v>0.25</v>
      </c>
      <c r="O931" s="4" t="n"/>
      <c r="P931" s="2" t="inlineStr">
        <is>
          <t>45246100; 45230000; 45220000</t>
        </is>
      </c>
      <c r="Q931" s="8" t="inlineStr">
        <is>
          <t>Ver</t>
        </is>
      </c>
      <c r="R931" s="8" t="inlineStr">
        <is>
          <t>PCAP</t>
        </is>
      </c>
      <c r="S931" s="9" t="n">
        <v>46317</v>
      </c>
      <c r="T931" s="3" t="n">
        <v>46316.51891203703</v>
      </c>
      <c r="U931" s="2" t="n"/>
    </row>
    <row r="932">
      <c r="A932" s="2" t="inlineStr">
        <is>
          <t>Resuelta</t>
        </is>
      </c>
      <c r="B932" s="3" t="n">
        <v>46230.99930555555</v>
      </c>
      <c r="C932" s="5" t="n">
        <v>78401.92999999999</v>
      </c>
      <c r="D932" s="5" t="n">
        <v>78401.92999999999</v>
      </c>
      <c r="E932" s="2" t="inlineStr">
        <is>
          <t>Comunitat Valenciana</t>
        </is>
      </c>
      <c r="F932" s="2" t="inlineStr">
        <is>
          <t>Castellón</t>
        </is>
      </c>
      <c r="G932" s="2" t="inlineStr">
        <is>
          <t>Peñíscola</t>
        </is>
      </c>
      <c r="H932" s="2" t="inlineStr">
        <is>
          <t>Alcaldía del Ayuntamiento de Peñíscola</t>
        </is>
      </c>
      <c r="I932" s="2" t="inlineStr">
        <is>
          <t>Obras de reparación de las fachadas del edificio sociocultural de Peñíscola</t>
        </is>
      </c>
      <c r="J932" s="2" t="inlineStr">
        <is>
          <t>2026/00004382W</t>
        </is>
      </c>
      <c r="K932" s="2" t="inlineStr">
        <is>
          <t>Negociado sin publicidad</t>
        </is>
      </c>
      <c r="L932" s="6" t="n">
        <v>2</v>
      </c>
      <c r="M932" s="2" t="n"/>
      <c r="N932" s="7" t="n">
        <v>0</v>
      </c>
      <c r="O932" s="4" t="n"/>
      <c r="P932" s="2" t="inlineStr">
        <is>
          <t>45262650</t>
        </is>
      </c>
      <c r="Q932" s="8" t="inlineStr">
        <is>
          <t>Ver</t>
        </is>
      </c>
      <c r="R932" s="8" t="inlineStr">
        <is>
          <t>PCAP</t>
        </is>
      </c>
      <c r="S932" s="9" t="n">
        <v>46314</v>
      </c>
      <c r="T932" s="3" t="n">
        <v>46316.51783564815</v>
      </c>
      <c r="U932" s="2" t="inlineStr">
        <is>
          <t>2026-10-22: estado ADJ → RES</t>
        </is>
      </c>
    </row>
    <row r="933">
      <c r="A933" s="2" t="inlineStr">
        <is>
          <t>Resuelta</t>
        </is>
      </c>
      <c r="B933" s="3" t="n">
        <v>46153.99930555555</v>
      </c>
      <c r="C933" s="5" t="n">
        <v>113764.62</v>
      </c>
      <c r="D933" s="5" t="n">
        <v>113764.62</v>
      </c>
      <c r="E933" s="2" t="inlineStr">
        <is>
          <t>Andalucía</t>
        </is>
      </c>
      <c r="F933" s="2" t="inlineStr">
        <is>
          <t>Sevilla</t>
        </is>
      </c>
      <c r="G933" s="2" t="n"/>
      <c r="H933" s="2" t="inlineStr">
        <is>
          <t>Alcaldía del Ayuntamiento de Utrera</t>
        </is>
      </c>
      <c r="I933" s="2" t="inlineStr">
        <is>
          <t>Ejecución de obras del proyecto básico y de ejecución de sustitución de cubierta de fibrocemento por panel sándwich en edificio sito en Calle Veracruz, 74 financiado por la Excma. Diputación de Sevilla, Programa de Cooperación General del Plan Provincial Más Sevilla.</t>
        </is>
      </c>
      <c r="J933" s="2" t="inlineStr">
        <is>
          <t>OB16/2026</t>
        </is>
      </c>
      <c r="K933" s="2" t="inlineStr">
        <is>
          <t>Abierto simplificado</t>
        </is>
      </c>
      <c r="L933" s="6" t="n">
        <v>2</v>
      </c>
      <c r="M933" s="2" t="n"/>
      <c r="N933" s="7" t="n">
        <v>0</v>
      </c>
      <c r="O933" s="4" t="n"/>
      <c r="P933" s="2" t="inlineStr">
        <is>
          <t>45262660; 45111100; 45200000; 45261000; 45000000</t>
        </is>
      </c>
      <c r="Q933" s="8" t="inlineStr">
        <is>
          <t>Ver</t>
        </is>
      </c>
      <c r="R933" s="8" t="inlineStr">
        <is>
          <t>PCAP</t>
        </is>
      </c>
      <c r="S933" s="9" t="n">
        <v>46317</v>
      </c>
      <c r="T933" s="3" t="n">
        <v>46316.51695601852</v>
      </c>
      <c r="U933" s="2" t="n"/>
    </row>
    <row r="934">
      <c r="A934" s="2" t="inlineStr">
        <is>
          <t>En plazo</t>
        </is>
      </c>
      <c r="B934" s="3" t="n">
        <v>46337.58333333334</v>
      </c>
      <c r="C934" s="5" t="n">
        <v>409090.91</v>
      </c>
      <c r="D934" s="5" t="n">
        <v>409090.91</v>
      </c>
      <c r="E934" s="2" t="inlineStr">
        <is>
          <t>Andalucía</t>
        </is>
      </c>
      <c r="F934" s="2" t="inlineStr">
        <is>
          <t>Cádiz</t>
        </is>
      </c>
      <c r="G934" s="2" t="n"/>
      <c r="H934" s="2" t="inlineStr">
        <is>
          <t>Alcaldía del Ayuntamiento de Puerto Serrano</t>
        </is>
      </c>
      <c r="I934" s="2" t="inlineStr">
        <is>
          <t>Mejora y embellecimiento de la Plaza García Márquez</t>
        </is>
      </c>
      <c r="J934" s="2" t="inlineStr">
        <is>
          <t>2026/COM_02/000183</t>
        </is>
      </c>
      <c r="K934" s="2" t="inlineStr">
        <is>
          <t>Abierto simplificado</t>
        </is>
      </c>
      <c r="L934" s="6" t="n">
        <v>10</v>
      </c>
      <c r="M934" s="2" t="n"/>
      <c r="N934" s="7" t="n">
        <v>0</v>
      </c>
      <c r="O934" s="4" t="n"/>
      <c r="P934" s="2" t="inlineStr">
        <is>
          <t>45233200; 45233262</t>
        </is>
      </c>
      <c r="Q934" s="8" t="inlineStr">
        <is>
          <t>Ver</t>
        </is>
      </c>
      <c r="R934" s="8" t="inlineStr">
        <is>
          <t>PCAP</t>
        </is>
      </c>
      <c r="S934" s="9" t="n">
        <v>46317</v>
      </c>
      <c r="T934" s="3" t="n">
        <v>46316.51634259259</v>
      </c>
      <c r="U934" s="2" t="n"/>
    </row>
    <row r="935">
      <c r="A935" s="2" t="inlineStr">
        <is>
          <t>Pendiente de adjudicación</t>
        </is>
      </c>
      <c r="B935" s="3" t="n">
        <v>46276.5</v>
      </c>
      <c r="C935" s="5" t="n">
        <v>147927.78</v>
      </c>
      <c r="D935" s="5" t="n">
        <v>147927.78</v>
      </c>
      <c r="E935" s="2" t="inlineStr">
        <is>
          <t>Andalucía</t>
        </is>
      </c>
      <c r="F935" s="2" t="inlineStr">
        <is>
          <t>Granada</t>
        </is>
      </c>
      <c r="G935" s="2" t="inlineStr">
        <is>
          <t>Atarfe (Granada)</t>
        </is>
      </c>
      <c r="H935" s="2" t="inlineStr">
        <is>
          <t>Dirección Gerente de Aguas Vega Sierra Elvira, S.A.</t>
        </is>
      </c>
      <c r="I935" s="2" t="inlineStr">
        <is>
          <t>Cubrición del Barranco Purcal en el T.M. de Peligros (Granada)</t>
        </is>
      </c>
      <c r="J935" s="2" t="inlineStr">
        <is>
          <t>Obras 12/2026</t>
        </is>
      </c>
      <c r="K935" s="2" t="inlineStr">
        <is>
          <t>Abierto</t>
        </is>
      </c>
      <c r="L935" s="6" t="n">
        <v>4</v>
      </c>
      <c r="M935" s="2" t="n"/>
      <c r="N935" s="7" t="n">
        <v>0.4</v>
      </c>
      <c r="O935" s="4" t="n"/>
      <c r="P935" s="2" t="inlineStr">
        <is>
          <t>45200000; 44160000; 45232100; 45231100; 45220000</t>
        </is>
      </c>
      <c r="Q935" s="8" t="inlineStr">
        <is>
          <t>Ver</t>
        </is>
      </c>
      <c r="R935" s="8" t="inlineStr">
        <is>
          <t>PCAP</t>
        </is>
      </c>
      <c r="S935" s="9" t="n">
        <v>46315</v>
      </c>
      <c r="T935" s="3" t="n">
        <v>46316.51302083334</v>
      </c>
      <c r="U935" s="2" t="n"/>
    </row>
    <row r="936">
      <c r="A936" s="2" t="inlineStr">
        <is>
          <t>Resuelta</t>
        </is>
      </c>
      <c r="B936" s="3" t="n">
        <v>46097.99930555555</v>
      </c>
      <c r="C936" s="5" t="n">
        <v>66115.7</v>
      </c>
      <c r="D936" s="5" t="n">
        <v>66115.7</v>
      </c>
      <c r="E936" s="2" t="inlineStr">
        <is>
          <t>Andalucía</t>
        </is>
      </c>
      <c r="F936" s="2" t="inlineStr">
        <is>
          <t>Jaén</t>
        </is>
      </c>
      <c r="G936" s="2" t="inlineStr">
        <is>
          <t>Beas de SEgura</t>
        </is>
      </c>
      <c r="H936" s="2" t="inlineStr">
        <is>
          <t>Alcaldía del Ayuntamiento de Beas de Segura</t>
        </is>
      </c>
      <c r="I936" s="2" t="inlineStr">
        <is>
          <t>Reforma de instalaciones en pabellón deportivo.</t>
        </is>
      </c>
      <c r="J936" s="2" t="inlineStr">
        <is>
          <t>85/2026</t>
        </is>
      </c>
      <c r="K936" s="2" t="inlineStr">
        <is>
          <t>Abierto simplificado</t>
        </is>
      </c>
      <c r="L936" s="6" t="n">
        <v>4</v>
      </c>
      <c r="M936" s="2" t="n"/>
      <c r="N936" s="7" t="n">
        <v>0</v>
      </c>
      <c r="O936" s="4" t="n"/>
      <c r="P936" s="2" t="inlineStr">
        <is>
          <t>45453100</t>
        </is>
      </c>
      <c r="Q936" s="8" t="inlineStr">
        <is>
          <t>Ver</t>
        </is>
      </c>
      <c r="R936" s="8" t="inlineStr">
        <is>
          <t>PCAP</t>
        </is>
      </c>
      <c r="S936" s="9" t="n">
        <v>46317</v>
      </c>
      <c r="T936" s="3" t="n">
        <v>46316.51118055556</v>
      </c>
      <c r="U936" s="2" t="n"/>
    </row>
    <row r="937">
      <c r="A937" s="2" t="inlineStr">
        <is>
          <t>En plazo</t>
        </is>
      </c>
      <c r="B937" s="3" t="n">
        <v>46336.75</v>
      </c>
      <c r="C937" s="5" t="n">
        <v>188530.66</v>
      </c>
      <c r="D937" s="5" t="n">
        <v>188530.66</v>
      </c>
      <c r="E937" s="2" t="inlineStr">
        <is>
          <t>Andalucía</t>
        </is>
      </c>
      <c r="F937" s="2" t="inlineStr">
        <is>
          <t>Sevilla</t>
        </is>
      </c>
      <c r="G937" s="2" t="n"/>
      <c r="H937" s="2" t="inlineStr">
        <is>
          <t>Rectorado de la Universidad de Sevilla</t>
        </is>
      </c>
      <c r="I937" s="2" t="inlineStr">
        <is>
          <t>Obra para la ejecución de aula de simulación en Pabellón Docente de Valme de la Universidad de Sevilla para la Facultad de Medicina</t>
        </is>
      </c>
      <c r="J937" s="2" t="inlineStr">
        <is>
          <t>26/ANT/45339</t>
        </is>
      </c>
      <c r="K937" s="2" t="inlineStr">
        <is>
          <t>Abierto simplificado</t>
        </is>
      </c>
      <c r="L937" s="6" t="n">
        <v>2</v>
      </c>
      <c r="M937" s="2" t="n"/>
      <c r="N937" s="7" t="n">
        <v>0</v>
      </c>
      <c r="O937" s="4" t="n"/>
      <c r="P937" s="2" t="inlineStr">
        <is>
          <t>45232440</t>
        </is>
      </c>
      <c r="Q937" s="8" t="inlineStr">
        <is>
          <t>Ver</t>
        </is>
      </c>
      <c r="R937" s="8" t="inlineStr">
        <is>
          <t>PCAP</t>
        </is>
      </c>
      <c r="S937" s="9" t="n">
        <v>46317</v>
      </c>
      <c r="T937" s="3" t="n">
        <v>46316.50726851852</v>
      </c>
      <c r="U937" s="2" t="n"/>
    </row>
    <row r="938">
      <c r="A938" s="2" t="inlineStr">
        <is>
          <t>Resuelta</t>
        </is>
      </c>
      <c r="B938" s="3" t="n">
        <v>46134.99930555555</v>
      </c>
      <c r="C938" s="5" t="n">
        <v>956615.47</v>
      </c>
      <c r="D938" s="5" t="n">
        <v>956615.47</v>
      </c>
      <c r="E938" s="2" t="inlineStr">
        <is>
          <t>Andalucía</t>
        </is>
      </c>
      <c r="F938" s="2" t="inlineStr">
        <is>
          <t>Málaga</t>
        </is>
      </c>
      <c r="G938" s="2" t="inlineStr">
        <is>
          <t>ALGARROBO</t>
        </is>
      </c>
      <c r="H938" s="2" t="inlineStr">
        <is>
          <t>Alcaldía del Ayuntamiento de Algarrobo</t>
        </is>
      </c>
      <c r="I938" s="2" t="inlineStr">
        <is>
          <t>Ejecución de aparcamiento de vehículos C/ Antonio Ruiz Rivas, C/ Platero y Paseo Pablo Ruiz Picasso en Algarrobo.</t>
        </is>
      </c>
      <c r="J938" s="2" t="inlineStr">
        <is>
          <t>158/2026</t>
        </is>
      </c>
      <c r="K938" s="2" t="inlineStr">
        <is>
          <t>Abierto</t>
        </is>
      </c>
      <c r="L938" s="6" t="n">
        <v>9</v>
      </c>
      <c r="M938" s="2" t="n"/>
      <c r="N938" s="7" t="n">
        <v>0</v>
      </c>
      <c r="O938" s="4" t="n"/>
      <c r="P938" s="2" t="inlineStr">
        <is>
          <t>45200000</t>
        </is>
      </c>
      <c r="Q938" s="8" t="inlineStr">
        <is>
          <t>Ver</t>
        </is>
      </c>
      <c r="R938" s="8" t="inlineStr">
        <is>
          <t>PCAP</t>
        </is>
      </c>
      <c r="S938" s="9" t="n">
        <v>46317</v>
      </c>
      <c r="T938" s="3" t="n">
        <v>46316.50451388889</v>
      </c>
      <c r="U938" s="2" t="n"/>
    </row>
    <row r="939">
      <c r="A939" s="2" t="inlineStr">
        <is>
          <t>En plazo</t>
        </is>
      </c>
      <c r="B939" s="3" t="n">
        <v>46329.99930555555</v>
      </c>
      <c r="C939" s="5" t="n">
        <v>176711.57</v>
      </c>
      <c r="D939" s="5" t="n">
        <v>176711.57</v>
      </c>
      <c r="E939" s="2" t="inlineStr">
        <is>
          <t>Comunitat Valenciana</t>
        </is>
      </c>
      <c r="F939" s="2" t="inlineStr">
        <is>
          <t>Valencia</t>
        </is>
      </c>
      <c r="G939" s="2" t="inlineStr">
        <is>
          <t>Montroi</t>
        </is>
      </c>
      <c r="H939" s="2" t="inlineStr">
        <is>
          <t>Junta de Gobierno Local del Ayuntamiento de Montroy</t>
        </is>
      </c>
      <c r="I939" s="2" t="inlineStr">
        <is>
          <t>Rehabilitación y adecuación de las instalaciones del Espacio Polivalente de Montroi.</t>
        </is>
      </c>
      <c r="J939" s="2" t="inlineStr">
        <is>
          <t>1585/2026</t>
        </is>
      </c>
      <c r="K939" s="2" t="inlineStr">
        <is>
          <t>Abierto simplificado</t>
        </is>
      </c>
      <c r="L939" s="6" t="n">
        <v>3</v>
      </c>
      <c r="M939" s="2" t="n"/>
      <c r="N939" s="7" t="n">
        <v>0</v>
      </c>
      <c r="O939" s="4" t="n"/>
      <c r="P939" s="2" t="inlineStr">
        <is>
          <t>45454000</t>
        </is>
      </c>
      <c r="Q939" s="8" t="inlineStr">
        <is>
          <t>Ver</t>
        </is>
      </c>
      <c r="R939" s="8" t="inlineStr">
        <is>
          <t>PCAP</t>
        </is>
      </c>
      <c r="S939" s="9" t="n">
        <v>46315</v>
      </c>
      <c r="T939" s="3" t="n">
        <v>46316.50190972222</v>
      </c>
      <c r="U939" s="2" t="n"/>
    </row>
    <row r="940">
      <c r="A940" s="2" t="inlineStr">
        <is>
          <t>Resuelta</t>
        </is>
      </c>
      <c r="B940" s="3" t="n">
        <v>46286.5</v>
      </c>
      <c r="C940" s="5" t="n">
        <v>156316.01</v>
      </c>
      <c r="D940" s="5" t="n">
        <v>156316.01</v>
      </c>
      <c r="E940" s="2" t="inlineStr">
        <is>
          <t>Andalucía</t>
        </is>
      </c>
      <c r="F940" s="2" t="inlineStr">
        <is>
          <t>Granada</t>
        </is>
      </c>
      <c r="G940" s="2" t="n"/>
      <c r="H940" s="2" t="inlineStr">
        <is>
          <t>Jefatura de Intendencia de Asuntos Económicos Sur</t>
        </is>
      </c>
      <c r="I940" s="2" t="inlineStr">
        <is>
          <t>OBRA TC 205-48/24 de las actuaciones por pandeo de la crujía este del claustro del Establecimiento de la Merced, Granada</t>
        </is>
      </c>
      <c r="J940" s="2" t="inlineStr">
        <is>
          <t>2026/ETSAE0226/00005967E</t>
        </is>
      </c>
      <c r="K940" s="2" t="inlineStr">
        <is>
          <t>Abierto simplificado</t>
        </is>
      </c>
      <c r="L940" s="6" t="n">
        <v>1.5</v>
      </c>
      <c r="M940" s="2" t="n"/>
      <c r="N940" s="7" t="n">
        <v>0</v>
      </c>
      <c r="O940" s="4" t="n"/>
      <c r="P940" s="2" t="inlineStr">
        <is>
          <t>45000000; 45400000; 45216200; 45200000</t>
        </is>
      </c>
      <c r="Q940" s="8" t="inlineStr">
        <is>
          <t>Ver</t>
        </is>
      </c>
      <c r="R940" s="8" t="inlineStr">
        <is>
          <t>PCAP</t>
        </is>
      </c>
      <c r="S940" s="9" t="n">
        <v>46317</v>
      </c>
      <c r="T940" s="3" t="n">
        <v>46316.50165509259</v>
      </c>
      <c r="U940" s="2" t="n"/>
    </row>
    <row r="941">
      <c r="A941" s="2" t="inlineStr">
        <is>
          <t>Adjudicada</t>
        </is>
      </c>
      <c r="B941" s="3" t="n">
        <v>46202.99930555555</v>
      </c>
      <c r="C941" s="5" t="n">
        <v>237551.64</v>
      </c>
      <c r="D941" s="5" t="n">
        <v>237551.64</v>
      </c>
      <c r="E941" s="2" t="inlineStr">
        <is>
          <t>Andalucía</t>
        </is>
      </c>
      <c r="F941" s="2" t="inlineStr">
        <is>
          <t>Granada</t>
        </is>
      </c>
      <c r="G941" s="2" t="inlineStr">
        <is>
          <t>HUÉSCAR</t>
        </is>
      </c>
      <c r="H941" s="2" t="inlineStr">
        <is>
          <t>Presidencia de la Diputación Provincial de Granada</t>
        </is>
      </c>
      <c r="I941" s="2" t="inlineStr">
        <is>
          <t>Proyecto de obra para reforma de diversas instalaciones de la finca "Los Morales" en el término municipal de Huéscar (Granada)</t>
        </is>
      </c>
      <c r="J941" s="2" t="inlineStr">
        <is>
          <t>OB-044/26</t>
        </is>
      </c>
      <c r="K941" s="2" t="inlineStr">
        <is>
          <t>Abierto simplificado</t>
        </is>
      </c>
      <c r="L941" s="6" t="n">
        <v>2</v>
      </c>
      <c r="M941" s="2" t="n"/>
      <c r="N941" s="7" t="n">
        <v>0</v>
      </c>
      <c r="O941" s="4" t="n">
        <v>6</v>
      </c>
      <c r="P941" s="2" t="inlineStr">
        <is>
          <t>45453100; 45212220</t>
        </is>
      </c>
      <c r="Q941" s="8" t="inlineStr">
        <is>
          <t>Ver</t>
        </is>
      </c>
      <c r="R941" s="8" t="inlineStr">
        <is>
          <t>PCAP</t>
        </is>
      </c>
      <c r="S941" s="9" t="n">
        <v>46311</v>
      </c>
      <c r="T941" s="3" t="n">
        <v>46316.50130787037</v>
      </c>
      <c r="U941" s="2" t="n"/>
    </row>
    <row r="942">
      <c r="A942" s="2" t="inlineStr">
        <is>
          <t>Resuelta</t>
        </is>
      </c>
      <c r="B942" s="3" t="n"/>
      <c r="C942" s="5" t="n">
        <v>1300911.9</v>
      </c>
      <c r="D942" s="5" t="n">
        <v>1574103.41</v>
      </c>
      <c r="E942" s="2" t="inlineStr">
        <is>
          <t>Andalucía</t>
        </is>
      </c>
      <c r="F942" s="2" t="inlineStr">
        <is>
          <t>Granada</t>
        </is>
      </c>
      <c r="G942" s="2" t="n"/>
      <c r="H942" s="2" t="inlineStr">
        <is>
          <t>Demarcación de Carreteras del Estado en Andalucía Oriental</t>
        </is>
      </c>
      <c r="I942" s="2" t="inlineStr">
        <is>
          <t>Desvíos provisionales y limpieza de viales por los daños provocados por las lluvias del 11 de noviembre de 2024 en los TT.MM. de Adra, Balanegra, El Ejido, La Mojonera y Roquetas de Mar, provincia de Almería. Lote 2</t>
        </is>
      </c>
      <c r="J942" s="2" t="inlineStr">
        <is>
          <t>EM24-AL-01.L2</t>
        </is>
      </c>
      <c r="K942" s="2" t="inlineStr">
        <is>
          <t>Negociado sin publicidad</t>
        </is>
      </c>
      <c r="L942" s="6" t="n">
        <v>12</v>
      </c>
      <c r="M942" s="2" t="n"/>
      <c r="N942" s="7" t="n"/>
      <c r="O942" s="4" t="n"/>
      <c r="P942" s="2" t="inlineStr">
        <is>
          <t>45000000</t>
        </is>
      </c>
      <c r="Q942" s="8" t="inlineStr">
        <is>
          <t>Ver</t>
        </is>
      </c>
      <c r="R942" s="2" t="n"/>
      <c r="S942" s="9" t="n">
        <v>46317</v>
      </c>
      <c r="T942" s="3" t="n">
        <v>46316.49880787037</v>
      </c>
      <c r="U942" s="2" t="n"/>
    </row>
    <row r="943">
      <c r="A943" s="2" t="inlineStr">
        <is>
          <t>En plazo</t>
        </is>
      </c>
      <c r="B943" s="3" t="n">
        <v>46336.99930555555</v>
      </c>
      <c r="C943" s="5" t="n">
        <v>295408.59</v>
      </c>
      <c r="D943" s="5" t="n">
        <v>295408.59</v>
      </c>
      <c r="E943" s="2" t="inlineStr">
        <is>
          <t>Andalucía</t>
        </is>
      </c>
      <c r="F943" s="2" t="inlineStr">
        <is>
          <t>Cádiz</t>
        </is>
      </c>
      <c r="G943" s="2" t="n"/>
      <c r="H943" s="2" t="inlineStr">
        <is>
          <t>Alcaldía del Ayuntamiento de Bornos</t>
        </is>
      </c>
      <c r="I943" s="2" t="inlineStr">
        <is>
          <t>Renovación pavimento de césped artificial en campo de fútbol municipal LUIS VEGA</t>
        </is>
      </c>
      <c r="J943" s="2" t="inlineStr">
        <is>
          <t>2026_11010_COAS_00009</t>
        </is>
      </c>
      <c r="K943" s="2" t="inlineStr">
        <is>
          <t>Abierto simplificado</t>
        </is>
      </c>
      <c r="L943" s="6" t="n">
        <v>3</v>
      </c>
      <c r="M943" s="2" t="n"/>
      <c r="N943" s="7" t="n">
        <v>0</v>
      </c>
      <c r="O943" s="4" t="n"/>
      <c r="P943" s="2" t="inlineStr">
        <is>
          <t>45236119</t>
        </is>
      </c>
      <c r="Q943" s="8" t="inlineStr">
        <is>
          <t>Ver</t>
        </is>
      </c>
      <c r="R943" s="8" t="inlineStr">
        <is>
          <t>PCAP</t>
        </is>
      </c>
      <c r="S943" s="9" t="n">
        <v>46317</v>
      </c>
      <c r="T943" s="3" t="n">
        <v>46316.49747685185</v>
      </c>
      <c r="U943" s="2" t="n"/>
    </row>
    <row r="944">
      <c r="A944" s="2" t="inlineStr">
        <is>
          <t>En plazo</t>
        </is>
      </c>
      <c r="B944" s="3" t="n">
        <v>46331.99930555555</v>
      </c>
      <c r="C944" s="5" t="n">
        <v>77575.11</v>
      </c>
      <c r="D944" s="5" t="n">
        <v>77575.11</v>
      </c>
      <c r="E944" s="2" t="inlineStr">
        <is>
          <t>Andalucía</t>
        </is>
      </c>
      <c r="F944" s="2" t="inlineStr">
        <is>
          <t>Granada</t>
        </is>
      </c>
      <c r="G944" s="2" t="n"/>
      <c r="H944" s="2" t="inlineStr">
        <is>
          <t>Alcaldía del Ayuntamiento de Gobernador</t>
        </is>
      </c>
      <c r="I944" s="2" t="inlineStr">
        <is>
          <t>Mejora de las calles Eras y Cordoba</t>
        </is>
      </c>
      <c r="J944" s="2" t="inlineStr">
        <is>
          <t>132.2026</t>
        </is>
      </c>
      <c r="K944" s="2" t="inlineStr">
        <is>
          <t>Abierto simplificado</t>
        </is>
      </c>
      <c r="L944" s="6" t="n">
        <v>5</v>
      </c>
      <c r="M944" s="2" t="n"/>
      <c r="N944" s="7" t="n">
        <v>0</v>
      </c>
      <c r="O944" s="4" t="n"/>
      <c r="P944" s="2" t="inlineStr">
        <is>
          <t>45000000; 45316000; 45232400; 45233250; 45232410; 45233252</t>
        </is>
      </c>
      <c r="Q944" s="8" t="inlineStr">
        <is>
          <t>Ver</t>
        </is>
      </c>
      <c r="R944" s="8" t="inlineStr">
        <is>
          <t>PCAP</t>
        </is>
      </c>
      <c r="S944" s="9" t="n">
        <v>46317</v>
      </c>
      <c r="T944" s="3" t="n">
        <v>46316.49739583334</v>
      </c>
      <c r="U944" s="2" t="n"/>
    </row>
    <row r="945">
      <c r="A945" s="2" t="inlineStr">
        <is>
          <t>En plazo</t>
        </is>
      </c>
      <c r="B945" s="3" t="n">
        <v>46350.45833333334</v>
      </c>
      <c r="C945" s="5" t="n">
        <v>96164.84</v>
      </c>
      <c r="D945" s="5" t="n">
        <v>96164.84</v>
      </c>
      <c r="E945" s="2" t="inlineStr">
        <is>
          <t>Andalucía</t>
        </is>
      </c>
      <c r="F945" s="2" t="inlineStr">
        <is>
          <t>Málaga</t>
        </is>
      </c>
      <c r="G945" s="2" t="n"/>
      <c r="H945" s="2" t="inlineStr">
        <is>
          <t>ADIF - Presidencia</t>
        </is>
      </c>
      <c r="I945" s="2" t="inlineStr">
        <is>
          <t>Obras de ejecución del Proyecto Nuevo Gabinete de Circulación Tipo en la Estación de Las Mellizas (Málaga)</t>
        </is>
      </c>
      <c r="J945" s="2" t="inlineStr">
        <is>
          <t>3.26/46506.0045</t>
        </is>
      </c>
      <c r="K945" s="2" t="inlineStr">
        <is>
          <t>Abierto simplificado</t>
        </is>
      </c>
      <c r="L945" s="6" t="n">
        <v>6</v>
      </c>
      <c r="M945" s="2" t="inlineStr">
        <is>
          <t>C2-1</t>
        </is>
      </c>
      <c r="N945" s="7" t="n">
        <v>0</v>
      </c>
      <c r="O945" s="4" t="n"/>
      <c r="P945" s="2" t="inlineStr">
        <is>
          <t>45223000</t>
        </is>
      </c>
      <c r="Q945" s="8" t="inlineStr">
        <is>
          <t>Ver</t>
        </is>
      </c>
      <c r="R945" s="8" t="inlineStr">
        <is>
          <t>PCAP</t>
        </is>
      </c>
      <c r="S945" s="9" t="n">
        <v>46317</v>
      </c>
      <c r="T945" s="3" t="n">
        <v>46316.4957175926</v>
      </c>
      <c r="U945" s="2" t="n"/>
    </row>
    <row r="946">
      <c r="A946" s="2" t="inlineStr">
        <is>
          <t>Resuelta</t>
        </is>
      </c>
      <c r="B946" s="3" t="n">
        <v>45755.99930555555</v>
      </c>
      <c r="C946" s="5" t="n">
        <v>227540.55</v>
      </c>
      <c r="D946" s="5" t="n">
        <v>227540.55</v>
      </c>
      <c r="E946" s="2" t="inlineStr">
        <is>
          <t>Andalucía</t>
        </is>
      </c>
      <c r="F946" s="2" t="inlineStr">
        <is>
          <t>Sevilla</t>
        </is>
      </c>
      <c r="G946" s="2" t="inlineStr">
        <is>
          <t>Sevilla</t>
        </is>
      </c>
      <c r="H946" s="2" t="inlineStr">
        <is>
          <t>Comisión Ejecutiva del Patronato del Real Alcázar y Casa Consistorial de Sevilla</t>
        </is>
      </c>
      <c r="I946" s="2" t="inlineStr">
        <is>
          <t>Obras de adecuación y rehabilitación de la Casa del Inglés para su uso como taller para la Unidad de Mantenimiento del Real Alcázar de Sevilla</t>
        </is>
      </c>
      <c r="J946" s="2" t="inlineStr">
        <is>
          <t>2024/001263</t>
        </is>
      </c>
      <c r="K946" s="2" t="inlineStr">
        <is>
          <t>Abierto simplificado</t>
        </is>
      </c>
      <c r="L946" s="6" t="n">
        <v>5</v>
      </c>
      <c r="M946" s="2" t="inlineStr">
        <is>
          <t>K7-2</t>
        </is>
      </c>
      <c r="N946" s="7" t="n">
        <v>0</v>
      </c>
      <c r="O946" s="4" t="n"/>
      <c r="P946" s="2" t="inlineStr">
        <is>
          <t>45212350</t>
        </is>
      </c>
      <c r="Q946" s="8" t="inlineStr">
        <is>
          <t>Ver</t>
        </is>
      </c>
      <c r="R946" s="8" t="inlineStr">
        <is>
          <t>PCAP</t>
        </is>
      </c>
      <c r="S946" s="9" t="n">
        <v>46317</v>
      </c>
      <c r="T946" s="3" t="n">
        <v>46316.49481481482</v>
      </c>
      <c r="U946" s="2" t="n"/>
    </row>
    <row r="947">
      <c r="A947" s="2" t="inlineStr">
        <is>
          <t>En plazo</t>
        </is>
      </c>
      <c r="B947" s="3" t="n">
        <v>46342.99930555555</v>
      </c>
      <c r="C947" s="5" t="n">
        <v>185950.41</v>
      </c>
      <c r="D947" s="5" t="n">
        <v>185950.41</v>
      </c>
      <c r="E947" s="2" t="inlineStr">
        <is>
          <t>Andalucía</t>
        </is>
      </c>
      <c r="F947" s="2" t="inlineStr">
        <is>
          <t>Málaga</t>
        </is>
      </c>
      <c r="G947" s="2" t="n"/>
      <c r="H947" s="2" t="inlineStr">
        <is>
          <t>Junta de Gobierno del Ayuntamiento de Marbella</t>
        </is>
      </c>
      <c r="I947" s="2" t="inlineStr">
        <is>
          <t>Contratación de las Obras: Creación de Pasos de Peatones Inteligentes en Avda. Miguel de Cervantes de Nueva Andalucía. T.M. Marbella (Málaga)</t>
        </is>
      </c>
      <c r="J947" s="2" t="inlineStr">
        <is>
          <t>OB 341/26</t>
        </is>
      </c>
      <c r="K947" s="2" t="inlineStr">
        <is>
          <t>Abierto</t>
        </is>
      </c>
      <c r="L947" s="6" t="n">
        <v>2</v>
      </c>
      <c r="M947" s="2" t="n"/>
      <c r="N947" s="7" t="n">
        <v>0.3</v>
      </c>
      <c r="O947" s="4" t="n"/>
      <c r="P947" s="2" t="inlineStr">
        <is>
          <t>45233294</t>
        </is>
      </c>
      <c r="Q947" s="8" t="inlineStr">
        <is>
          <t>Ver</t>
        </is>
      </c>
      <c r="R947" s="8" t="inlineStr">
        <is>
          <t>PCAP</t>
        </is>
      </c>
      <c r="S947" s="9" t="n">
        <v>46317</v>
      </c>
      <c r="T947" s="3" t="n">
        <v>46316.49372685186</v>
      </c>
      <c r="U947" s="2" t="n"/>
    </row>
    <row r="948">
      <c r="A948" s="2" t="inlineStr">
        <is>
          <t>Pendiente de adjudicación</t>
        </is>
      </c>
      <c r="B948" s="3" t="n">
        <v>46189.99930555555</v>
      </c>
      <c r="C948" s="5" t="n">
        <v>125711.75</v>
      </c>
      <c r="D948" s="5" t="n">
        <v>125711.75</v>
      </c>
      <c r="E948" s="2" t="inlineStr">
        <is>
          <t>Andalucía</t>
        </is>
      </c>
      <c r="F948" s="2" t="inlineStr">
        <is>
          <t>Málaga</t>
        </is>
      </c>
      <c r="G948" s="2" t="n"/>
      <c r="H948" s="2" t="inlineStr">
        <is>
          <t>Alcaldía del Ayuntamiento de Villanueva del Trabuco</t>
        </is>
      </c>
      <c r="I948"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948" s="2" t="inlineStr">
        <is>
          <t>90/2026</t>
        </is>
      </c>
      <c r="K948" s="2" t="inlineStr">
        <is>
          <t>Abierto simplificado</t>
        </is>
      </c>
      <c r="L948" s="6" t="n">
        <v>1</v>
      </c>
      <c r="M948" s="2" t="inlineStr">
        <is>
          <t>I9-1</t>
        </is>
      </c>
      <c r="N948" s="7" t="n">
        <v>0</v>
      </c>
      <c r="O948" s="4" t="n"/>
      <c r="P948" s="2" t="inlineStr">
        <is>
          <t>45223000; 09330000; 09332000; 09331200; 31440000; 09331000</t>
        </is>
      </c>
      <c r="Q948" s="8" t="inlineStr">
        <is>
          <t>Ver</t>
        </is>
      </c>
      <c r="R948" s="8" t="inlineStr">
        <is>
          <t>PCAP</t>
        </is>
      </c>
      <c r="S948" s="9" t="n">
        <v>46310</v>
      </c>
      <c r="T948" s="3" t="n">
        <v>46316.49028935185</v>
      </c>
      <c r="U948" s="2" t="n"/>
    </row>
    <row r="949">
      <c r="A949" s="2" t="inlineStr">
        <is>
          <t>Resuelta</t>
        </is>
      </c>
      <c r="B949" s="3" t="n">
        <v>46280.99930555555</v>
      </c>
      <c r="C949" s="5" t="n">
        <v>19421.49</v>
      </c>
      <c r="D949" s="5" t="n">
        <v>19421.49</v>
      </c>
      <c r="E949" s="2" t="inlineStr">
        <is>
          <t>Comunitat Valenciana</t>
        </is>
      </c>
      <c r="F949" s="2" t="inlineStr">
        <is>
          <t>Alicante</t>
        </is>
      </c>
      <c r="G949" s="2" t="n"/>
      <c r="H949" s="2" t="inlineStr">
        <is>
          <t>Presidencia de la Diputación Provincial de Alicante</t>
        </is>
      </c>
      <c r="I949" s="2" t="inlineStr">
        <is>
          <t>Obras de restauración de zona degradada por vertido incontrolado de residuos en "Corral del Senyoret", TM de Parcent (Alicante)</t>
        </is>
      </c>
      <c r="J949" s="2" t="inlineStr">
        <is>
          <t>O4SS-143/2026</t>
        </is>
      </c>
      <c r="K949" s="2" t="inlineStr">
        <is>
          <t>Abierto simplificado</t>
        </is>
      </c>
      <c r="L949" s="6" t="n">
        <v>1</v>
      </c>
      <c r="M949" s="2" t="n"/>
      <c r="N949" s="7" t="n">
        <v>0</v>
      </c>
      <c r="O949" s="4" t="n"/>
      <c r="P949" s="2" t="inlineStr">
        <is>
          <t>45111213</t>
        </is>
      </c>
      <c r="Q949" s="8" t="inlineStr">
        <is>
          <t>Ver</t>
        </is>
      </c>
      <c r="R949" s="8" t="inlineStr">
        <is>
          <t>PCAP</t>
        </is>
      </c>
      <c r="S949" s="9" t="n">
        <v>46317</v>
      </c>
      <c r="T949" s="3" t="n">
        <v>46316.48479166667</v>
      </c>
      <c r="U949" s="2" t="n"/>
    </row>
    <row r="950">
      <c r="A950" s="2" t="inlineStr">
        <is>
          <t>En plazo</t>
        </is>
      </c>
      <c r="B950" s="3" t="n">
        <v>46342.79166666666</v>
      </c>
      <c r="C950" s="5" t="n">
        <v>145760.33</v>
      </c>
      <c r="D950" s="5" t="n">
        <v>145760.33</v>
      </c>
      <c r="E950" s="2" t="inlineStr">
        <is>
          <t>Andalucía</t>
        </is>
      </c>
      <c r="F950" s="2" t="inlineStr">
        <is>
          <t>Granada</t>
        </is>
      </c>
      <c r="G950" s="2" t="inlineStr">
        <is>
          <t>ZAGRA</t>
        </is>
      </c>
      <c r="H950" s="2" t="inlineStr">
        <is>
          <t>Alcaldía del Ayuntamiento de Zagra</t>
        </is>
      </c>
      <c r="I950" s="2" t="inlineStr">
        <is>
          <t>Reparación Camino Carretera Rozuelas.</t>
        </is>
      </c>
      <c r="J950" s="2" t="inlineStr">
        <is>
          <t>REPARACION CAMINO RURAL CARRETERA ROZUELAS</t>
        </is>
      </c>
      <c r="K950" s="2" t="inlineStr">
        <is>
          <t>Abierto</t>
        </is>
      </c>
      <c r="L950" s="6" t="n">
        <v>2</v>
      </c>
      <c r="M950" s="2" t="n"/>
      <c r="N950" s="7" t="n">
        <v>0</v>
      </c>
      <c r="O950" s="4" t="n"/>
      <c r="P950" s="2" t="inlineStr">
        <is>
          <t>45233142</t>
        </is>
      </c>
      <c r="Q950" s="8" t="inlineStr">
        <is>
          <t>Ver</t>
        </is>
      </c>
      <c r="R950" s="8" t="inlineStr">
        <is>
          <t>PCAP</t>
        </is>
      </c>
      <c r="S950" s="9" t="n">
        <v>46317</v>
      </c>
      <c r="T950" s="3" t="n">
        <v>46316.48270833334</v>
      </c>
      <c r="U950" s="2" t="n"/>
    </row>
    <row r="951">
      <c r="A951" s="2" t="inlineStr">
        <is>
          <t>Resuelta</t>
        </is>
      </c>
      <c r="B951" s="3" t="n">
        <v>46245.41666666666</v>
      </c>
      <c r="C951" s="5" t="n">
        <v>109120</v>
      </c>
      <c r="D951" s="5" t="n">
        <v>109120</v>
      </c>
      <c r="E951" s="2" t="inlineStr">
        <is>
          <t>Andalucía</t>
        </is>
      </c>
      <c r="F951" s="2" t="inlineStr">
        <is>
          <t>Córdoba</t>
        </is>
      </c>
      <c r="G951" s="2" t="n"/>
      <c r="H951" s="2" t="inlineStr">
        <is>
          <t>Empresa de Transformación Agraria S.A.,S.M.E., M.P., (TRAGSA)</t>
        </is>
      </c>
      <c r="I951"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951" s="2" t="inlineStr">
        <is>
          <t>TSA0079529-131</t>
        </is>
      </c>
      <c r="K951" s="2" t="inlineStr">
        <is>
          <t>Abierto</t>
        </is>
      </c>
      <c r="L951" s="6" t="n">
        <v>6</v>
      </c>
      <c r="M951" s="2" t="n"/>
      <c r="N951" s="7" t="n">
        <v>0</v>
      </c>
      <c r="O951" s="4" t="n"/>
      <c r="P951" s="2" t="inlineStr">
        <is>
          <t>45500000</t>
        </is>
      </c>
      <c r="Q951" s="8" t="inlineStr">
        <is>
          <t>Ver</t>
        </is>
      </c>
      <c r="R951" s="8" t="inlineStr">
        <is>
          <t>PCAP</t>
        </is>
      </c>
      <c r="S951" s="9" t="n">
        <v>46317</v>
      </c>
      <c r="T951" s="3" t="n">
        <v>46316.46403935185</v>
      </c>
      <c r="U951" s="2" t="n"/>
    </row>
    <row r="952">
      <c r="A952" s="2" t="inlineStr">
        <is>
          <t>En plazo</t>
        </is>
      </c>
      <c r="B952" s="3" t="n">
        <v>46350.45833333334</v>
      </c>
      <c r="C952" s="5" t="n">
        <v>102224.68</v>
      </c>
      <c r="D952" s="5" t="n">
        <v>102224.68</v>
      </c>
      <c r="E952" s="2" t="inlineStr">
        <is>
          <t>Andalucía</t>
        </is>
      </c>
      <c r="F952" s="2" t="inlineStr">
        <is>
          <t>Córdoba</t>
        </is>
      </c>
      <c r="G952" s="2" t="n"/>
      <c r="H952" s="2" t="inlineStr">
        <is>
          <t>ADIF - Presidencia</t>
        </is>
      </c>
      <c r="I952" s="2" t="inlineStr">
        <is>
          <t>Obras de ejecución del Proyecto de Nuevo Gabinete de Circulación Tipo en la Estación de Hornachuelos (Córdoba).</t>
        </is>
      </c>
      <c r="J952" s="2" t="inlineStr">
        <is>
          <t>3.26/46506.0044</t>
        </is>
      </c>
      <c r="K952" s="2" t="inlineStr">
        <is>
          <t>Abierto simplificado</t>
        </is>
      </c>
      <c r="L952" s="6" t="n">
        <v>6</v>
      </c>
      <c r="M952" s="2" t="inlineStr">
        <is>
          <t>C2-1</t>
        </is>
      </c>
      <c r="N952" s="7" t="n">
        <v>0</v>
      </c>
      <c r="O952" s="4" t="n"/>
      <c r="P952" s="2" t="inlineStr">
        <is>
          <t>45223000</t>
        </is>
      </c>
      <c r="Q952" s="8" t="inlineStr">
        <is>
          <t>Ver</t>
        </is>
      </c>
      <c r="R952" s="8" t="inlineStr">
        <is>
          <t>PCAP</t>
        </is>
      </c>
      <c r="S952" s="9" t="n">
        <v>46317</v>
      </c>
      <c r="T952" s="3" t="n">
        <v>46316.45766203704</v>
      </c>
      <c r="U952" s="2" t="n"/>
    </row>
    <row r="953">
      <c r="A953" s="2" t="inlineStr">
        <is>
          <t>Resuelta</t>
        </is>
      </c>
      <c r="B953" s="3" t="n">
        <v>45905.99930555555</v>
      </c>
      <c r="C953" s="5" t="n">
        <v>139042.5</v>
      </c>
      <c r="D953" s="5" t="n">
        <v>139042.5</v>
      </c>
      <c r="E953" s="2" t="inlineStr">
        <is>
          <t>Andalucía</t>
        </is>
      </c>
      <c r="F953" s="2" t="inlineStr">
        <is>
          <t>Sevilla</t>
        </is>
      </c>
      <c r="G953" s="2" t="inlineStr">
        <is>
          <t>Sevilla</t>
        </is>
      </c>
      <c r="H953" s="2" t="inlineStr">
        <is>
          <t>Aena. Dirección del Aeropuerto de Sevilla</t>
        </is>
      </c>
      <c r="I953" s="2" t="inlineStr">
        <is>
          <t>Pruebas De Estanqueidad En Salas Con Sistemas De Extinción De Incendios</t>
        </is>
      </c>
      <c r="J953" s="2" t="inlineStr">
        <is>
          <t>SVQ-52/2025</t>
        </is>
      </c>
      <c r="K953" s="2" t="inlineStr">
        <is>
          <t>Normas internas</t>
        </is>
      </c>
      <c r="L953" s="6" t="n"/>
      <c r="M953" s="2" t="n"/>
      <c r="N953" s="7" t="n">
        <v>0</v>
      </c>
      <c r="O953" s="4" t="n"/>
      <c r="P953" s="2" t="inlineStr">
        <is>
          <t>45312100</t>
        </is>
      </c>
      <c r="Q953" s="8" t="inlineStr">
        <is>
          <t>Ver</t>
        </is>
      </c>
      <c r="R953" s="8" t="inlineStr">
        <is>
          <t>PCAP</t>
        </is>
      </c>
      <c r="S953" s="9" t="n">
        <v>46317</v>
      </c>
      <c r="T953" s="3" t="n">
        <v>46316.45438657407</v>
      </c>
      <c r="U953" s="2" t="n"/>
    </row>
    <row r="954">
      <c r="A954" s="2" t="inlineStr">
        <is>
          <t>En plazo</t>
        </is>
      </c>
      <c r="B954" s="3" t="n">
        <v>46336.99930555555</v>
      </c>
      <c r="C954" s="5" t="n">
        <v>149911.18</v>
      </c>
      <c r="D954" s="5" t="n">
        <v>149911.18</v>
      </c>
      <c r="E954" s="2" t="inlineStr">
        <is>
          <t>Andalucía</t>
        </is>
      </c>
      <c r="F954" s="2" t="inlineStr">
        <is>
          <t>Cádiz</t>
        </is>
      </c>
      <c r="G954" s="2" t="n"/>
      <c r="H954" s="2" t="inlineStr">
        <is>
          <t>Alcaldía del Ayuntamiento de Zahara</t>
        </is>
      </c>
      <c r="I954" s="2" t="inlineStr">
        <is>
          <t>Ejecución del proyecto de obras Mejoras en aparcamiento público Lagunetas, suscrito por D. José Julio García Cabello (arquitecto) y Doña Lorena Carvajal Ramírez (arquitecta técnica) adscritos a la Diputación de Cádiz (SAM Villamartin). El proyecto suscrito en fecha 30 de julio de de 2026, fue aprobado en fecha 6 de octubre de 2026 y replanteado en fecha 13 de octubre de 2026.</t>
        </is>
      </c>
      <c r="J954" s="2" t="inlineStr">
        <is>
          <t>241/2026</t>
        </is>
      </c>
      <c r="K954" s="2" t="inlineStr">
        <is>
          <t>Abierto</t>
        </is>
      </c>
      <c r="L954" s="6" t="n">
        <v>8</v>
      </c>
      <c r="M954" s="2" t="n"/>
      <c r="N954" s="7" t="n">
        <v>0</v>
      </c>
      <c r="O954" s="4" t="n"/>
      <c r="P954" s="2" t="inlineStr">
        <is>
          <t>45200000</t>
        </is>
      </c>
      <c r="Q954" s="8" t="inlineStr">
        <is>
          <t>Ver</t>
        </is>
      </c>
      <c r="R954" s="8" t="inlineStr">
        <is>
          <t>PCAP</t>
        </is>
      </c>
      <c r="S954" s="9" t="n">
        <v>46317</v>
      </c>
      <c r="T954" s="3" t="n">
        <v>46316.45203703704</v>
      </c>
      <c r="U954" s="2" t="n"/>
    </row>
    <row r="955">
      <c r="A955" s="2" t="inlineStr">
        <is>
          <t>Resuelta</t>
        </is>
      </c>
      <c r="B955" s="3" t="n">
        <v>46259.41666666666</v>
      </c>
      <c r="C955" s="5" t="n">
        <v>86000</v>
      </c>
      <c r="D955" s="5" t="n">
        <v>86000</v>
      </c>
      <c r="E955" s="2" t="inlineStr">
        <is>
          <t>Andalucía</t>
        </is>
      </c>
      <c r="F955" s="2" t="inlineStr">
        <is>
          <t>Huelva</t>
        </is>
      </c>
      <c r="G955" s="2" t="n"/>
      <c r="H955" s="2" t="inlineStr">
        <is>
          <t>Empresa de Transformación Agraria S.A.,S.M.E., M.P., (TRAGSA)</t>
        </is>
      </c>
      <c r="I95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955" s="2" t="inlineStr">
        <is>
          <t>TSA0080057-242</t>
        </is>
      </c>
      <c r="K955" s="2" t="inlineStr">
        <is>
          <t>Abierto</t>
        </is>
      </c>
      <c r="L955" s="6" t="n">
        <v>4</v>
      </c>
      <c r="M955" s="2" t="n"/>
      <c r="N955" s="7" t="n">
        <v>0</v>
      </c>
      <c r="O955" s="4" t="n"/>
      <c r="P955" s="2" t="inlineStr">
        <is>
          <t>45500000</t>
        </is>
      </c>
      <c r="Q955" s="8" t="inlineStr">
        <is>
          <t>Ver</t>
        </is>
      </c>
      <c r="R955" s="8" t="inlineStr">
        <is>
          <t>PCAP</t>
        </is>
      </c>
      <c r="S955" s="9" t="n">
        <v>46317</v>
      </c>
      <c r="T955" s="3" t="n">
        <v>46316.45153935185</v>
      </c>
      <c r="U955" s="2" t="n"/>
    </row>
    <row r="956">
      <c r="A956" s="2" t="inlineStr">
        <is>
          <t>Resuelta</t>
        </is>
      </c>
      <c r="B956" s="3" t="n">
        <v>46022.99930555555</v>
      </c>
      <c r="C956" s="5" t="n">
        <v>404353.79</v>
      </c>
      <c r="D956" s="5" t="n">
        <v>424571.48</v>
      </c>
      <c r="E956" s="2" t="inlineStr">
        <is>
          <t>Andalucía</t>
        </is>
      </c>
      <c r="F956" s="2" t="inlineStr">
        <is>
          <t>Sevilla</t>
        </is>
      </c>
      <c r="G956" s="2" t="inlineStr">
        <is>
          <t>Sevilla</t>
        </is>
      </c>
      <c r="H956" s="2" t="inlineStr">
        <is>
          <t>Junta de Gobierno del Ayuntamiento de Sevilla</t>
        </is>
      </c>
      <c r="I956" s="2" t="inlineStr">
        <is>
          <t>Obras de adecuación para Comisaria del distrito Macarena, en el Hogar Virgen de los Reyes de Sevilla</t>
        </is>
      </c>
      <c r="J956" s="2" t="inlineStr">
        <is>
          <t>2025/001338</t>
        </is>
      </c>
      <c r="K956" s="2" t="inlineStr">
        <is>
          <t>Abierto simplificado</t>
        </is>
      </c>
      <c r="L956" s="6" t="n">
        <v>6</v>
      </c>
      <c r="M956" s="2" t="n"/>
      <c r="N956" s="7" t="n">
        <v>0</v>
      </c>
      <c r="O956" s="4" t="n"/>
      <c r="P956" s="2" t="inlineStr">
        <is>
          <t>45000000</t>
        </is>
      </c>
      <c r="Q956" s="8" t="inlineStr">
        <is>
          <t>Ver</t>
        </is>
      </c>
      <c r="R956" s="8" t="inlineStr">
        <is>
          <t>PCAP</t>
        </is>
      </c>
      <c r="S956" s="9" t="n">
        <v>46317</v>
      </c>
      <c r="T956" s="3" t="n">
        <v>46316.44981481481</v>
      </c>
      <c r="U956" s="2" t="n"/>
    </row>
    <row r="957">
      <c r="A957" s="2" t="inlineStr">
        <is>
          <t>Resuelta</t>
        </is>
      </c>
      <c r="B957" s="3" t="n">
        <v>46280.99930555555</v>
      </c>
      <c r="C957" s="5" t="n">
        <v>197880.98</v>
      </c>
      <c r="D957" s="5" t="n">
        <v>197880.98</v>
      </c>
      <c r="E957" s="2" t="inlineStr">
        <is>
          <t>Andalucía</t>
        </is>
      </c>
      <c r="F957" s="2" t="inlineStr">
        <is>
          <t>Córdoba</t>
        </is>
      </c>
      <c r="G957" s="2" t="n"/>
      <c r="H957" s="2" t="inlineStr">
        <is>
          <t>Diputado delegado de Infraestructuras, Sostenibilidad y Agricultura</t>
        </is>
      </c>
      <c r="I957" s="2" t="inlineStr">
        <is>
          <t>Contrato de obra de Ampliación Parque Municipal Las Erillas, en Hornachuelos (Córdoba). Obra incluida en el Plan de Humanización 2024-2027 (bienio 2024-2025).</t>
        </is>
      </c>
      <c r="J957" s="2" t="inlineStr">
        <is>
          <t>650/26</t>
        </is>
      </c>
      <c r="K957" s="2" t="inlineStr">
        <is>
          <t>Abierto</t>
        </is>
      </c>
      <c r="L957" s="6" t="n">
        <v>10</v>
      </c>
      <c r="M957" s="2" t="n"/>
      <c r="N957" s="7" t="n">
        <v>0.25</v>
      </c>
      <c r="O957" s="4" t="n"/>
      <c r="P957" s="2" t="inlineStr">
        <is>
          <t>45212000; 45300000</t>
        </is>
      </c>
      <c r="Q957" s="8" t="inlineStr">
        <is>
          <t>Ver</t>
        </is>
      </c>
      <c r="R957" s="8" t="inlineStr">
        <is>
          <t>PCAP</t>
        </is>
      </c>
      <c r="S957" s="9" t="n">
        <v>46317</v>
      </c>
      <c r="T957" s="3" t="n">
        <v>46316.44914351852</v>
      </c>
      <c r="U957" s="2" t="n"/>
    </row>
    <row r="958">
      <c r="A958" s="2" t="inlineStr">
        <is>
          <t>Resuelta</t>
        </is>
      </c>
      <c r="B958" s="3" t="n">
        <v>46091.41666666666</v>
      </c>
      <c r="C958" s="5" t="n">
        <v>145024</v>
      </c>
      <c r="D958" s="5" t="n">
        <v>145024</v>
      </c>
      <c r="E958" s="2" t="inlineStr">
        <is>
          <t>Andalucía</t>
        </is>
      </c>
      <c r="F958" s="2" t="inlineStr">
        <is>
          <t>Córdoba</t>
        </is>
      </c>
      <c r="G958" s="2" t="n"/>
      <c r="H958" s="2" t="inlineStr">
        <is>
          <t>Empresa de Transformación Agraria S.A.,S.M.E., M.P., (TRAGSA)</t>
        </is>
      </c>
      <c r="I958"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958" s="2" t="inlineStr">
        <is>
          <t>TSA0079529-092</t>
        </is>
      </c>
      <c r="K958" s="2" t="inlineStr">
        <is>
          <t>Abierto</t>
        </is>
      </c>
      <c r="L958" s="6" t="n"/>
      <c r="M958" s="2" t="n"/>
      <c r="N958" s="7" t="n">
        <v>0</v>
      </c>
      <c r="O958" s="4" t="n"/>
      <c r="P958" s="2" t="inlineStr">
        <is>
          <t>45500000</t>
        </is>
      </c>
      <c r="Q958" s="8" t="inlineStr">
        <is>
          <t>Ver</t>
        </is>
      </c>
      <c r="R958" s="8" t="inlineStr">
        <is>
          <t>PCAP</t>
        </is>
      </c>
      <c r="S958" s="9" t="n">
        <v>46315</v>
      </c>
      <c r="T958" s="3" t="n">
        <v>46316.44868055556</v>
      </c>
      <c r="U958" s="2" t="n"/>
    </row>
    <row r="959">
      <c r="A959" s="2" t="inlineStr">
        <is>
          <t>Resuelta</t>
        </is>
      </c>
      <c r="B959" s="3" t="n">
        <v>46225.75</v>
      </c>
      <c r="C959" s="5" t="n">
        <v>284042.13</v>
      </c>
      <c r="D959" s="5" t="n">
        <v>284042.13</v>
      </c>
      <c r="E959" s="2" t="inlineStr">
        <is>
          <t>Comunitat Valenciana</t>
        </is>
      </c>
      <c r="F959" s="2" t="inlineStr">
        <is>
          <t>Valencia</t>
        </is>
      </c>
      <c r="G959" s="2" t="inlineStr">
        <is>
          <t>Algemesi</t>
        </is>
      </c>
      <c r="H959" s="2" t="inlineStr">
        <is>
          <t>Junta de Gobierno del Ayuntamiento de Algemesí</t>
        </is>
      </c>
      <c r="I959" s="2" t="inlineStr">
        <is>
          <t>Renovación de aceras de la calle Joan Fuster</t>
        </is>
      </c>
      <c r="J959" s="2" t="inlineStr">
        <is>
          <t>2439/2026</t>
        </is>
      </c>
      <c r="K959" s="2" t="inlineStr">
        <is>
          <t>Abierto simplificado</t>
        </is>
      </c>
      <c r="L959" s="6" t="n">
        <v>3</v>
      </c>
      <c r="M959" s="2" t="n"/>
      <c r="N959" s="7" t="n">
        <v>0</v>
      </c>
      <c r="O959" s="4" t="n"/>
      <c r="P959" s="2" t="inlineStr">
        <is>
          <t>45233252</t>
        </is>
      </c>
      <c r="Q959" s="8" t="inlineStr">
        <is>
          <t>Ver</t>
        </is>
      </c>
      <c r="R959" s="8" t="inlineStr">
        <is>
          <t>PCAP</t>
        </is>
      </c>
      <c r="S959" s="9" t="n">
        <v>46317</v>
      </c>
      <c r="T959" s="3" t="n">
        <v>46316.44851851852</v>
      </c>
      <c r="U959" s="2" t="n"/>
    </row>
    <row r="960">
      <c r="A960" s="2" t="inlineStr">
        <is>
          <t>Resuelta</t>
        </is>
      </c>
      <c r="B960" s="3" t="n">
        <v>45972.41666666666</v>
      </c>
      <c r="C960" s="5" t="n">
        <v>63000</v>
      </c>
      <c r="D960" s="5" t="n">
        <v>63000</v>
      </c>
      <c r="E960" s="2" t="inlineStr">
        <is>
          <t>Andalucía</t>
        </is>
      </c>
      <c r="F960" s="2" t="inlineStr">
        <is>
          <t>Córdoba</t>
        </is>
      </c>
      <c r="G960" s="2" t="n"/>
      <c r="H960" s="2" t="inlineStr">
        <is>
          <t>Empresa de Transformación Agraria S.A.,S.M.E., M.P., (TRAGSA)</t>
        </is>
      </c>
      <c r="I96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960" s="2" t="inlineStr">
        <is>
          <t>TSA0079529-045</t>
        </is>
      </c>
      <c r="K960" s="2" t="inlineStr">
        <is>
          <t>Abierto</t>
        </is>
      </c>
      <c r="L960" s="6" t="n"/>
      <c r="M960" s="2" t="n"/>
      <c r="N960" s="7" t="n">
        <v>0</v>
      </c>
      <c r="O960" s="4" t="n"/>
      <c r="P960" s="2" t="inlineStr">
        <is>
          <t>45500000</t>
        </is>
      </c>
      <c r="Q960" s="8" t="inlineStr">
        <is>
          <t>Ver</t>
        </is>
      </c>
      <c r="R960" s="8" t="inlineStr">
        <is>
          <t>PCAP</t>
        </is>
      </c>
      <c r="S960" s="9" t="n">
        <v>46317</v>
      </c>
      <c r="T960" s="3" t="n">
        <v>46316.44549768518</v>
      </c>
      <c r="U960" s="2" t="n"/>
    </row>
    <row r="961">
      <c r="A961" s="2" t="inlineStr">
        <is>
          <t>Resuelta</t>
        </is>
      </c>
      <c r="B961" s="3" t="n">
        <v>45972.41666666666</v>
      </c>
      <c r="C961" s="5" t="n">
        <v>50000</v>
      </c>
      <c r="D961" s="5" t="n">
        <v>50000</v>
      </c>
      <c r="E961" s="2" t="inlineStr">
        <is>
          <t>Andalucía</t>
        </is>
      </c>
      <c r="F961" s="2" t="inlineStr">
        <is>
          <t>Córdoba</t>
        </is>
      </c>
      <c r="G961" s="2" t="n"/>
      <c r="H961" s="2" t="inlineStr">
        <is>
          <t>Empresa de Transformación Agraria S.A.,S.M.E., M.P., (TRAGSA)</t>
        </is>
      </c>
      <c r="I961"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961" s="2" t="inlineStr">
        <is>
          <t>TSA0079529-043</t>
        </is>
      </c>
      <c r="K961" s="2" t="inlineStr">
        <is>
          <t>Abierto</t>
        </is>
      </c>
      <c r="L961" s="6" t="n"/>
      <c r="M961" s="2" t="n"/>
      <c r="N961" s="7" t="n">
        <v>0</v>
      </c>
      <c r="O961" s="4" t="n"/>
      <c r="P961" s="2" t="inlineStr">
        <is>
          <t>45500000</t>
        </is>
      </c>
      <c r="Q961" s="8" t="inlineStr">
        <is>
          <t>Ver</t>
        </is>
      </c>
      <c r="R961" s="8" t="inlineStr">
        <is>
          <t>PCAP</t>
        </is>
      </c>
      <c r="S961" s="9" t="n">
        <v>46317</v>
      </c>
      <c r="T961" s="3" t="n">
        <v>46316.44403935185</v>
      </c>
      <c r="U961" s="2" t="n"/>
    </row>
    <row r="962">
      <c r="A962" s="2" t="inlineStr">
        <is>
          <t>En plazo</t>
        </is>
      </c>
      <c r="B962" s="3" t="n">
        <v>46335.99930555555</v>
      </c>
      <c r="C962" s="5" t="n">
        <v>661157.01</v>
      </c>
      <c r="D962" s="5" t="n">
        <v>661157.01</v>
      </c>
      <c r="E962" s="2" t="inlineStr">
        <is>
          <t>Andalucía</t>
        </is>
      </c>
      <c r="F962" s="2" t="inlineStr">
        <is>
          <t>Almería</t>
        </is>
      </c>
      <c r="G962" s="2" t="n"/>
      <c r="H962" s="2" t="inlineStr">
        <is>
          <t>Junta de Gobierno del Ayuntamiento de Almería</t>
        </is>
      </c>
      <c r="I962" s="2" t="inlineStr">
        <is>
          <t>Contratación de obras de Reforma integral de la Plaza de la Iglesia y calles Iglesia de Cabo de Gata, La Estrella de Mar, Chozas y Las Barcas de la barriada de San Miguel de Cabo de Gata (Almería)</t>
        </is>
      </c>
      <c r="J962" s="2" t="inlineStr">
        <is>
          <t>AYAL-2026000221</t>
        </is>
      </c>
      <c r="K962" s="2" t="inlineStr">
        <is>
          <t>Abierto simplificado</t>
        </is>
      </c>
      <c r="L962" s="6" t="n">
        <v>6</v>
      </c>
      <c r="M962" s="2" t="n"/>
      <c r="N962" s="7" t="n">
        <v>0</v>
      </c>
      <c r="O962" s="4" t="n"/>
      <c r="P962" s="2" t="inlineStr">
        <is>
          <t>45233140</t>
        </is>
      </c>
      <c r="Q962" s="8" t="inlineStr">
        <is>
          <t>Ver</t>
        </is>
      </c>
      <c r="R962" s="8" t="inlineStr">
        <is>
          <t>PCAP</t>
        </is>
      </c>
      <c r="S962" s="9" t="n">
        <v>46315</v>
      </c>
      <c r="T962" s="3" t="n">
        <v>46316.44347222222</v>
      </c>
      <c r="U962" s="2" t="n"/>
    </row>
    <row r="963">
      <c r="A963" s="2" t="inlineStr">
        <is>
          <t>En plazo</t>
        </is>
      </c>
      <c r="B963" s="3" t="n">
        <v>46329.5</v>
      </c>
      <c r="C963" s="5" t="n">
        <v>50000</v>
      </c>
      <c r="D963" s="5" t="n">
        <v>50000</v>
      </c>
      <c r="E963" s="2" t="inlineStr">
        <is>
          <t>Andalucía</t>
        </is>
      </c>
      <c r="F963" s="2" t="inlineStr">
        <is>
          <t>Málaga</t>
        </is>
      </c>
      <c r="G963" s="2" t="inlineStr">
        <is>
          <t>Málaga</t>
        </is>
      </c>
      <c r="H963" s="2" t="inlineStr">
        <is>
          <t>Aena. Dirección del Aeropuerto de Málaga-Costa del Sol</t>
        </is>
      </c>
      <c r="I963" s="2" t="inlineStr">
        <is>
          <t>Sustitución De Unidades De Regulación De Tensión Electrónica En Sendos Transformadores De 66 Kv En Celtn Del Aeropuerto De Málaga</t>
        </is>
      </c>
      <c r="J963" s="2" t="inlineStr">
        <is>
          <t>AGP-162/2026</t>
        </is>
      </c>
      <c r="K963" s="2" t="inlineStr">
        <is>
          <t>Normas internas</t>
        </is>
      </c>
      <c r="L963" s="6" t="n">
        <v>4</v>
      </c>
      <c r="M963" s="2" t="n"/>
      <c r="N963" s="7" t="n">
        <v>0</v>
      </c>
      <c r="O963" s="4" t="n"/>
      <c r="P963" s="2" t="inlineStr">
        <is>
          <t>45317200</t>
        </is>
      </c>
      <c r="Q963" s="8" t="inlineStr">
        <is>
          <t>Ver</t>
        </is>
      </c>
      <c r="R963" s="8" t="inlineStr">
        <is>
          <t>PCAP</t>
        </is>
      </c>
      <c r="S963" s="9" t="n">
        <v>46317</v>
      </c>
      <c r="T963" s="3" t="n">
        <v>46316.44148148148</v>
      </c>
      <c r="U963" s="2" t="n"/>
    </row>
    <row r="964">
      <c r="A964" s="2" t="inlineStr">
        <is>
          <t>Resuelta</t>
        </is>
      </c>
      <c r="B964" s="3" t="n">
        <v>45972.41666666666</v>
      </c>
      <c r="C964" s="5" t="n">
        <v>50000</v>
      </c>
      <c r="D964" s="5" t="n">
        <v>50000</v>
      </c>
      <c r="E964" s="2" t="inlineStr">
        <is>
          <t>Andalucía</t>
        </is>
      </c>
      <c r="F964" s="2" t="inlineStr">
        <is>
          <t>Córdoba</t>
        </is>
      </c>
      <c r="G964" s="2" t="n"/>
      <c r="H964" s="2" t="inlineStr">
        <is>
          <t>Empresa de Transformación Agraria S.A.,S.M.E., M.P., (TRAGSA)</t>
        </is>
      </c>
      <c r="I96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964" s="2" t="inlineStr">
        <is>
          <t>TSA0079529-042</t>
        </is>
      </c>
      <c r="K964" s="2" t="inlineStr">
        <is>
          <t>Abierto</t>
        </is>
      </c>
      <c r="L964" s="6" t="n"/>
      <c r="M964" s="2" t="n"/>
      <c r="N964" s="7" t="n">
        <v>0</v>
      </c>
      <c r="O964" s="4" t="n"/>
      <c r="P964" s="2" t="inlineStr">
        <is>
          <t>45500000</t>
        </is>
      </c>
      <c r="Q964" s="8" t="inlineStr">
        <is>
          <t>Ver</t>
        </is>
      </c>
      <c r="R964" s="8" t="inlineStr">
        <is>
          <t>PCAP</t>
        </is>
      </c>
      <c r="S964" s="9" t="n">
        <v>46317</v>
      </c>
      <c r="T964" s="3" t="n">
        <v>46316.43893518519</v>
      </c>
      <c r="U964" s="2" t="n"/>
    </row>
    <row r="965">
      <c r="A965" s="2" t="inlineStr">
        <is>
          <t>Adjudicada</t>
        </is>
      </c>
      <c r="B965" s="3" t="n">
        <v>46272.58333333334</v>
      </c>
      <c r="C965" s="5" t="n">
        <v>65813.06</v>
      </c>
      <c r="D965" s="5" t="n">
        <v>65813.06</v>
      </c>
      <c r="E965" s="2" t="inlineStr">
        <is>
          <t>Andalucía</t>
        </is>
      </c>
      <c r="F965" s="2" t="inlineStr">
        <is>
          <t>Granada</t>
        </is>
      </c>
      <c r="G965" s="2" t="inlineStr">
        <is>
          <t>Pulianas</t>
        </is>
      </c>
      <c r="H965" s="2" t="inlineStr">
        <is>
          <t>Junta de Gobierno Local del Ayuntamiento de Pulianas</t>
        </is>
      </c>
      <c r="I965" s="2" t="inlineStr">
        <is>
          <t>OP 2026/07 Renovación Hogar del Pensionista</t>
        </is>
      </c>
      <c r="J965" s="2" t="inlineStr">
        <is>
          <t>1766/2026</t>
        </is>
      </c>
      <c r="K965" s="2" t="inlineStr">
        <is>
          <t>Abierto simplificado</t>
        </is>
      </c>
      <c r="L965" s="6" t="n">
        <v>4</v>
      </c>
      <c r="M965" s="2" t="n"/>
      <c r="N965" s="7" t="n">
        <v>0.25</v>
      </c>
      <c r="O965" s="4" t="n"/>
      <c r="P965" s="2" t="inlineStr">
        <is>
          <t>45262700; 45313100</t>
        </is>
      </c>
      <c r="Q965" s="8" t="inlineStr">
        <is>
          <t>Ver</t>
        </is>
      </c>
      <c r="R965" s="8" t="inlineStr">
        <is>
          <t>PCAP</t>
        </is>
      </c>
      <c r="S965" s="9" t="n">
        <v>46315</v>
      </c>
      <c r="T965" s="3" t="n">
        <v>46316.43857638889</v>
      </c>
      <c r="U965" s="2" t="inlineStr">
        <is>
          <t>2026-10-22: estado EV → ADJ</t>
        </is>
      </c>
    </row>
    <row r="966">
      <c r="A966" s="2" t="inlineStr">
        <is>
          <t>Adjudicada</t>
        </is>
      </c>
      <c r="B966" s="3" t="n">
        <v>46237.99930555555</v>
      </c>
      <c r="C966" s="5" t="n">
        <v>28730.26</v>
      </c>
      <c r="D966" s="5" t="n">
        <v>28730.26</v>
      </c>
      <c r="E966" s="2" t="inlineStr">
        <is>
          <t>Comunitat Valenciana</t>
        </is>
      </c>
      <c r="F966" s="2" t="inlineStr">
        <is>
          <t>Alicante</t>
        </is>
      </c>
      <c r="G966" s="2" t="inlineStr">
        <is>
          <t>Alicante (Alacant)</t>
        </is>
      </c>
      <c r="H966" s="2" t="inlineStr">
        <is>
          <t>Alcaldía del Ayuntamiento de Villajoyosa</t>
        </is>
      </c>
      <c r="I966" s="2" t="inlineStr">
        <is>
          <t>Servicio de subsanación de deficiencias detectadas en la OCA de baja tensión en el OAL Santa Marta.</t>
        </is>
      </c>
      <c r="J966" s="2" t="inlineStr">
        <is>
          <t>7405/2026</t>
        </is>
      </c>
      <c r="K966" s="2" t="inlineStr">
        <is>
          <t>Abierto simplificado</t>
        </is>
      </c>
      <c r="L966" s="6" t="n">
        <v>1</v>
      </c>
      <c r="M966" s="2" t="n"/>
      <c r="N966" s="7" t="n">
        <v>0.4</v>
      </c>
      <c r="O966" s="4" t="n"/>
      <c r="P966" s="2" t="inlineStr">
        <is>
          <t>45259000; 45315600</t>
        </is>
      </c>
      <c r="Q966" s="8" t="inlineStr">
        <is>
          <t>Ver</t>
        </is>
      </c>
      <c r="R966" s="2" t="n"/>
      <c r="S966" s="9" t="n">
        <v>46317</v>
      </c>
      <c r="T966" s="3" t="n">
        <v>46316.43457175926</v>
      </c>
      <c r="U966" s="2" t="n"/>
    </row>
    <row r="967">
      <c r="A967" s="2" t="inlineStr">
        <is>
          <t>Adjudicada</t>
        </is>
      </c>
      <c r="B967" s="3" t="n">
        <v>46245.99930555555</v>
      </c>
      <c r="C967" s="5" t="n">
        <v>41668.4</v>
      </c>
      <c r="D967" s="5" t="n">
        <v>41668.4</v>
      </c>
      <c r="E967" s="2" t="inlineStr">
        <is>
          <t>Andalucía</t>
        </is>
      </c>
      <c r="F967" s="2" t="inlineStr">
        <is>
          <t>Córdoba</t>
        </is>
      </c>
      <c r="G967" s="2" t="inlineStr">
        <is>
          <t>Pedro Abad</t>
        </is>
      </c>
      <c r="H967" s="2" t="inlineStr">
        <is>
          <t>Alcaldía de Ayuntamiento de Pedro Abad</t>
        </is>
      </c>
      <c r="I967" s="2" t="inlineStr">
        <is>
          <t>Obras de remodelación de acerados en parque de la Barriada Pablo Iglesias de Pedro Abad</t>
        </is>
      </c>
      <c r="J967" s="2" t="inlineStr">
        <is>
          <t>GEX 3298/2026</t>
        </is>
      </c>
      <c r="K967" s="2" t="inlineStr">
        <is>
          <t>Abierto simplificado</t>
        </is>
      </c>
      <c r="L967" s="6" t="n">
        <v>2</v>
      </c>
      <c r="M967" s="2" t="n"/>
      <c r="N967" s="7" t="n">
        <v>0</v>
      </c>
      <c r="O967" s="4" t="n"/>
      <c r="P967" s="2" t="inlineStr">
        <is>
          <t>45211360</t>
        </is>
      </c>
      <c r="Q967" s="8" t="inlineStr">
        <is>
          <t>Ver</t>
        </is>
      </c>
      <c r="R967" s="8" t="inlineStr">
        <is>
          <t>PCAP</t>
        </is>
      </c>
      <c r="S967" s="9" t="n">
        <v>46310</v>
      </c>
      <c r="T967" s="3" t="n">
        <v>46316.43344907407</v>
      </c>
      <c r="U967" s="2" t="inlineStr">
        <is>
          <t>2026-10-22: estado EV → ADJ</t>
        </is>
      </c>
    </row>
    <row r="968">
      <c r="A968" s="2" t="inlineStr">
        <is>
          <t>En plazo</t>
        </is>
      </c>
      <c r="B968" s="3" t="n">
        <v>46336.99930555555</v>
      </c>
      <c r="C968" s="5" t="n">
        <v>227353.6</v>
      </c>
      <c r="D968" s="5" t="n">
        <v>227353.6</v>
      </c>
      <c r="E968" s="2" t="inlineStr">
        <is>
          <t>Andalucía</t>
        </is>
      </c>
      <c r="F968" s="2" t="inlineStr">
        <is>
          <t>Málaga</t>
        </is>
      </c>
      <c r="G968" s="2" t="n"/>
      <c r="H968" s="2" t="inlineStr">
        <is>
          <t>Junta de Gobierno del Ayuntamiento de Vélez-Málaga</t>
        </is>
      </c>
      <c r="I968" s="2" t="inlineStr">
        <is>
          <t>Reparación de pavimentos de acera y calzada del viario del SUO.CH-4 del PGOU de Vélez-Málaga</t>
        </is>
      </c>
      <c r="J968" s="2" t="inlineStr">
        <is>
          <t>AVM.OBR-2026000018</t>
        </is>
      </c>
      <c r="K968" s="2" t="inlineStr">
        <is>
          <t>Abierto simplificado</t>
        </is>
      </c>
      <c r="L968" s="6" t="n">
        <v>5</v>
      </c>
      <c r="M968" s="2" t="inlineStr">
        <is>
          <t>G6-2</t>
        </is>
      </c>
      <c r="N968" s="7" t="n">
        <v>0</v>
      </c>
      <c r="O968" s="4" t="n"/>
      <c r="P968" s="2" t="inlineStr">
        <is>
          <t>45233140</t>
        </is>
      </c>
      <c r="Q968" s="8" t="inlineStr">
        <is>
          <t>Ver</t>
        </is>
      </c>
      <c r="R968" s="8" t="inlineStr">
        <is>
          <t>PCAP</t>
        </is>
      </c>
      <c r="S968" s="9" t="n">
        <v>46317</v>
      </c>
      <c r="T968" s="3" t="n">
        <v>46316.43340277778</v>
      </c>
      <c r="U968" s="2" t="n"/>
    </row>
    <row r="969">
      <c r="A969" s="2" t="inlineStr">
        <is>
          <t>Pendiente de adjudicación</t>
        </is>
      </c>
      <c r="B969" s="3" t="n">
        <v>45974.99930555555</v>
      </c>
      <c r="C969" s="5" t="n">
        <v>194506.31</v>
      </c>
      <c r="D969" s="5" t="n">
        <v>194506.31</v>
      </c>
      <c r="E969" s="2" t="inlineStr">
        <is>
          <t>Comunitat Valenciana</t>
        </is>
      </c>
      <c r="F969" s="2" t="inlineStr">
        <is>
          <t>Alicante</t>
        </is>
      </c>
      <c r="G969" s="2" t="n"/>
      <c r="H969" s="2" t="inlineStr">
        <is>
          <t>Presidencia de la Diputación Provincial de Alicante</t>
        </is>
      </c>
      <c r="I969" s="2" t="inlineStr">
        <is>
          <t>Obras de recuperación de la cubierta vegetal y para evitar la pérdida del suelo y de biodiversidad en los montes de propiedad municipal de La Vall de Gallinera, afectados por los incendios forestales de agosto de 2022. Acción inmediata.</t>
        </is>
      </c>
      <c r="J969" s="2" t="inlineStr">
        <is>
          <t>O4S-203/2025</t>
        </is>
      </c>
      <c r="K969" s="2" t="inlineStr">
        <is>
          <t>Abierto simplificado</t>
        </is>
      </c>
      <c r="L969" s="6" t="n">
        <v>3</v>
      </c>
      <c r="M969" s="2" t="n"/>
      <c r="N969" s="7" t="n">
        <v>0.25</v>
      </c>
      <c r="O969" s="4" t="n"/>
      <c r="P969" s="2" t="inlineStr">
        <is>
          <t>45112700; 45262640</t>
        </is>
      </c>
      <c r="Q969" s="8" t="inlineStr">
        <is>
          <t>Ver</t>
        </is>
      </c>
      <c r="R969" s="8" t="inlineStr">
        <is>
          <t>PCAP</t>
        </is>
      </c>
      <c r="S969" s="9" t="n">
        <v>46317</v>
      </c>
      <c r="T969" s="3" t="n">
        <v>46316.42978009259</v>
      </c>
      <c r="U969" s="2" t="n"/>
    </row>
    <row r="970">
      <c r="A970" s="2" t="inlineStr">
        <is>
          <t>Resuelta</t>
        </is>
      </c>
      <c r="B970" s="3" t="n">
        <v>46070.75</v>
      </c>
      <c r="C970" s="5" t="n">
        <v>515688.12</v>
      </c>
      <c r="D970" s="5" t="n">
        <v>618825.74</v>
      </c>
      <c r="E970" s="2" t="inlineStr">
        <is>
          <t>Andalucía</t>
        </is>
      </c>
      <c r="F970" s="2" t="inlineStr">
        <is>
          <t>Málaga</t>
        </is>
      </c>
      <c r="G970" s="2" t="n"/>
      <c r="H970" s="2" t="inlineStr">
        <is>
          <t>Consejero Delegado de la Empresa Municipal de Aguas de Málaga S.A.</t>
        </is>
      </c>
      <c r="I970" s="2" t="inlineStr">
        <is>
          <t>Obras de Ampliación de la Red de Baldeo de la Zona Este (Expdte Ingeniería: 173/2023)</t>
        </is>
      </c>
      <c r="J970" s="2" t="inlineStr">
        <is>
          <t>25-522-9</t>
        </is>
      </c>
      <c r="K970" s="2" t="inlineStr">
        <is>
          <t>Abierto</t>
        </is>
      </c>
      <c r="L970" s="6" t="n">
        <v>6</v>
      </c>
      <c r="M970" s="2" t="n"/>
      <c r="N970" s="7" t="n">
        <v>0</v>
      </c>
      <c r="O970" s="4" t="n"/>
      <c r="P970" s="2" t="inlineStr">
        <is>
          <t>45000000</t>
        </is>
      </c>
      <c r="Q970" s="8" t="inlineStr">
        <is>
          <t>Ver</t>
        </is>
      </c>
      <c r="R970" s="8" t="inlineStr">
        <is>
          <t>PCAP</t>
        </is>
      </c>
      <c r="S970" s="9" t="n">
        <v>46317</v>
      </c>
      <c r="T970" s="3" t="n">
        <v>46316.42324074074</v>
      </c>
      <c r="U970" s="2" t="n"/>
    </row>
    <row r="971">
      <c r="A971" s="2" t="inlineStr">
        <is>
          <t>En plazo</t>
        </is>
      </c>
      <c r="B971" s="3" t="n">
        <v>46329.99930555555</v>
      </c>
      <c r="C971" s="5" t="n">
        <v>335475.99</v>
      </c>
      <c r="D971" s="5" t="n">
        <v>335475.99</v>
      </c>
      <c r="E971" s="2" t="inlineStr">
        <is>
          <t>Andalucía</t>
        </is>
      </c>
      <c r="F971" s="2" t="inlineStr">
        <is>
          <t>Málaga</t>
        </is>
      </c>
      <c r="G971" s="2" t="n"/>
      <c r="H971" s="2" t="inlineStr">
        <is>
          <t>Alcaldía del Ayuntamiento de Jubrique</t>
        </is>
      </c>
      <c r="I971" s="2" t="inlineStr">
        <is>
          <t>El objeto del presente proyecto es la construccion de un aparcamiento en superficie, que permita dotar al entorno urbano de nuevas plazas de estacionamiento mediante una solución funcional.</t>
        </is>
      </c>
      <c r="J971" s="2" t="inlineStr">
        <is>
          <t>CONTRATO_99/2026</t>
        </is>
      </c>
      <c r="K971" s="2" t="inlineStr">
        <is>
          <t>Abierto simplificado</t>
        </is>
      </c>
      <c r="L971" s="6" t="n">
        <v>8</v>
      </c>
      <c r="M971" s="2" t="inlineStr">
        <is>
          <t>G6-2</t>
        </is>
      </c>
      <c r="N971" s="7" t="n">
        <v>0.25</v>
      </c>
      <c r="O971" s="4" t="n"/>
      <c r="P971" s="2" t="inlineStr">
        <is>
          <t>45223300; 45111000; 45233252</t>
        </is>
      </c>
      <c r="Q971" s="8" t="inlineStr">
        <is>
          <t>Ver</t>
        </is>
      </c>
      <c r="R971" s="8" t="inlineStr">
        <is>
          <t>PCAP</t>
        </is>
      </c>
      <c r="S971" s="9" t="n">
        <v>46310</v>
      </c>
      <c r="T971" s="3" t="n">
        <v>46316.42184027778</v>
      </c>
      <c r="U971" s="2" t="n"/>
    </row>
    <row r="972">
      <c r="A972" s="2" t="inlineStr">
        <is>
          <t>Pendiente de adjudicación</t>
        </is>
      </c>
      <c r="B972" s="3" t="n">
        <v>46308.99930555555</v>
      </c>
      <c r="C972" s="5" t="n">
        <v>410216.43</v>
      </c>
      <c r="D972" s="5" t="n">
        <v>410216.43</v>
      </c>
      <c r="E972" s="2" t="inlineStr">
        <is>
          <t>Comunitat Valenciana</t>
        </is>
      </c>
      <c r="F972" s="2" t="inlineStr">
        <is>
          <t>Valencia</t>
        </is>
      </c>
      <c r="G972" s="2" t="n"/>
      <c r="H972" s="2" t="inlineStr">
        <is>
          <t>Conselleria de Economía, Hacienda y Administración Pública</t>
        </is>
      </c>
      <c r="I972" s="2" t="inlineStr">
        <is>
          <t>Obras de adecuación de los baños del Almirante.</t>
        </is>
      </c>
      <c r="J972" s="2" t="inlineStr">
        <is>
          <t>CMAYOR/2026/31Y01/0060</t>
        </is>
      </c>
      <c r="K972" s="2" t="inlineStr">
        <is>
          <t>Abierto simplificado</t>
        </is>
      </c>
      <c r="L972" s="6" t="n">
        <v>5</v>
      </c>
      <c r="M972" s="2" t="inlineStr">
        <is>
          <t>K7-3</t>
        </is>
      </c>
      <c r="N972" s="7" t="n">
        <v>0</v>
      </c>
      <c r="O972" s="4" t="n"/>
      <c r="P972" s="2" t="inlineStr">
        <is>
          <t>45212350</t>
        </is>
      </c>
      <c r="Q972" s="8" t="inlineStr">
        <is>
          <t>Ver</t>
        </is>
      </c>
      <c r="R972" s="8" t="inlineStr">
        <is>
          <t>PCAP</t>
        </is>
      </c>
      <c r="S972" s="9" t="n">
        <v>46317</v>
      </c>
      <c r="T972" s="3" t="n">
        <v>46316.42115740741</v>
      </c>
      <c r="U972" s="2" t="n"/>
    </row>
    <row r="973">
      <c r="A973" s="2" t="inlineStr">
        <is>
          <t>Resuelta</t>
        </is>
      </c>
      <c r="B973" s="3" t="n">
        <v>46283.58333333334</v>
      </c>
      <c r="C973" s="5" t="n">
        <v>53719.01</v>
      </c>
      <c r="D973" s="5" t="n">
        <v>53719.01</v>
      </c>
      <c r="E973" s="2" t="inlineStr">
        <is>
          <t>Comunitat Valenciana</t>
        </is>
      </c>
      <c r="F973" s="2" t="inlineStr">
        <is>
          <t>Valencia</t>
        </is>
      </c>
      <c r="G973" s="2" t="inlineStr">
        <is>
          <t>Gandia</t>
        </is>
      </c>
      <c r="H973" s="2" t="inlineStr">
        <is>
          <t>Departamento de Salud de Gandía. Dirección Económica-Gerencia</t>
        </is>
      </c>
      <c r="I973" s="2" t="inlineStr">
        <is>
          <t>Obras de reparación de la cubierta del Centro de Salud de Tavernes de la Valldigna del Departamento de Salud de Gandía, según especificaciones descritas en el PPT, respetuoso con el medio ambiente.</t>
        </is>
      </c>
      <c r="J973" s="2" t="inlineStr">
        <is>
          <t>PASS OB 1165/2026</t>
        </is>
      </c>
      <c r="K973" s="2" t="inlineStr">
        <is>
          <t>Abierto simplificado</t>
        </is>
      </c>
      <c r="L973" s="6" t="n">
        <v>1</v>
      </c>
      <c r="M973" s="2" t="n"/>
      <c r="N973" s="7" t="n">
        <v>0</v>
      </c>
      <c r="O973" s="4" t="n"/>
      <c r="P973" s="2" t="inlineStr">
        <is>
          <t>45215140; 45261420; 45261910; 45261410</t>
        </is>
      </c>
      <c r="Q973" s="8" t="inlineStr">
        <is>
          <t>Ver</t>
        </is>
      </c>
      <c r="R973" s="8" t="inlineStr">
        <is>
          <t>PCAP</t>
        </is>
      </c>
      <c r="S973" s="9" t="n">
        <v>46317</v>
      </c>
      <c r="T973" s="3" t="n">
        <v>46316.41991898148</v>
      </c>
      <c r="U973" s="2" t="n"/>
    </row>
    <row r="974">
      <c r="A974" s="2" t="inlineStr">
        <is>
          <t>Pendiente de adjudicación</t>
        </is>
      </c>
      <c r="B974" s="3" t="n">
        <v>46258.99930555555</v>
      </c>
      <c r="C974" s="5" t="n">
        <v>232926.86</v>
      </c>
      <c r="D974" s="5" t="n">
        <v>232926.86</v>
      </c>
      <c r="E974" s="2" t="inlineStr">
        <is>
          <t>Comunitat Valenciana</t>
        </is>
      </c>
      <c r="F974" s="2" t="inlineStr">
        <is>
          <t>Valencia</t>
        </is>
      </c>
      <c r="G974" s="2" t="inlineStr">
        <is>
          <t>Utiel</t>
        </is>
      </c>
      <c r="H974" s="2" t="inlineStr">
        <is>
          <t>Alcaldía del Ayuntamiento de Utiel</t>
        </is>
      </c>
      <c r="I974" s="2" t="inlineStr">
        <is>
          <t>Construcción edificio base para el SAMU (Servicio de Atención Móvil de Urgencia) de Utiel</t>
        </is>
      </c>
      <c r="J974" s="2" t="inlineStr">
        <is>
          <t>427/2026</t>
        </is>
      </c>
      <c r="K974" s="2" t="inlineStr">
        <is>
          <t>Abierto simplificado</t>
        </is>
      </c>
      <c r="L974" s="6" t="n">
        <v>12</v>
      </c>
      <c r="M974" s="2" t="n"/>
      <c r="N974" s="7" t="n">
        <v>0</v>
      </c>
      <c r="O974" s="4" t="n"/>
      <c r="P974" s="2" t="inlineStr">
        <is>
          <t>45210000</t>
        </is>
      </c>
      <c r="Q974" s="8" t="inlineStr">
        <is>
          <t>Ver</t>
        </is>
      </c>
      <c r="R974" s="8" t="inlineStr">
        <is>
          <t>PCAP</t>
        </is>
      </c>
      <c r="S974" s="9" t="n">
        <v>46317</v>
      </c>
      <c r="T974" s="3" t="n">
        <v>46316.41451388889</v>
      </c>
      <c r="U974" s="2" t="n"/>
    </row>
    <row r="975">
      <c r="A975" s="2" t="inlineStr">
        <is>
          <t>Resuelta</t>
        </is>
      </c>
      <c r="B975" s="3" t="n">
        <v>46210.99930555555</v>
      </c>
      <c r="C975" s="5" t="n">
        <v>60175.36</v>
      </c>
      <c r="D975" s="5" t="n">
        <v>60175.36</v>
      </c>
      <c r="E975" s="2" t="inlineStr">
        <is>
          <t>Andalucía</t>
        </is>
      </c>
      <c r="F975" s="2" t="inlineStr">
        <is>
          <t>Jaén</t>
        </is>
      </c>
      <c r="G975" s="2" t="inlineStr">
        <is>
          <t>Villacarrillo</t>
        </is>
      </c>
      <c r="H975" s="2" t="inlineStr">
        <is>
          <t>Alcaldía del Ayuntamiento de Villacarrillo</t>
        </is>
      </c>
      <c r="I975" s="2" t="inlineStr">
        <is>
          <t>Reparación de pavimentación de diversas calles de Villacarrillo y anejos, en el término municipal de Villacarrillo (Jaén) como consecuencia de las ayudas extraordinarias a las entidades locales especialmente afectadas por los fenómenos naturales adversos en el periodo entre enero y febrero 2026 de la consejería de sanidad, presidencia y emergencias de la Junta de Andalucía.</t>
        </is>
      </c>
      <c r="J975" s="2" t="inlineStr">
        <is>
          <t>1642/2026</t>
        </is>
      </c>
      <c r="K975" s="2" t="inlineStr">
        <is>
          <t>Abierto simplificado</t>
        </is>
      </c>
      <c r="L975" s="6" t="n">
        <v>3</v>
      </c>
      <c r="M975" s="2" t="n"/>
      <c r="N975" s="7" t="n">
        <v>0</v>
      </c>
      <c r="O975" s="4" t="n"/>
      <c r="P975" s="2" t="inlineStr">
        <is>
          <t>45233252</t>
        </is>
      </c>
      <c r="Q975" s="8" t="inlineStr">
        <is>
          <t>Ver</t>
        </is>
      </c>
      <c r="R975" s="8" t="inlineStr">
        <is>
          <t>PCAP</t>
        </is>
      </c>
      <c r="S975" s="9" t="n">
        <v>46317</v>
      </c>
      <c r="T975" s="3" t="n">
        <v>46316.41331018518</v>
      </c>
      <c r="U975" s="2" t="n"/>
    </row>
    <row r="976">
      <c r="A976" s="2" t="inlineStr">
        <is>
          <t>Resuelta</t>
        </is>
      </c>
      <c r="B976" s="3" t="n">
        <v>46162.99930555555</v>
      </c>
      <c r="C976" s="5" t="n">
        <v>60740</v>
      </c>
      <c r="D976" s="5" t="n">
        <v>60740</v>
      </c>
      <c r="E976" s="2" t="inlineStr">
        <is>
          <t>Andalucía</t>
        </is>
      </c>
      <c r="F976" s="2" t="inlineStr">
        <is>
          <t>Jaén</t>
        </is>
      </c>
      <c r="G976" s="2" t="inlineStr">
        <is>
          <t>Beas de SEgura</t>
        </is>
      </c>
      <c r="H976" s="2" t="inlineStr">
        <is>
          <t>Alcaldía del Ayuntamiento de Beas de Segura</t>
        </is>
      </c>
      <c r="I976" s="2" t="inlineStr">
        <is>
          <t>Sustitución de equipos existentes por equipos de climatización de aerotermia</t>
        </is>
      </c>
      <c r="J976" s="2" t="inlineStr">
        <is>
          <t>398/2026</t>
        </is>
      </c>
      <c r="K976" s="2" t="inlineStr">
        <is>
          <t>Abierto simplificado</t>
        </is>
      </c>
      <c r="L976" s="6" t="n">
        <v>4</v>
      </c>
      <c r="M976" s="2" t="n"/>
      <c r="N976" s="7" t="n">
        <v>0</v>
      </c>
      <c r="O976" s="4" t="n"/>
      <c r="P976" s="2" t="inlineStr">
        <is>
          <t>45331000; 45453100</t>
        </is>
      </c>
      <c r="Q976" s="8" t="inlineStr">
        <is>
          <t>Ver</t>
        </is>
      </c>
      <c r="R976" s="8" t="inlineStr">
        <is>
          <t>PCAP</t>
        </is>
      </c>
      <c r="S976" s="9" t="n">
        <v>46317</v>
      </c>
      <c r="T976" s="3" t="n">
        <v>46316.40575231481</v>
      </c>
      <c r="U976" s="2" t="n"/>
    </row>
    <row r="977">
      <c r="A977" s="2" t="inlineStr">
        <is>
          <t>En plazo</t>
        </is>
      </c>
      <c r="B977" s="3" t="n">
        <v>46328.99930555555</v>
      </c>
      <c r="C977" s="5" t="n">
        <v>137253.4</v>
      </c>
      <c r="D977" s="5" t="n">
        <v>137253.4</v>
      </c>
      <c r="E977" s="2" t="inlineStr">
        <is>
          <t>Comunitat Valenciana</t>
        </is>
      </c>
      <c r="F977" s="2" t="inlineStr">
        <is>
          <t>Alicante</t>
        </is>
      </c>
      <c r="G977" s="2" t="inlineStr">
        <is>
          <t>SANT JOAN D`ALACANT</t>
        </is>
      </c>
      <c r="H977" s="2" t="inlineStr">
        <is>
          <t>Departamento de Salud de San Juan Alicante. Dirección Económica-Gerencia</t>
        </is>
      </c>
      <c r="I977" s="2" t="inlineStr">
        <is>
          <t>Obra para el asfaltado perímetro (vial de acceso a urgencias con 2 rampas y vial sur) del Hospital de Sant Joan d'Alacant, en condiciones de seguridad y salud laboral, de prácticas respetuosas con el medioambiente e innovación tecnológica.</t>
        </is>
      </c>
      <c r="J977" s="2" t="inlineStr">
        <is>
          <t>PA 300/2026</t>
        </is>
      </c>
      <c r="K977" s="2" t="inlineStr">
        <is>
          <t>Abierto</t>
        </is>
      </c>
      <c r="L977" s="6" t="n">
        <v>2</v>
      </c>
      <c r="M977" s="2" t="n"/>
      <c r="N977" s="7" t="n">
        <v>0.4</v>
      </c>
      <c r="O977" s="4" t="n"/>
      <c r="P977" s="2" t="inlineStr">
        <is>
          <t>45233252</t>
        </is>
      </c>
      <c r="Q977" s="8" t="inlineStr">
        <is>
          <t>Ver</t>
        </is>
      </c>
      <c r="R977" s="8" t="inlineStr">
        <is>
          <t>PCAP</t>
        </is>
      </c>
      <c r="S977" s="9" t="n">
        <v>46317</v>
      </c>
      <c r="T977" s="3" t="n">
        <v>46316.40496527778</v>
      </c>
      <c r="U977" s="2" t="n"/>
    </row>
    <row r="978">
      <c r="A978" s="2" t="inlineStr">
        <is>
          <t>Pendiente de adjudicación</t>
        </is>
      </c>
      <c r="B978" s="3" t="n">
        <v>46258.99930555555</v>
      </c>
      <c r="C978" s="5" t="n">
        <v>281188.21</v>
      </c>
      <c r="D978" s="5" t="n">
        <v>281188.21</v>
      </c>
      <c r="E978" s="2" t="inlineStr">
        <is>
          <t>Andalucía</t>
        </is>
      </c>
      <c r="F978" s="2" t="inlineStr">
        <is>
          <t>Sevilla</t>
        </is>
      </c>
      <c r="G978" s="2" t="n"/>
      <c r="H978" s="2" t="inlineStr">
        <is>
          <t>Junta de Gobierno del Ayuntamiento de Dos Hermanas</t>
        </is>
      </c>
      <c r="I978" s="2" t="inlineStr">
        <is>
          <t>Reforma de la Instalación de Alumbrado Público en Barriada la Motilla</t>
        </is>
      </c>
      <c r="J978" s="2" t="inlineStr">
        <is>
          <t>2026000004</t>
        </is>
      </c>
      <c r="K978" s="2" t="inlineStr">
        <is>
          <t>Abierto simplificado</t>
        </is>
      </c>
      <c r="L978" s="6" t="n">
        <v>4</v>
      </c>
      <c r="M978" s="2" t="n"/>
      <c r="N978" s="7" t="n">
        <v>0</v>
      </c>
      <c r="O978" s="4" t="n"/>
      <c r="P978" s="2" t="inlineStr">
        <is>
          <t>45316000</t>
        </is>
      </c>
      <c r="Q978" s="8" t="inlineStr">
        <is>
          <t>Ver</t>
        </is>
      </c>
      <c r="R978" s="8" t="inlineStr">
        <is>
          <t>PCAP</t>
        </is>
      </c>
      <c r="S978" s="9" t="n">
        <v>46310</v>
      </c>
      <c r="T978" s="3" t="n">
        <v>46316.40413194444</v>
      </c>
      <c r="U978" s="2" t="n"/>
    </row>
    <row r="979">
      <c r="A979" s="2" t="inlineStr">
        <is>
          <t>En plazo</t>
        </is>
      </c>
      <c r="B979" s="3" t="n">
        <v>46330.99930555555</v>
      </c>
      <c r="C979" s="5" t="n">
        <v>369075.17</v>
      </c>
      <c r="D979" s="5" t="n">
        <v>369075.17</v>
      </c>
      <c r="E979" s="2" t="inlineStr">
        <is>
          <t>Comunitat Valenciana</t>
        </is>
      </c>
      <c r="F979" s="2" t="inlineStr">
        <is>
          <t>Valencia</t>
        </is>
      </c>
      <c r="G979" s="2" t="n"/>
      <c r="H979" s="2" t="inlineStr">
        <is>
          <t>Departamento de Salud Valencia Dr. Peset. Dirección Económica-Gerencia</t>
        </is>
      </c>
      <c r="I979"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979" s="2" t="inlineStr">
        <is>
          <t>PA 1105/2026</t>
        </is>
      </c>
      <c r="K979" s="2" t="inlineStr">
        <is>
          <t>Abierto simplificado</t>
        </is>
      </c>
      <c r="L979" s="6" t="n">
        <v>4</v>
      </c>
      <c r="M979" s="2" t="n"/>
      <c r="N979" s="7" t="n">
        <v>0.25</v>
      </c>
      <c r="O979" s="4" t="n"/>
      <c r="P979" s="2" t="inlineStr">
        <is>
          <t>45215100; 45442100; 45421130; 45441000; 45432130; 45262520</t>
        </is>
      </c>
      <c r="Q979" s="8" t="inlineStr">
        <is>
          <t>Ver</t>
        </is>
      </c>
      <c r="R979" s="8" t="inlineStr">
        <is>
          <t>PCAP</t>
        </is>
      </c>
      <c r="S979" s="9" t="n">
        <v>46311</v>
      </c>
      <c r="T979" s="3" t="n">
        <v>46316.40302083334</v>
      </c>
      <c r="U979" s="2" t="n"/>
    </row>
    <row r="980">
      <c r="A980" s="2" t="inlineStr">
        <is>
          <t>Adjudicada</t>
        </is>
      </c>
      <c r="B980" s="3" t="n">
        <v>46275.625</v>
      </c>
      <c r="C980" s="5" t="n">
        <v>577685.95</v>
      </c>
      <c r="D980" s="5" t="n">
        <v>577685.95</v>
      </c>
      <c r="E980" s="2" t="inlineStr">
        <is>
          <t>Andalucía</t>
        </is>
      </c>
      <c r="F980" s="2" t="inlineStr">
        <is>
          <t>Córdoba</t>
        </is>
      </c>
      <c r="G980" s="2" t="n"/>
      <c r="H980" s="2" t="inlineStr">
        <is>
          <t>Alcaldía del Ayuntamiento de Montoro</t>
        </is>
      </c>
      <c r="I980" s="2" t="inlineStr">
        <is>
          <t>Contratación de las obras contenidas en el proyecto "Mejora del Camino Rural de Montoro a la Encarnada. Montoro (Córdoba)", financiado con cargo a las ayudas de la Administración General del Estado, a través del Ministerio de Política Territorial y Memoria Democrática, previstas en el artículo 7 del Real Decreto-ley 5/2026, de 17 de febrero.</t>
        </is>
      </c>
      <c r="J980" s="2" t="inlineStr">
        <is>
          <t>GEX 2026/9294</t>
        </is>
      </c>
      <c r="K980" s="2" t="inlineStr">
        <is>
          <t>Abierto simplificado</t>
        </is>
      </c>
      <c r="L980" s="6" t="n">
        <v>5</v>
      </c>
      <c r="M980" s="2" t="inlineStr">
        <is>
          <t>G4-3</t>
        </is>
      </c>
      <c r="N980" s="7" t="n">
        <v>0</v>
      </c>
      <c r="O980" s="4" t="n"/>
      <c r="P980" s="2" t="inlineStr">
        <is>
          <t>45233160</t>
        </is>
      </c>
      <c r="Q980" s="8" t="inlineStr">
        <is>
          <t>Ver</t>
        </is>
      </c>
      <c r="R980" s="8" t="inlineStr">
        <is>
          <t>PCAP</t>
        </is>
      </c>
      <c r="S980" s="9" t="n">
        <v>46315</v>
      </c>
      <c r="T980" s="3" t="n">
        <v>46316.4021875</v>
      </c>
      <c r="U980" s="2" t="inlineStr">
        <is>
          <t>2026-10-22: estado EV → ADJ</t>
        </is>
      </c>
    </row>
    <row r="981">
      <c r="A981" s="2" t="inlineStr">
        <is>
          <t>Pendiente de adjudicación</t>
        </is>
      </c>
      <c r="B981" s="3" t="n">
        <v>46303.58333333334</v>
      </c>
      <c r="C981" s="5" t="n">
        <v>2380165.29</v>
      </c>
      <c r="D981" s="5" t="n">
        <v>2380165.29</v>
      </c>
      <c r="E981" s="2" t="inlineStr">
        <is>
          <t>Andalucía</t>
        </is>
      </c>
      <c r="F981" s="2" t="inlineStr">
        <is>
          <t>Cádiz</t>
        </is>
      </c>
      <c r="G981" s="2" t="n"/>
      <c r="H981" s="2" t="inlineStr">
        <is>
          <t>Presidencia de la Autoridad Portuaria de la Bahía de Algeciras</t>
        </is>
      </c>
      <c r="I981" s="2" t="inlineStr">
        <is>
          <t>Contrato de obras correspondiente al Proyecto de sustitución y mejora de los elementos de atraque y defensa en la alineación de la fase b del Muelle de Isla Verde Exterior</t>
        </is>
      </c>
      <c r="J981" s="2" t="inlineStr">
        <is>
          <t>2026-073</t>
        </is>
      </c>
      <c r="K981" s="2" t="inlineStr">
        <is>
          <t>Abierto</t>
        </is>
      </c>
      <c r="L981" s="6" t="n">
        <v>12</v>
      </c>
      <c r="M981" s="2" t="inlineStr">
        <is>
          <t>F7-4</t>
        </is>
      </c>
      <c r="N981" s="7" t="n">
        <v>0.4</v>
      </c>
      <c r="O981" s="4" t="n"/>
      <c r="P981" s="2" t="inlineStr">
        <is>
          <t>45244100; 34516000</t>
        </is>
      </c>
      <c r="Q981" s="8" t="inlineStr">
        <is>
          <t>Ver</t>
        </is>
      </c>
      <c r="R981" s="8" t="inlineStr">
        <is>
          <t>PCAP</t>
        </is>
      </c>
      <c r="S981" s="9" t="n">
        <v>46317</v>
      </c>
      <c r="T981" s="3" t="n">
        <v>46316.39851851852</v>
      </c>
      <c r="U981" s="2" t="n"/>
    </row>
    <row r="982">
      <c r="A982" s="2" t="inlineStr">
        <is>
          <t>Resuelta</t>
        </is>
      </c>
      <c r="B982" s="3" t="n">
        <v>46276.58333333334</v>
      </c>
      <c r="C982" s="5" t="n">
        <v>230555.53</v>
      </c>
      <c r="D982" s="5" t="n">
        <v>230555.53</v>
      </c>
      <c r="E982" s="2" t="inlineStr">
        <is>
          <t>Comunitat Valenciana</t>
        </is>
      </c>
      <c r="F982" s="2" t="inlineStr">
        <is>
          <t>Valencia</t>
        </is>
      </c>
      <c r="G982" s="2" t="n"/>
      <c r="H982" s="2" t="inlineStr">
        <is>
          <t>Concejalía Delegada de Contratación del Ayuntamiento de Gandía</t>
        </is>
      </c>
      <c r="I982" s="2" t="inlineStr">
        <is>
          <t>Contrato de obra consistente en mejora, modernización y dotación de infraestructuras y servicios en el polígono Alcodar, IVACE ejercicios 2025-2026.</t>
        </is>
      </c>
      <c r="J982" s="2" t="inlineStr">
        <is>
          <t>CONT-059/2026 (41975/2026)</t>
        </is>
      </c>
      <c r="K982" s="2" t="inlineStr">
        <is>
          <t>Abierto simplificado</t>
        </is>
      </c>
      <c r="L982" s="6" t="n">
        <v>2</v>
      </c>
      <c r="M982" s="2" t="n"/>
      <c r="N982" s="7" t="n">
        <v>0</v>
      </c>
      <c r="O982" s="4" t="n"/>
      <c r="P982" s="2" t="inlineStr">
        <is>
          <t>45233140</t>
        </is>
      </c>
      <c r="Q982" s="8" t="inlineStr">
        <is>
          <t>Ver</t>
        </is>
      </c>
      <c r="R982" s="8" t="inlineStr">
        <is>
          <t>PCAP</t>
        </is>
      </c>
      <c r="S982" s="9" t="n">
        <v>46317</v>
      </c>
      <c r="T982" s="3" t="n">
        <v>46316.39837962963</v>
      </c>
      <c r="U982" s="2" t="n"/>
    </row>
    <row r="983">
      <c r="A983" s="2" t="inlineStr">
        <is>
          <t>En plazo</t>
        </is>
      </c>
      <c r="B983" s="3" t="n">
        <v>46331.99930555555</v>
      </c>
      <c r="C983" s="5" t="n">
        <v>691158.8</v>
      </c>
      <c r="D983" s="5" t="n">
        <v>691158.8</v>
      </c>
      <c r="E983" s="2" t="inlineStr">
        <is>
          <t>Andalucía</t>
        </is>
      </c>
      <c r="F983" s="2" t="inlineStr">
        <is>
          <t>Córdoba</t>
        </is>
      </c>
      <c r="G983" s="2" t="inlineStr">
        <is>
          <t>Villa del Río</t>
        </is>
      </c>
      <c r="H983" s="2" t="inlineStr">
        <is>
          <t>Alcaldía del Ayuntamiento de Villa del Río</t>
        </is>
      </c>
      <c r="I983"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J983" s="2" t="inlineStr">
        <is>
          <t>8223/2026</t>
        </is>
      </c>
      <c r="K983" s="2" t="inlineStr">
        <is>
          <t>Abierto simplificado</t>
        </is>
      </c>
      <c r="L983" s="6" t="n">
        <v>20</v>
      </c>
      <c r="M983" s="2" t="n"/>
      <c r="N983" s="7" t="n">
        <v>0</v>
      </c>
      <c r="O983" s="4" t="n"/>
      <c r="P983" s="2" t="inlineStr">
        <is>
          <t>45212330; 71317200; 71242000; 45212170; 71000000</t>
        </is>
      </c>
      <c r="Q983" s="8" t="inlineStr">
        <is>
          <t>Ver</t>
        </is>
      </c>
      <c r="R983" s="8" t="inlineStr">
        <is>
          <t>PCAP</t>
        </is>
      </c>
      <c r="S983" s="9" t="n">
        <v>46317</v>
      </c>
      <c r="T983" s="3" t="n">
        <v>46316.39782407408</v>
      </c>
      <c r="U983" s="2" t="n"/>
    </row>
    <row r="984">
      <c r="A984" s="2" t="inlineStr">
        <is>
          <t>Resuelta</t>
        </is>
      </c>
      <c r="B984" s="3" t="n">
        <v>46150.58333333334</v>
      </c>
      <c r="C984" s="5" t="n">
        <v>1495134.1</v>
      </c>
      <c r="D984" s="5" t="n">
        <v>1495134.1</v>
      </c>
      <c r="E984" s="2" t="inlineStr">
        <is>
          <t>Comunitat Valenciana</t>
        </is>
      </c>
      <c r="F984" s="2" t="inlineStr">
        <is>
          <t>Valencia</t>
        </is>
      </c>
      <c r="G984" s="2" t="n"/>
      <c r="H984" s="2" t="inlineStr">
        <is>
          <t>Empresa de Transformación Agraria S.A.,S.M.E., M.P., (TRAGSA)</t>
        </is>
      </c>
      <c r="I984" s="2" t="inlineStr">
        <is>
          <t>Fábricas de bloque y acondicionamiento de parcelas agrícolas en los municipios afectados por la DANA 2024 en las Comarcas de los Serranos, Utiel-Requena y la Ribera.</t>
        </is>
      </c>
      <c r="J984" s="2" t="inlineStr">
        <is>
          <t>TSA0082819</t>
        </is>
      </c>
      <c r="K984" s="2" t="inlineStr">
        <is>
          <t>Abierto simplificado</t>
        </is>
      </c>
      <c r="L984" s="6" t="n">
        <v>6</v>
      </c>
      <c r="M984" s="2" t="n"/>
      <c r="N984" s="7" t="n">
        <v>0</v>
      </c>
      <c r="O984" s="4" t="n">
        <v>3</v>
      </c>
      <c r="P984" s="2" t="inlineStr">
        <is>
          <t>45223820</t>
        </is>
      </c>
      <c r="Q984" s="8" t="inlineStr">
        <is>
          <t>Ver</t>
        </is>
      </c>
      <c r="R984" s="8" t="inlineStr">
        <is>
          <t>PCAP</t>
        </is>
      </c>
      <c r="S984" s="9" t="n">
        <v>46310</v>
      </c>
      <c r="T984" s="3" t="n">
        <v>46316.39465277778</v>
      </c>
      <c r="U984" s="2" t="inlineStr">
        <is>
          <t>2026-10-22: estado ADJ → RES</t>
        </is>
      </c>
    </row>
    <row r="985">
      <c r="A985" s="2" t="inlineStr">
        <is>
          <t>Pendiente de adjudicación</t>
        </is>
      </c>
      <c r="B985" s="3" t="n">
        <v>46104.58333333334</v>
      </c>
      <c r="C985" s="5" t="n">
        <v>4697282.42</v>
      </c>
      <c r="D985" s="5" t="n">
        <v>4697282.42</v>
      </c>
      <c r="E985" s="2" t="inlineStr">
        <is>
          <t>Comunitat Valenciana</t>
        </is>
      </c>
      <c r="F985" s="2" t="inlineStr">
        <is>
          <t>Valencia</t>
        </is>
      </c>
      <c r="G985" s="2" t="n"/>
      <c r="H985" s="2" t="inlineStr">
        <is>
          <t>Vicepresidente Tercero y Conseller de Medio Ambiente, Infraestructuras, Territorio y de la Recuperación</t>
        </is>
      </c>
      <c r="I985" s="2" t="inlineStr">
        <is>
          <t>Itinerario de permeabilización y conexión ciclopeatonal Picassent-Alcàsser-Silla (Valencia)</t>
        </is>
      </c>
      <c r="J985" s="2" t="inlineStr">
        <is>
          <t>CMAYOR/2023/03Y05/69</t>
        </is>
      </c>
      <c r="K985" s="2" t="inlineStr">
        <is>
          <t>Abierto</t>
        </is>
      </c>
      <c r="L985" s="6" t="n">
        <v>16</v>
      </c>
      <c r="M985" s="2" t="inlineStr">
        <is>
          <t>B4-5</t>
        </is>
      </c>
      <c r="N985" s="7" t="n">
        <v>0.4</v>
      </c>
      <c r="O985" s="4" t="n"/>
      <c r="P985" s="2" t="inlineStr">
        <is>
          <t>45233140</t>
        </is>
      </c>
      <c r="Q985" s="8" t="inlineStr">
        <is>
          <t>Ver</t>
        </is>
      </c>
      <c r="R985" s="8" t="inlineStr">
        <is>
          <t>PCAP</t>
        </is>
      </c>
      <c r="S985" s="9" t="n">
        <v>46317</v>
      </c>
      <c r="T985" s="3" t="n">
        <v>46316.39269675926</v>
      </c>
      <c r="U985" s="2" t="n"/>
    </row>
    <row r="986">
      <c r="A986" s="2" t="inlineStr">
        <is>
          <t>Resuelta</t>
        </is>
      </c>
      <c r="B986" s="3" t="n">
        <v>46282.99930555555</v>
      </c>
      <c r="C986" s="5" t="n">
        <v>413223.14</v>
      </c>
      <c r="D986" s="5" t="n">
        <v>413223.14</v>
      </c>
      <c r="E986" s="2" t="inlineStr">
        <is>
          <t>Comunitat Valenciana</t>
        </is>
      </c>
      <c r="F986" s="2" t="inlineStr">
        <is>
          <t>Valencia</t>
        </is>
      </c>
      <c r="G986" s="2" t="n"/>
      <c r="H986" s="2" t="inlineStr">
        <is>
          <t>Concejalía Delegada de Contratación del Ajuntament de Tavernes de la Valldigna</t>
        </is>
      </c>
      <c r="I986" s="2" t="inlineStr">
        <is>
          <t>Reurbanización de las calles Gebalcobra, Vadell y Garbí</t>
        </is>
      </c>
      <c r="J986" s="2" t="inlineStr">
        <is>
          <t>2983262W</t>
        </is>
      </c>
      <c r="K986" s="2" t="inlineStr">
        <is>
          <t>Abierto simplificado</t>
        </is>
      </c>
      <c r="L986" s="6" t="n">
        <v>5</v>
      </c>
      <c r="M986" s="2" t="n"/>
      <c r="N986" s="7" t="n">
        <v>0</v>
      </c>
      <c r="O986" s="4" t="n"/>
      <c r="P986" s="2" t="inlineStr">
        <is>
          <t>45000000</t>
        </is>
      </c>
      <c r="Q986" s="8" t="inlineStr">
        <is>
          <t>Ver</t>
        </is>
      </c>
      <c r="R986" s="8" t="inlineStr">
        <is>
          <t>PCAP</t>
        </is>
      </c>
      <c r="S986" s="9" t="n">
        <v>46317</v>
      </c>
      <c r="T986" s="3" t="n">
        <v>46316.3912037037</v>
      </c>
      <c r="U986" s="2" t="n"/>
    </row>
    <row r="987">
      <c r="A987" s="2" t="inlineStr">
        <is>
          <t>Pendiente de adjudicación</t>
        </is>
      </c>
      <c r="B987" s="3" t="n">
        <v>46220.58333333334</v>
      </c>
      <c r="C987" s="5" t="n">
        <v>8489993.039999999</v>
      </c>
      <c r="D987" s="5" t="n">
        <v>9338992.34</v>
      </c>
      <c r="E987" s="2" t="inlineStr">
        <is>
          <t>Comunitat Valenciana</t>
        </is>
      </c>
      <c r="F987" s="2" t="inlineStr">
        <is>
          <t>Alicante</t>
        </is>
      </c>
      <c r="G987" s="2" t="inlineStr">
        <is>
          <t>Alcoy (Alicante)</t>
        </is>
      </c>
      <c r="H987" s="2" t="inlineStr">
        <is>
          <t>Dirección General de Gestión Económica, Contratación e Infraestructuras de la Conselleria de Sanidad</t>
        </is>
      </c>
      <c r="I987" s="2" t="inlineStr">
        <is>
          <t>Obras de reforma y ampliación del Centro de Salud La Bassa de Alcoy</t>
        </is>
      </c>
      <c r="J987" s="2" t="inlineStr">
        <is>
          <t>220/2026</t>
        </is>
      </c>
      <c r="K987" s="2" t="inlineStr">
        <is>
          <t>Abierto</t>
        </is>
      </c>
      <c r="L987" s="6" t="n">
        <v>18</v>
      </c>
      <c r="M987" s="2" t="inlineStr">
        <is>
          <t>C4-6; C6-6; C2-6</t>
        </is>
      </c>
      <c r="N987" s="7" t="n">
        <v>0.1</v>
      </c>
      <c r="O987" s="4" t="n"/>
      <c r="P987" s="2" t="inlineStr">
        <is>
          <t>45215100</t>
        </is>
      </c>
      <c r="Q987" s="8" t="inlineStr">
        <is>
          <t>Ver</t>
        </is>
      </c>
      <c r="R987" s="8" t="inlineStr">
        <is>
          <t>PCAP</t>
        </is>
      </c>
      <c r="S987" s="9" t="n">
        <v>46310</v>
      </c>
      <c r="T987" s="3" t="n">
        <v>46316.38553240741</v>
      </c>
      <c r="U987" s="2" t="n"/>
    </row>
    <row r="988">
      <c r="A988" s="2" t="inlineStr">
        <is>
          <t>Pendiente de adjudicación</t>
        </is>
      </c>
      <c r="B988" s="3" t="n">
        <v>46310.99930555555</v>
      </c>
      <c r="C988" s="5" t="n">
        <v>103723.41</v>
      </c>
      <c r="D988" s="5" t="n">
        <v>114095.75</v>
      </c>
      <c r="E988" s="2" t="inlineStr">
        <is>
          <t>Comunitat Valenciana</t>
        </is>
      </c>
      <c r="F988" s="2" t="inlineStr">
        <is>
          <t>Alicante</t>
        </is>
      </c>
      <c r="G988" s="2" t="inlineStr">
        <is>
          <t>Cocentaina</t>
        </is>
      </c>
      <c r="H988" s="2" t="inlineStr">
        <is>
          <t>Alcaldía del Ayuntamiento de Cocentaina</t>
        </is>
      </c>
      <c r="I988" s="2" t="inlineStr">
        <is>
          <t>Obras de rehabilitación de vivienda unifamiliar entre medianeras en la C/Bisbe Mallol, 4 de Cocentaina. Este proyecto podrá ser cofinanciado por la Unión Europea a través del Fondo Europeo de Desarrollo Regional (FEDER) en el marco del Programa Plurirregional de España 2021-2027 dentro de la Estrategia de Desarrollo Integrado Local (Plan EDIL).</t>
        </is>
      </c>
      <c r="J988" s="2" t="inlineStr">
        <is>
          <t>4954/2024</t>
        </is>
      </c>
      <c r="K988" s="2" t="inlineStr">
        <is>
          <t>Abierto simplificado</t>
        </is>
      </c>
      <c r="L988" s="6" t="n">
        <v>6</v>
      </c>
      <c r="M988" s="2" t="n"/>
      <c r="N988" s="7" t="n">
        <v>0</v>
      </c>
      <c r="O988" s="4" t="n"/>
      <c r="P988" s="2" t="inlineStr">
        <is>
          <t>45210000; 45211000</t>
        </is>
      </c>
      <c r="Q988" s="8" t="inlineStr">
        <is>
          <t>Ver</t>
        </is>
      </c>
      <c r="R988" s="8" t="inlineStr">
        <is>
          <t>PCAP</t>
        </is>
      </c>
      <c r="S988" s="9" t="n">
        <v>46317</v>
      </c>
      <c r="T988" s="3" t="n">
        <v>46316.38465277778</v>
      </c>
      <c r="U988" s="2" t="n"/>
    </row>
    <row r="989">
      <c r="A989" s="2" t="inlineStr">
        <is>
          <t>Adjudicada</t>
        </is>
      </c>
      <c r="B989" s="3" t="n">
        <v>46274.99930555555</v>
      </c>
      <c r="C989" s="5" t="n">
        <v>202407.11</v>
      </c>
      <c r="D989" s="5" t="n">
        <v>202407.11</v>
      </c>
      <c r="E989" s="2" t="inlineStr">
        <is>
          <t>Comunitat Valenciana</t>
        </is>
      </c>
      <c r="F989" s="2" t="inlineStr">
        <is>
          <t>Alicante</t>
        </is>
      </c>
      <c r="G989" s="2" t="inlineStr">
        <is>
          <t>Alicante (Alacant)</t>
        </is>
      </c>
      <c r="H989" s="2" t="inlineStr">
        <is>
          <t>Alcaldía del Ayuntamiento de Villajoyosa</t>
        </is>
      </c>
      <c r="I989" s="2" t="inlineStr">
        <is>
          <t>Ejecución de las obras de sustitución de LAMT por LSMT en el polideportivo Maisa Lloret en Villajoyosa</t>
        </is>
      </c>
      <c r="J989" s="2" t="inlineStr">
        <is>
          <t>1001/2026</t>
        </is>
      </c>
      <c r="K989" s="2" t="inlineStr">
        <is>
          <t>Abierto</t>
        </is>
      </c>
      <c r="L989" s="6" t="n">
        <v>2</v>
      </c>
      <c r="M989" s="2" t="n"/>
      <c r="N989" s="7" t="n">
        <v>0.3</v>
      </c>
      <c r="O989" s="4" t="n"/>
      <c r="P989" s="2" t="inlineStr">
        <is>
          <t>45315400; 45231400</t>
        </is>
      </c>
      <c r="Q989" s="8" t="inlineStr">
        <is>
          <t>Ver</t>
        </is>
      </c>
      <c r="R989" s="2" t="n"/>
      <c r="S989" s="9" t="n">
        <v>46317</v>
      </c>
      <c r="T989" s="3" t="n">
        <v>46316.38410879629</v>
      </c>
      <c r="U989" s="2" t="n"/>
    </row>
    <row r="990">
      <c r="A990" s="2" t="inlineStr">
        <is>
          <t>Resuelta</t>
        </is>
      </c>
      <c r="B990" s="3" t="n">
        <v>46293.99930555555</v>
      </c>
      <c r="C990" s="5" t="n">
        <v>297520.66</v>
      </c>
      <c r="D990" s="5" t="n">
        <v>297520.66</v>
      </c>
      <c r="E990" s="2" t="inlineStr">
        <is>
          <t>Andalucía</t>
        </is>
      </c>
      <c r="F990" s="2" t="inlineStr">
        <is>
          <t>Jaén</t>
        </is>
      </c>
      <c r="G990" s="2" t="inlineStr">
        <is>
          <t>Jabalquinto</t>
        </is>
      </c>
      <c r="H990" s="2" t="inlineStr">
        <is>
          <t>Alcaldía del Ayuntamiento de Jabalquinto</t>
        </is>
      </c>
      <c r="I990" s="2" t="inlineStr">
        <is>
          <t>El objeto de este Pliego de Cláusulas Administrativas Particulares es regir la ejecución del contrato de obra denominado Renovación del césped artificial del campo de futbol Tomas García Velasco, promovido por el Ayuntamiento de Jabalquinto (Jaén).</t>
        </is>
      </c>
      <c r="J990" s="2" t="inlineStr">
        <is>
          <t>594/2026</t>
        </is>
      </c>
      <c r="K990" s="2" t="inlineStr">
        <is>
          <t>Abierto simplificado</t>
        </is>
      </c>
      <c r="L990" s="6" t="n">
        <v>3</v>
      </c>
      <c r="M990" s="2" t="inlineStr">
        <is>
          <t>G6-2</t>
        </is>
      </c>
      <c r="N990" s="7" t="n">
        <v>0</v>
      </c>
      <c r="O990" s="4" t="n"/>
      <c r="P990" s="2" t="inlineStr">
        <is>
          <t>45236110; 39293400</t>
        </is>
      </c>
      <c r="Q990" s="8" t="inlineStr">
        <is>
          <t>Ver</t>
        </is>
      </c>
      <c r="R990" s="8" t="inlineStr">
        <is>
          <t>PCAP</t>
        </is>
      </c>
      <c r="S990" s="9" t="n">
        <v>46317</v>
      </c>
      <c r="T990" s="3" t="n">
        <v>46316.38214120371</v>
      </c>
      <c r="U990" s="2" t="n"/>
    </row>
    <row r="991">
      <c r="A991" s="2" t="inlineStr">
        <is>
          <t>Pendiente de adjudicación</t>
        </is>
      </c>
      <c r="B991" s="3" t="n">
        <v>46314.99930555555</v>
      </c>
      <c r="C991" s="5" t="n">
        <v>78911.60000000001</v>
      </c>
      <c r="D991" s="5" t="n">
        <v>78911.60000000001</v>
      </c>
      <c r="E991" s="2" t="inlineStr">
        <is>
          <t>Andalucía</t>
        </is>
      </c>
      <c r="F991" s="2" t="inlineStr">
        <is>
          <t>Granada</t>
        </is>
      </c>
      <c r="G991" s="2" t="n"/>
      <c r="H991" s="2" t="inlineStr">
        <is>
          <t>Alcaldía del Ayuntamiento de Padul</t>
        </is>
      </c>
      <c r="I991" s="2" t="inlineStr">
        <is>
          <t>Contrato Administrativo de obras de Creación del Mirador del Territorio 'EL SILO'</t>
        </is>
      </c>
      <c r="J991" s="2" t="inlineStr">
        <is>
          <t>1588/2026</t>
        </is>
      </c>
      <c r="K991" s="2" t="inlineStr">
        <is>
          <t>Abierto simplificado</t>
        </is>
      </c>
      <c r="L991" s="6" t="n">
        <v>3</v>
      </c>
      <c r="M991" s="2" t="n"/>
      <c r="N991" s="7" t="n">
        <v>0</v>
      </c>
      <c r="O991" s="4" t="n"/>
      <c r="P991" s="2" t="inlineStr">
        <is>
          <t>45453100</t>
        </is>
      </c>
      <c r="Q991" s="8" t="inlineStr">
        <is>
          <t>Ver</t>
        </is>
      </c>
      <c r="R991" s="8" t="inlineStr">
        <is>
          <t>PCAP</t>
        </is>
      </c>
      <c r="S991" s="9" t="n">
        <v>46317</v>
      </c>
      <c r="T991" s="3" t="n">
        <v>46316.38126157408</v>
      </c>
      <c r="U991" s="2" t="n"/>
    </row>
    <row r="992">
      <c r="A992" s="2" t="inlineStr">
        <is>
          <t>Pendiente de adjudicación</t>
        </is>
      </c>
      <c r="B992" s="3" t="n">
        <v>46279.99930555555</v>
      </c>
      <c r="C992" s="5" t="n">
        <v>45323.14</v>
      </c>
      <c r="D992" s="5" t="n">
        <v>45323.14</v>
      </c>
      <c r="E992" s="2" t="inlineStr">
        <is>
          <t>Comunitat Valenciana</t>
        </is>
      </c>
      <c r="F992" s="2" t="inlineStr">
        <is>
          <t>Castellón</t>
        </is>
      </c>
      <c r="G992" s="2" t="inlineStr">
        <is>
          <t>Benicàssim</t>
        </is>
      </c>
      <c r="H992" s="2" t="inlineStr">
        <is>
          <t>Alcaldía del Ayuntamiento de Benicàssim</t>
        </is>
      </c>
      <c r="I992"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992" s="2" t="inlineStr">
        <is>
          <t>17098/2026</t>
        </is>
      </c>
      <c r="K992" s="2" t="inlineStr">
        <is>
          <t>Abierto simplificado</t>
        </is>
      </c>
      <c r="L992" s="6" t="n">
        <v>3</v>
      </c>
      <c r="M992" s="2" t="n"/>
      <c r="N992" s="7" t="n">
        <v>0</v>
      </c>
      <c r="O992" s="4" t="n"/>
      <c r="P992" s="2" t="inlineStr">
        <is>
          <t>45430000; 45440000</t>
        </is>
      </c>
      <c r="Q992" s="8" t="inlineStr">
        <is>
          <t>Ver</t>
        </is>
      </c>
      <c r="R992" s="8" t="inlineStr">
        <is>
          <t>PCAP</t>
        </is>
      </c>
      <c r="S992" s="9" t="n">
        <v>46310</v>
      </c>
      <c r="T992" s="3" t="n">
        <v>46316.37844907407</v>
      </c>
      <c r="U992" s="2" t="n"/>
    </row>
    <row r="993">
      <c r="A993" s="2" t="inlineStr">
        <is>
          <t>En plazo</t>
        </is>
      </c>
      <c r="B993" s="3" t="n">
        <v>46335.99930555555</v>
      </c>
      <c r="C993" s="5" t="n">
        <v>1156866.81</v>
      </c>
      <c r="D993" s="5" t="n">
        <v>1156866.81</v>
      </c>
      <c r="E993" s="2" t="inlineStr">
        <is>
          <t>Andalucía</t>
        </is>
      </c>
      <c r="F993" s="2" t="inlineStr">
        <is>
          <t>Huelva</t>
        </is>
      </c>
      <c r="G993" s="2" t="n"/>
      <c r="H993" s="2" t="inlineStr">
        <is>
          <t>Junta de Gobierno del Ayuntamiento de Huelva</t>
        </is>
      </c>
      <c r="I993" s="2" t="inlineStr">
        <is>
          <t>Ejecución de las obras del Plan de Asfaltado 2027.</t>
        </is>
      </c>
      <c r="J993" s="2" t="inlineStr">
        <is>
          <t>497/2026</t>
        </is>
      </c>
      <c r="K993" s="2" t="inlineStr">
        <is>
          <t>Abierto simplificado</t>
        </is>
      </c>
      <c r="L993" s="6" t="n">
        <v>6</v>
      </c>
      <c r="M993" s="2" t="inlineStr">
        <is>
          <t>G4-4</t>
        </is>
      </c>
      <c r="N993" s="7" t="n">
        <v>0</v>
      </c>
      <c r="O993" s="4" t="n">
        <v>2</v>
      </c>
      <c r="P993" s="2" t="inlineStr">
        <is>
          <t>45233223; 45233221</t>
        </is>
      </c>
      <c r="Q993" s="8" t="inlineStr">
        <is>
          <t>Ver</t>
        </is>
      </c>
      <c r="R993" s="8" t="inlineStr">
        <is>
          <t>PCAP</t>
        </is>
      </c>
      <c r="S993" s="9" t="n">
        <v>46317</v>
      </c>
      <c r="T993" s="3" t="n">
        <v>46316.37706018519</v>
      </c>
      <c r="U993" s="2" t="n"/>
    </row>
    <row r="994">
      <c r="A994" s="2" t="inlineStr">
        <is>
          <t>Adjudicada</t>
        </is>
      </c>
      <c r="B994" s="3" t="n">
        <v>46265.58333333334</v>
      </c>
      <c r="C994" s="5" t="n">
        <v>115119.79</v>
      </c>
      <c r="D994" s="5" t="n">
        <v>115119.79</v>
      </c>
      <c r="E994" s="2" t="inlineStr">
        <is>
          <t>Andalucía</t>
        </is>
      </c>
      <c r="F994" s="2" t="inlineStr">
        <is>
          <t>Sevilla</t>
        </is>
      </c>
      <c r="G994" s="2" t="n"/>
      <c r="H994" s="2" t="inlineStr">
        <is>
          <t>Junta de Gobierno Local del Ayuntamiento de Osuna</t>
        </is>
      </c>
      <c r="I994" s="2" t="inlineStr">
        <is>
          <t>Renovación del pavimento de seguridad y adecuación de áreas de juegos infantiles en diversos parques municipales, incluyendo suministro e instalación de elementos de juego. Diputación provincial de Sevilla</t>
        </is>
      </c>
      <c r="J994" s="2" t="inlineStr">
        <is>
          <t>1452/2026</t>
        </is>
      </c>
      <c r="K994" s="2" t="inlineStr">
        <is>
          <t>Abierto simplificado</t>
        </is>
      </c>
      <c r="L994" s="6" t="n">
        <v>6</v>
      </c>
      <c r="M994" s="2" t="n"/>
      <c r="N994" s="7" t="n">
        <v>0.25</v>
      </c>
      <c r="O994" s="4" t="n"/>
      <c r="P994" s="2" t="inlineStr">
        <is>
          <t>45233293; 34928400</t>
        </is>
      </c>
      <c r="Q994" s="8" t="inlineStr">
        <is>
          <t>Ver</t>
        </is>
      </c>
      <c r="R994" s="8" t="inlineStr">
        <is>
          <t>PCAP</t>
        </is>
      </c>
      <c r="S994" s="9" t="n">
        <v>46310</v>
      </c>
      <c r="T994" s="3" t="n">
        <v>46316.37423611111</v>
      </c>
      <c r="U994" s="2" t="inlineStr">
        <is>
          <t>2026-10-22: estado EV → ADJ</t>
        </is>
      </c>
    </row>
    <row r="995">
      <c r="A995" s="2" t="inlineStr">
        <is>
          <t>Resuelta</t>
        </is>
      </c>
      <c r="B995" s="3" t="n">
        <v>46252.99930555555</v>
      </c>
      <c r="C995" s="5" t="n">
        <v>174990.72</v>
      </c>
      <c r="D995" s="5" t="n">
        <v>174990.72</v>
      </c>
      <c r="E995" s="2" t="inlineStr">
        <is>
          <t>Andalucía</t>
        </is>
      </c>
      <c r="F995" s="2" t="inlineStr">
        <is>
          <t>Sevilla</t>
        </is>
      </c>
      <c r="G995" s="2" t="n"/>
      <c r="H995" s="2" t="inlineStr">
        <is>
          <t>Alcaldia del Ayuntamiento de Carmona</t>
        </is>
      </c>
      <c r="I995" s="2" t="inlineStr">
        <is>
          <t>Contratación de obra para la adecuación y mejora del parque público situado en c/ Dioclesiano s/n dentro del programa de cooperación municipal general Más Sevilla.</t>
        </is>
      </c>
      <c r="J995" s="2" t="inlineStr">
        <is>
          <t>EXP 26-173-12</t>
        </is>
      </c>
      <c r="K995" s="2" t="inlineStr">
        <is>
          <t>Abierto simplificado</t>
        </is>
      </c>
      <c r="L995" s="6" t="n">
        <v>2</v>
      </c>
      <c r="M995" s="2" t="n"/>
      <c r="N995" s="7" t="n">
        <v>0.25</v>
      </c>
      <c r="O995" s="4" t="n"/>
      <c r="P995" s="2" t="inlineStr">
        <is>
          <t>45262300; 77313000; 77312000; 45233290; 77311000; 77310000; 45232120; 45233222</t>
        </is>
      </c>
      <c r="Q995" s="8" t="inlineStr">
        <is>
          <t>Ver</t>
        </is>
      </c>
      <c r="R995" s="8" t="inlineStr">
        <is>
          <t>PCAP</t>
        </is>
      </c>
      <c r="S995" s="9" t="n">
        <v>46314</v>
      </c>
      <c r="T995" s="3" t="n">
        <v>46316.37358796296</v>
      </c>
      <c r="U995" s="2" t="inlineStr">
        <is>
          <t>2026-10-22: estado ADJ → RES</t>
        </is>
      </c>
    </row>
    <row r="996">
      <c r="A996" s="2" t="inlineStr">
        <is>
          <t>En plazo</t>
        </is>
      </c>
      <c r="B996" s="3" t="n">
        <v>46335.99930555555</v>
      </c>
      <c r="C996" s="5" t="n">
        <v>414209.51</v>
      </c>
      <c r="D996" s="5" t="n">
        <v>414209.51</v>
      </c>
      <c r="E996" s="2" t="inlineStr">
        <is>
          <t>Comunitat Valenciana</t>
        </is>
      </c>
      <c r="F996" s="2" t="inlineStr">
        <is>
          <t>Valencia</t>
        </is>
      </c>
      <c r="G996" s="2" t="n"/>
      <c r="H996" s="2" t="inlineStr">
        <is>
          <t>Junta de Gobierno del Ayuntamiento de Benaguasil</t>
        </is>
      </c>
      <c r="I996" s="2" t="inlineStr">
        <is>
          <t>Contrato Administrativo de obra para la repavimentación de la C/ Pedralba, entre los números 4 y 103, del municipio de Benaguasil, enmarcado dentro del Plan Abierto de Inversiones 2024-2027 de la Diputación Provincial de Valencia.</t>
        </is>
      </c>
      <c r="J996" s="2" t="inlineStr">
        <is>
          <t>3049058D</t>
        </is>
      </c>
      <c r="K996" s="2" t="inlineStr">
        <is>
          <t>Abierto simplificado</t>
        </is>
      </c>
      <c r="L996" s="6" t="n">
        <v>6</v>
      </c>
      <c r="M996" s="2" t="n"/>
      <c r="N996" s="7" t="n">
        <v>0</v>
      </c>
      <c r="O996" s="4" t="n"/>
      <c r="P996" s="2" t="inlineStr">
        <is>
          <t>45233251; 45233252</t>
        </is>
      </c>
      <c r="Q996" s="8" t="inlineStr">
        <is>
          <t>Ver</t>
        </is>
      </c>
      <c r="R996" s="8" t="inlineStr">
        <is>
          <t>PCAP</t>
        </is>
      </c>
      <c r="S996" s="9" t="n">
        <v>46317</v>
      </c>
      <c r="T996" s="3" t="n">
        <v>46316.37268518518</v>
      </c>
      <c r="U996" s="2" t="n"/>
    </row>
    <row r="997">
      <c r="A997" s="2" t="inlineStr">
        <is>
          <t>En plazo</t>
        </is>
      </c>
      <c r="B997" s="3" t="n">
        <v>46324.99930555555</v>
      </c>
      <c r="C997" s="5" t="n">
        <v>396285.58</v>
      </c>
      <c r="D997" s="5" t="n">
        <v>396285.58</v>
      </c>
      <c r="E997" s="2" t="inlineStr">
        <is>
          <t>Andalucía</t>
        </is>
      </c>
      <c r="F997" s="2" t="inlineStr">
        <is>
          <t>Cádiz</t>
        </is>
      </c>
      <c r="G997" s="2" t="n"/>
      <c r="H997" s="2" t="inlineStr">
        <is>
          <t>Alcaldía del Ayuntamiento de Algeciras</t>
        </is>
      </c>
      <c r="I997"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997" s="2" t="inlineStr">
        <is>
          <t>36136/2026</t>
        </is>
      </c>
      <c r="K997" s="2" t="inlineStr">
        <is>
          <t>Abierto simplificado</t>
        </is>
      </c>
      <c r="L997" s="6" t="n">
        <v>9</v>
      </c>
      <c r="M997" s="2" t="n"/>
      <c r="N997" s="7" t="n">
        <v>0</v>
      </c>
      <c r="O997" s="4" t="n"/>
      <c r="P997" s="2" t="inlineStr">
        <is>
          <t>45233140</t>
        </is>
      </c>
      <c r="Q997" s="8" t="inlineStr">
        <is>
          <t>Ver</t>
        </is>
      </c>
      <c r="R997" s="8" t="inlineStr">
        <is>
          <t>PCAP</t>
        </is>
      </c>
      <c r="S997" s="9" t="n">
        <v>46310</v>
      </c>
      <c r="T997" s="3" t="n">
        <v>46316.37199074074</v>
      </c>
      <c r="U997" s="2" t="n"/>
    </row>
    <row r="998">
      <c r="A998" s="2" t="inlineStr">
        <is>
          <t>Adjudicada</t>
        </is>
      </c>
      <c r="B998" s="3" t="n">
        <v>46265.58333333334</v>
      </c>
      <c r="C998" s="5" t="n">
        <v>170628.03</v>
      </c>
      <c r="D998" s="5" t="n">
        <v>170628.03</v>
      </c>
      <c r="E998" s="2" t="inlineStr">
        <is>
          <t>Andalucía</t>
        </is>
      </c>
      <c r="F998" s="2" t="inlineStr">
        <is>
          <t>Sevilla</t>
        </is>
      </c>
      <c r="G998" s="2" t="n"/>
      <c r="H998" s="2" t="inlineStr">
        <is>
          <t>Junta de Gobierno Local del Ayuntamiento de Osuna</t>
        </is>
      </c>
      <c r="I998" s="2" t="inlineStr">
        <is>
          <t>Arreglo y asfaltado de varias calles del municipio de Osuna. Plan Provincial de Cooperación en obras y servicios 2026. Diputación Provincial de Sevilla</t>
        </is>
      </c>
      <c r="J998" s="2" t="inlineStr">
        <is>
          <t>1902/2026</t>
        </is>
      </c>
      <c r="K998" s="2" t="inlineStr">
        <is>
          <t>Abierto simplificado</t>
        </is>
      </c>
      <c r="L998" s="6" t="n">
        <v>5</v>
      </c>
      <c r="M998" s="2" t="n"/>
      <c r="N998" s="7" t="n">
        <v>0.25</v>
      </c>
      <c r="O998" s="4" t="n"/>
      <c r="P998" s="2" t="inlineStr">
        <is>
          <t>45233222</t>
        </is>
      </c>
      <c r="Q998" s="8" t="inlineStr">
        <is>
          <t>Ver</t>
        </is>
      </c>
      <c r="R998" s="8" t="inlineStr">
        <is>
          <t>PCAP</t>
        </is>
      </c>
      <c r="S998" s="9" t="n">
        <v>46314</v>
      </c>
      <c r="T998" s="3" t="n">
        <v>46316.37042824074</v>
      </c>
      <c r="U998" s="2" t="inlineStr">
        <is>
          <t>2026-10-22: estado EV → ADJ</t>
        </is>
      </c>
    </row>
    <row r="999">
      <c r="A999" s="2" t="inlineStr">
        <is>
          <t>Resuelta</t>
        </is>
      </c>
      <c r="B999" s="3" t="n"/>
      <c r="C999" s="5" t="n">
        <v>63608.5</v>
      </c>
      <c r="D999" s="5" t="n">
        <v>63608.5</v>
      </c>
      <c r="E999" s="2" t="inlineStr">
        <is>
          <t>Andalucía</t>
        </is>
      </c>
      <c r="F999" s="2" t="inlineStr">
        <is>
          <t>Málaga</t>
        </is>
      </c>
      <c r="G999" s="2" t="n"/>
      <c r="H999" s="2" t="inlineStr">
        <is>
          <t>Concejalía Delegada de la Presidencia de la Junta Municipal del Distrito nº 9, Campanillas del Ayuntamiento de Málaga</t>
        </is>
      </c>
      <c r="I999" s="2" t="inlineStr">
        <is>
          <t>Renovación de acerados</t>
        </is>
      </c>
      <c r="J999" s="2" t="inlineStr">
        <is>
          <t>AM 108/23</t>
        </is>
      </c>
      <c r="K999" s="2" t="inlineStr">
        <is>
          <t>Abierto</t>
        </is>
      </c>
      <c r="L999" s="6" t="n">
        <v>3</v>
      </c>
      <c r="M999" s="2" t="n"/>
      <c r="N999" s="7" t="n">
        <v>0</v>
      </c>
      <c r="O999" s="4" t="n"/>
      <c r="P999" s="2" t="inlineStr">
        <is>
          <t>45000000</t>
        </is>
      </c>
      <c r="Q999" s="8" t="inlineStr">
        <is>
          <t>Ver</t>
        </is>
      </c>
      <c r="R999" s="2" t="n"/>
      <c r="S999" s="9" t="n">
        <v>46317</v>
      </c>
      <c r="T999" s="3" t="n">
        <v>46316.36951388889</v>
      </c>
      <c r="U999" s="2" t="n"/>
    </row>
    <row r="1000">
      <c r="A1000" s="2" t="inlineStr">
        <is>
          <t>Resuelta</t>
        </is>
      </c>
      <c r="B1000" s="3" t="n">
        <v>46237.58333333334</v>
      </c>
      <c r="C1000" s="5" t="n">
        <v>330578.51</v>
      </c>
      <c r="D1000" s="5" t="n">
        <v>363636.36</v>
      </c>
      <c r="E1000" s="2" t="inlineStr">
        <is>
          <t>Comunitat Valenciana</t>
        </is>
      </c>
      <c r="F1000" s="2" t="inlineStr">
        <is>
          <t>Alicante</t>
        </is>
      </c>
      <c r="G1000" s="2" t="inlineStr">
        <is>
          <t>Alicante (Alacant)</t>
        </is>
      </c>
      <c r="H1000" s="2" t="inlineStr">
        <is>
          <t>Junta de Gobierno del Ayuntamiento de Petrer</t>
        </is>
      </c>
      <c r="I1000" s="2" t="inlineStr">
        <is>
          <t>Obras incluidas en el "Proyecto básico y de ejecución de reasfaltado 2026 de varias calles (Petrer)"</t>
        </is>
      </c>
      <c r="J1000" s="2" t="inlineStr">
        <is>
          <t>4849/2026-C18/26</t>
        </is>
      </c>
      <c r="K1000" s="2" t="inlineStr">
        <is>
          <t>Abierto simplificado</t>
        </is>
      </c>
      <c r="L1000" s="6" t="n">
        <v>3</v>
      </c>
      <c r="M1000" s="2" t="n"/>
      <c r="N1000" s="7" t="n"/>
      <c r="O1000" s="4" t="n"/>
      <c r="P1000" s="2" t="inlineStr">
        <is>
          <t>45233222</t>
        </is>
      </c>
      <c r="Q1000" s="8" t="inlineStr">
        <is>
          <t>Ver</t>
        </is>
      </c>
      <c r="R1000" s="8" t="inlineStr">
        <is>
          <t>PCAP</t>
        </is>
      </c>
      <c r="S1000" s="9" t="n">
        <v>46311</v>
      </c>
      <c r="T1000" s="3" t="n">
        <v>46316.36364583333</v>
      </c>
      <c r="U1000" s="2" t="inlineStr">
        <is>
          <t>2026-10-22: estado ADJ → RES</t>
        </is>
      </c>
    </row>
    <row r="1001">
      <c r="A1001" s="2" t="inlineStr">
        <is>
          <t>Pendiente de adjudicación</t>
        </is>
      </c>
      <c r="B1001" s="3" t="n">
        <v>46295.99930555555</v>
      </c>
      <c r="C1001" s="5" t="n">
        <v>411862.87</v>
      </c>
      <c r="D1001" s="5" t="n">
        <v>411862.87</v>
      </c>
      <c r="E1001" s="2" t="inlineStr">
        <is>
          <t>Andalucía</t>
        </is>
      </c>
      <c r="F1001" s="2" t="inlineStr">
        <is>
          <t>Jaén</t>
        </is>
      </c>
      <c r="G1001" s="2" t="inlineStr">
        <is>
          <t>Linares</t>
        </is>
      </c>
      <c r="H1001" s="2" t="inlineStr">
        <is>
          <t>Alcaldía del Ayuntamiento de Linares</t>
        </is>
      </c>
      <c r="I1001" s="2" t="inlineStr">
        <is>
          <t>Obras de rehabilitación de la Casa de la Cultura. Plan Actuación Integrado (PAI) con cargo a fondos EDIL.</t>
        </is>
      </c>
      <c r="J1001" s="2" t="inlineStr">
        <is>
          <t>2026/10741</t>
        </is>
      </c>
      <c r="K1001" s="2" t="inlineStr">
        <is>
          <t>Abierto simplificado</t>
        </is>
      </c>
      <c r="L1001" s="6" t="n">
        <v>5</v>
      </c>
      <c r="M1001" s="2" t="n"/>
      <c r="N1001" s="7" t="n">
        <v>0</v>
      </c>
      <c r="O1001" s="4" t="n"/>
      <c r="P1001" s="2" t="inlineStr">
        <is>
          <t>45000000</t>
        </is>
      </c>
      <c r="Q1001" s="8" t="inlineStr">
        <is>
          <t>Ver</t>
        </is>
      </c>
      <c r="R1001" s="8" t="inlineStr">
        <is>
          <t>PCAP</t>
        </is>
      </c>
      <c r="S1001" s="9" t="n">
        <v>46317</v>
      </c>
      <c r="T1001" s="3" t="n">
        <v>46316.36109953704</v>
      </c>
      <c r="U1001" s="2" t="n"/>
    </row>
    <row r="1002">
      <c r="A1002" s="2" t="inlineStr">
        <is>
          <t>Resuelta</t>
        </is>
      </c>
      <c r="B1002" s="3" t="n">
        <v>46275.99930555555</v>
      </c>
      <c r="C1002" s="5" t="n">
        <v>123887.53</v>
      </c>
      <c r="D1002" s="5" t="n">
        <v>123887.53</v>
      </c>
      <c r="E1002" s="2" t="inlineStr">
        <is>
          <t>Andalucía</t>
        </is>
      </c>
      <c r="F1002" s="2" t="inlineStr">
        <is>
          <t>Sevilla</t>
        </is>
      </c>
      <c r="G1002" s="2" t="inlineStr">
        <is>
          <t>MAIRENA DEL ALCOR</t>
        </is>
      </c>
      <c r="H1002"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002" s="2" t="inlineStr">
        <is>
          <t>Ejecucion de 210 Nichos y 96 Columbarios en Cementerio Municipal San Jose</t>
        </is>
      </c>
      <c r="J1002" s="2" t="inlineStr">
        <is>
          <t>1963/2026</t>
        </is>
      </c>
      <c r="K1002" s="2" t="inlineStr">
        <is>
          <t>Abierto simplificado</t>
        </is>
      </c>
      <c r="L1002" s="6" t="n">
        <v>3</v>
      </c>
      <c r="M1002" s="2" t="n"/>
      <c r="N1002" s="7" t="n">
        <v>0</v>
      </c>
      <c r="O1002" s="4" t="n"/>
      <c r="P1002" s="2" t="inlineStr">
        <is>
          <t>45215400</t>
        </is>
      </c>
      <c r="Q1002" s="8" t="inlineStr">
        <is>
          <t>Ver</t>
        </is>
      </c>
      <c r="R1002" s="8" t="inlineStr">
        <is>
          <t>PCAP</t>
        </is>
      </c>
      <c r="S1002" s="9" t="n">
        <v>46311</v>
      </c>
      <c r="T1002" s="3" t="n">
        <v>46316.36086805556</v>
      </c>
      <c r="U1002" s="2" t="inlineStr">
        <is>
          <t>2026-10-22: estado ADJ → RES</t>
        </is>
      </c>
    </row>
    <row r="1003">
      <c r="A1003" s="2" t="inlineStr">
        <is>
          <t>Adjudicada</t>
        </is>
      </c>
      <c r="B1003" s="3" t="n">
        <v>46223.99930555555</v>
      </c>
      <c r="C1003" s="5" t="n">
        <v>66087.07000000001</v>
      </c>
      <c r="D1003" s="5" t="n">
        <v>66087.07000000001</v>
      </c>
      <c r="E1003" s="2" t="inlineStr">
        <is>
          <t>Andalucía</t>
        </is>
      </c>
      <c r="F1003" s="2" t="inlineStr">
        <is>
          <t>Sevilla</t>
        </is>
      </c>
      <c r="G1003" s="2" t="n"/>
      <c r="H1003" s="2" t="inlineStr">
        <is>
          <t>Junta de Gobierno del Ayuntamiento de La Rinconada</t>
        </is>
      </c>
      <c r="I1003" s="2" t="inlineStr">
        <is>
          <t>Obras de la instalación de depósitos de cenizas ubicado en el Cementerio Municipal Nuestra Señora del Carmen de San José de La Rinconada</t>
        </is>
      </c>
      <c r="J1003" s="2" t="inlineStr">
        <is>
          <t>6795/2026</t>
        </is>
      </c>
      <c r="K1003" s="2" t="inlineStr">
        <is>
          <t>Abierto simplificado</t>
        </is>
      </c>
      <c r="L1003" s="6" t="n">
        <v>1</v>
      </c>
      <c r="M1003" s="2" t="n"/>
      <c r="N1003" s="7" t="n">
        <v>0</v>
      </c>
      <c r="O1003" s="4" t="n"/>
      <c r="P1003" s="2" t="inlineStr">
        <is>
          <t>45215400</t>
        </is>
      </c>
      <c r="Q1003" s="8" t="inlineStr">
        <is>
          <t>Ver</t>
        </is>
      </c>
      <c r="R1003" s="8" t="inlineStr">
        <is>
          <t>PCAP</t>
        </is>
      </c>
      <c r="S1003" s="9" t="n">
        <v>46317</v>
      </c>
      <c r="T1003" s="3" t="n">
        <v>46316.36072916666</v>
      </c>
      <c r="U1003" s="2" t="n"/>
    </row>
    <row r="1004">
      <c r="A1004" s="2" t="inlineStr">
        <is>
          <t>Resuelta</t>
        </is>
      </c>
      <c r="B1004" s="3" t="n">
        <v>45698.99930555555</v>
      </c>
      <c r="C1004" s="5" t="n">
        <v>1822189.62</v>
      </c>
      <c r="D1004" s="5" t="n">
        <v>2004408.58</v>
      </c>
      <c r="E1004" s="2" t="inlineStr">
        <is>
          <t>Comunitat Valenciana</t>
        </is>
      </c>
      <c r="F1004" s="2" t="inlineStr">
        <is>
          <t>Alicante</t>
        </is>
      </c>
      <c r="G1004" s="2" t="n"/>
      <c r="H1004" s="2" t="inlineStr">
        <is>
          <t>Departamento de Salud de Elda. Dirección Económica-Gerencia</t>
        </is>
      </c>
      <c r="I1004" s="2" t="inlineStr">
        <is>
          <t>Obras para la ampliación del Servicio de Urgencias del Hospital General Universitario de Elda, Respetuosas con el Medio Ambiente. Departamento de Salud de Elda.</t>
        </is>
      </c>
      <c r="J1004" s="2" t="inlineStr">
        <is>
          <t>PA 56/2025 TA</t>
        </is>
      </c>
      <c r="K1004" s="2" t="inlineStr">
        <is>
          <t>Abierto</t>
        </is>
      </c>
      <c r="L1004" s="6" t="n">
        <v>15</v>
      </c>
      <c r="M1004" s="2" t="inlineStr">
        <is>
          <t>C*-4</t>
        </is>
      </c>
      <c r="N1004" s="7" t="n">
        <v>0.25</v>
      </c>
      <c r="O1004" s="4" t="n"/>
      <c r="P1004" s="2" t="inlineStr">
        <is>
          <t>45262800</t>
        </is>
      </c>
      <c r="Q1004" s="8" t="inlineStr">
        <is>
          <t>Ver</t>
        </is>
      </c>
      <c r="R1004" s="8" t="inlineStr">
        <is>
          <t>PCAP</t>
        </is>
      </c>
      <c r="S1004" s="9" t="n">
        <v>46317</v>
      </c>
      <c r="T1004" s="3" t="n">
        <v>46316.35768518518</v>
      </c>
      <c r="U1004" s="2" t="n"/>
    </row>
    <row r="1005">
      <c r="A1005" s="2" t="inlineStr">
        <is>
          <t>Resuelta</t>
        </is>
      </c>
      <c r="B1005" s="3" t="n">
        <v>46169.41666666666</v>
      </c>
      <c r="C1005" s="5" t="n">
        <v>71606.23</v>
      </c>
      <c r="D1005" s="5" t="n">
        <v>71606.23</v>
      </c>
      <c r="E1005" s="2" t="inlineStr">
        <is>
          <t>Andalucía</t>
        </is>
      </c>
      <c r="F1005" s="2" t="inlineStr">
        <is>
          <t>Málaga</t>
        </is>
      </c>
      <c r="G1005" s="2" t="n"/>
      <c r="H1005" s="2" t="inlineStr">
        <is>
          <t>ADIF Alta Velocidad - Presidencia</t>
        </is>
      </c>
      <c r="I1005" s="2" t="inlineStr">
        <is>
          <t>Obras de ejecución del proyecto simplificado para la instalación de sistemas de alimentación ininterrumpida (SAI´S) en las estaciones de Antequera Santa Ana y Málaga María Zambrano</t>
        </is>
      </c>
      <c r="J1005" s="2" t="inlineStr">
        <is>
          <t>3.26/30820.0018</t>
        </is>
      </c>
      <c r="K1005" s="2" t="inlineStr">
        <is>
          <t>Abierto simplificado</t>
        </is>
      </c>
      <c r="L1005" s="6" t="n">
        <v>2</v>
      </c>
      <c r="M1005" s="2" t="n"/>
      <c r="N1005" s="7" t="n">
        <v>0</v>
      </c>
      <c r="O1005" s="4" t="n"/>
      <c r="P1005" s="2" t="inlineStr">
        <is>
          <t>45315600</t>
        </is>
      </c>
      <c r="Q1005" s="8" t="inlineStr">
        <is>
          <t>Ver</t>
        </is>
      </c>
      <c r="R1005" s="8" t="inlineStr">
        <is>
          <t>PCAP</t>
        </is>
      </c>
      <c r="S1005" s="9" t="n">
        <v>46311</v>
      </c>
      <c r="T1005" s="3" t="n">
        <v>46316.35690972222</v>
      </c>
      <c r="U1005" s="2" t="inlineStr">
        <is>
          <t>2026-10-22: estado ADJ → RES</t>
        </is>
      </c>
    </row>
    <row r="1006">
      <c r="A1006" s="2" t="inlineStr">
        <is>
          <t>Pendiente de adjudicación</t>
        </is>
      </c>
      <c r="B1006" s="3" t="n">
        <v>46294.99930555555</v>
      </c>
      <c r="C1006" s="5" t="n">
        <v>50579.45</v>
      </c>
      <c r="D1006" s="5" t="n">
        <v>50579.45</v>
      </c>
      <c r="E1006" s="2" t="inlineStr">
        <is>
          <t>Andalucía</t>
        </is>
      </c>
      <c r="F1006" s="2" t="inlineStr">
        <is>
          <t>Jaén</t>
        </is>
      </c>
      <c r="G1006" s="2" t="inlineStr">
        <is>
          <t>Beas de SEgura</t>
        </is>
      </c>
      <c r="H1006" s="2" t="inlineStr">
        <is>
          <t>Alcaldía del Ayuntamiento de Beas de Segura</t>
        </is>
      </c>
      <c r="I1006" s="2" t="inlineStr">
        <is>
          <t>Contrato de obra para la reparación del aglomerado asfaltico de varias calles de Beas de Segura correspondientes al programa de fomento de empleo agrario 2025/2026 para la ejecución por administración directa de la inversión denominada "Urbanización de varias calles de Beas de Segura".</t>
        </is>
      </c>
      <c r="J1006" s="2" t="inlineStr">
        <is>
          <t>491/2026</t>
        </is>
      </c>
      <c r="K1006" s="2" t="inlineStr">
        <is>
          <t>Abierto simplificado</t>
        </is>
      </c>
      <c r="L1006" s="6" t="n">
        <v>4</v>
      </c>
      <c r="M1006" s="2" t="n"/>
      <c r="N1006" s="7" t="n">
        <v>0</v>
      </c>
      <c r="O1006" s="4" t="n"/>
      <c r="P1006" s="2" t="inlineStr">
        <is>
          <t>45000000</t>
        </is>
      </c>
      <c r="Q1006" s="8" t="inlineStr">
        <is>
          <t>Ver</t>
        </is>
      </c>
      <c r="R1006" s="8" t="inlineStr">
        <is>
          <t>PCAP</t>
        </is>
      </c>
      <c r="S1006" s="9" t="n">
        <v>46314</v>
      </c>
      <c r="T1006" s="3" t="n">
        <v>46316.35486111111</v>
      </c>
      <c r="U1006" s="2" t="n"/>
    </row>
    <row r="1007">
      <c r="A1007" s="2" t="inlineStr">
        <is>
          <t>Pendiente de adjudicación</t>
        </is>
      </c>
      <c r="B1007" s="3" t="n">
        <v>46313.99930555555</v>
      </c>
      <c r="C1007" s="5" t="n">
        <v>247829.38</v>
      </c>
      <c r="D1007" s="5" t="n">
        <v>272612.32</v>
      </c>
      <c r="E1007" s="2" t="inlineStr">
        <is>
          <t>Andalucía</t>
        </is>
      </c>
      <c r="F1007" s="2" t="inlineStr">
        <is>
          <t>Córdoba</t>
        </is>
      </c>
      <c r="G1007" s="2" t="inlineStr">
        <is>
          <t>El Carpio (Córdoba)</t>
        </is>
      </c>
      <c r="H1007" s="2" t="inlineStr">
        <is>
          <t>Alcaldía del Ayuntamiento de El Carpio</t>
        </is>
      </c>
      <c r="I1007" s="2" t="inlineStr">
        <is>
          <t>Obras de Renovación y mejora del pavimento del Campo de fútbol Contrato financiado con cargo a las ayudas de la Administración General del Estado, a través del Ministerio de Política Territorial y Memoria democrática, previstas en el artículo 7 del Real Decreto-ley 5/2026, de 17 de febrero.</t>
        </is>
      </c>
      <c r="J1007" s="2" t="inlineStr">
        <is>
          <t>4796/2026</t>
        </is>
      </c>
      <c r="K1007" s="2" t="inlineStr">
        <is>
          <t>Abierto simplificado</t>
        </is>
      </c>
      <c r="L1007" s="6" t="n">
        <v>4</v>
      </c>
      <c r="M1007" s="2" t="n"/>
      <c r="N1007" s="7" t="n">
        <v>0</v>
      </c>
      <c r="O1007" s="4" t="n"/>
      <c r="P1007" s="2" t="inlineStr">
        <is>
          <t>45000000</t>
        </is>
      </c>
      <c r="Q1007" s="8" t="inlineStr">
        <is>
          <t>Ver</t>
        </is>
      </c>
      <c r="R1007" s="8" t="inlineStr">
        <is>
          <t>PCAP</t>
        </is>
      </c>
      <c r="S1007" s="9" t="n">
        <v>46317</v>
      </c>
      <c r="T1007" s="3" t="n">
        <v>46316.35094907408</v>
      </c>
      <c r="U1007" s="2" t="n"/>
    </row>
    <row r="1008">
      <c r="A1008" s="2" t="inlineStr">
        <is>
          <t>Resuelta</t>
        </is>
      </c>
      <c r="B1008" s="3" t="n">
        <v>46267.99930555555</v>
      </c>
      <c r="C1008" s="5" t="n">
        <v>122003.22</v>
      </c>
      <c r="D1008" s="5" t="n">
        <v>122003.22</v>
      </c>
      <c r="E1008" s="2" t="inlineStr">
        <is>
          <t>Andalucía</t>
        </is>
      </c>
      <c r="F1008" s="2" t="inlineStr">
        <is>
          <t>Huelva</t>
        </is>
      </c>
      <c r="G1008" s="2" t="inlineStr">
        <is>
          <t>Gibraleón</t>
        </is>
      </c>
      <c r="H1008" s="2" t="inlineStr">
        <is>
          <t>Alcaldía del Ayuntamiento de Gibraleón</t>
        </is>
      </c>
      <c r="I1008" s="2" t="inlineStr">
        <is>
          <t>Obras correspondientes al Plan de Asfaltado Municipal.</t>
        </is>
      </c>
      <c r="J1008" s="2" t="inlineStr">
        <is>
          <t>3179/2026</t>
        </is>
      </c>
      <c r="K1008" s="2" t="inlineStr">
        <is>
          <t>Abierto simplificado</t>
        </is>
      </c>
      <c r="L1008" s="6" t="n">
        <v>1.5</v>
      </c>
      <c r="M1008" s="2" t="inlineStr">
        <is>
          <t>G*-1</t>
        </is>
      </c>
      <c r="N1008" s="7" t="n">
        <v>0</v>
      </c>
      <c r="O1008" s="4" t="n"/>
      <c r="P1008" s="2" t="inlineStr">
        <is>
          <t>45233252</t>
        </is>
      </c>
      <c r="Q1008" s="8" t="inlineStr">
        <is>
          <t>Ver</t>
        </is>
      </c>
      <c r="R1008" s="8" t="inlineStr">
        <is>
          <t>PCAP</t>
        </is>
      </c>
      <c r="S1008" s="9" t="n">
        <v>46317</v>
      </c>
      <c r="T1008" s="3" t="n">
        <v>46316.35071759259</v>
      </c>
      <c r="U1008" s="2" t="n"/>
    </row>
    <row r="1009">
      <c r="A1009" s="2" t="inlineStr">
        <is>
          <t>Resuelta</t>
        </is>
      </c>
      <c r="B1009" s="3" t="n">
        <v>46286.99930555555</v>
      </c>
      <c r="C1009" s="5" t="n">
        <v>57263.62</v>
      </c>
      <c r="D1009" s="5" t="n">
        <v>57263.62</v>
      </c>
      <c r="E1009" s="2" t="inlineStr">
        <is>
          <t>Andalucía</t>
        </is>
      </c>
      <c r="F1009" s="2" t="inlineStr">
        <is>
          <t>Málaga</t>
        </is>
      </c>
      <c r="G1009" s="2" t="n"/>
      <c r="H1009" s="2" t="inlineStr">
        <is>
          <t>Junta de Gobierno del Ayuntamiento de Fuengirola</t>
        </is>
      </c>
      <c r="I1009" s="2" t="inlineStr">
        <is>
          <t>Obras de reparación de los daños ocasionados por las inundaciones del 4 de enero de 2026 en la balsa de decantación de arenas del Río Fuengirola, en el T.M. de Fuengirola</t>
        </is>
      </c>
      <c r="J1009" s="2" t="inlineStr">
        <is>
          <t>CONTR-2026000081</t>
        </is>
      </c>
      <c r="K1009" s="2" t="inlineStr">
        <is>
          <t>Abierto simplificado</t>
        </is>
      </c>
      <c r="L1009" s="6" t="n">
        <v>0.7</v>
      </c>
      <c r="M1009" s="2" t="n"/>
      <c r="N1009" s="7" t="n">
        <v>0</v>
      </c>
      <c r="O1009" s="4" t="n"/>
      <c r="P1009" s="2" t="inlineStr">
        <is>
          <t>45111200; 45112000</t>
        </is>
      </c>
      <c r="Q1009" s="8" t="inlineStr">
        <is>
          <t>Ver</t>
        </is>
      </c>
      <c r="R1009" s="8" t="inlineStr">
        <is>
          <t>PCAP</t>
        </is>
      </c>
      <c r="S1009" s="9" t="n">
        <v>46310</v>
      </c>
      <c r="T1009" s="3" t="n">
        <v>46316.34543981482</v>
      </c>
      <c r="U1009" s="2" t="inlineStr">
        <is>
          <t>2026-10-22: estado ADJ → RES</t>
        </is>
      </c>
    </row>
    <row r="1010">
      <c r="A1010" s="2" t="inlineStr">
        <is>
          <t>En plazo</t>
        </is>
      </c>
      <c r="B1010" s="3" t="n">
        <v>46335.99930555555</v>
      </c>
      <c r="C1010" s="5" t="n">
        <v>108201.18</v>
      </c>
      <c r="D1010" s="5" t="n">
        <v>108201.18</v>
      </c>
      <c r="E1010" s="2" t="inlineStr">
        <is>
          <t>Andalucía</t>
        </is>
      </c>
      <c r="F1010" s="2" t="inlineStr">
        <is>
          <t>Granada</t>
        </is>
      </c>
      <c r="G1010" s="2" t="n"/>
      <c r="H1010" s="2" t="inlineStr">
        <is>
          <t>Alcaldía del Ayuntamiento de Las Gabias</t>
        </is>
      </c>
      <c r="I1010" s="2" t="inlineStr">
        <is>
          <t>Reparación de daños producidos por temporal e inversiones de carácter preventivo en Las Gabias.</t>
        </is>
      </c>
      <c r="J1010" s="2" t="inlineStr">
        <is>
          <t>963/2026</t>
        </is>
      </c>
      <c r="K1010" s="2" t="inlineStr">
        <is>
          <t>Abierto simplificado</t>
        </is>
      </c>
      <c r="L1010" s="6" t="n">
        <v>2</v>
      </c>
      <c r="M1010" s="2" t="n"/>
      <c r="N1010" s="7" t="n">
        <v>0</v>
      </c>
      <c r="O1010" s="4" t="n">
        <v>6</v>
      </c>
      <c r="P1010" s="2" t="inlineStr">
        <is>
          <t>45261420; 45261900; 45261320; 45421132; 45212190</t>
        </is>
      </c>
      <c r="Q1010" s="8" t="inlineStr">
        <is>
          <t>Ver</t>
        </is>
      </c>
      <c r="R1010" s="8" t="inlineStr">
        <is>
          <t>PCAP</t>
        </is>
      </c>
      <c r="S1010" s="9" t="n">
        <v>46317</v>
      </c>
      <c r="T1010" s="3" t="n">
        <v>46316.34349537037</v>
      </c>
      <c r="U1010" s="2" t="n"/>
    </row>
    <row r="1011">
      <c r="A1011" s="2" t="inlineStr">
        <is>
          <t>En plazo</t>
        </is>
      </c>
      <c r="B1011" s="3" t="n">
        <v>46330.99930555555</v>
      </c>
      <c r="C1011" s="5" t="n">
        <v>33057.85</v>
      </c>
      <c r="D1011" s="5" t="n">
        <v>33057.85</v>
      </c>
      <c r="E1011" s="2" t="inlineStr">
        <is>
          <t>Comunitat Valenciana</t>
        </is>
      </c>
      <c r="F1011" s="2" t="inlineStr">
        <is>
          <t>Castellón</t>
        </is>
      </c>
      <c r="G1011" s="2" t="inlineStr">
        <is>
          <t>MORELLA (CASTELLON)</t>
        </is>
      </c>
      <c r="H1011" s="2" t="inlineStr">
        <is>
          <t>Comandancia Guardia Civil de Castellón</t>
        </is>
      </c>
      <c r="I1011" s="2" t="inlineStr">
        <is>
          <t>Obra reparación/impermeabilización azotea bloque principal de estancias oficiales del Acuartelamiento de la Guardia Civil de Morella (Castellón).</t>
        </is>
      </c>
      <c r="J1011" s="2" t="inlineStr">
        <is>
          <t>P/0123/Y/26/6</t>
        </is>
      </c>
      <c r="K1011" s="2" t="inlineStr">
        <is>
          <t>Abierto simplificado</t>
        </is>
      </c>
      <c r="L1011" s="6" t="n">
        <v>1.6</v>
      </c>
      <c r="M1011" s="2" t="n"/>
      <c r="N1011" s="7" t="n">
        <v>0</v>
      </c>
      <c r="O1011" s="4" t="n"/>
      <c r="P1011" s="2" t="inlineStr">
        <is>
          <t>45000000; 45450000</t>
        </is>
      </c>
      <c r="Q1011" s="8" t="inlineStr">
        <is>
          <t>Ver</t>
        </is>
      </c>
      <c r="R1011" s="8" t="inlineStr">
        <is>
          <t>PCAP</t>
        </is>
      </c>
      <c r="S1011" s="9" t="n">
        <v>46317</v>
      </c>
      <c r="T1011" s="3" t="n">
        <v>46316.34275462963</v>
      </c>
      <c r="U1011" s="2" t="n"/>
    </row>
    <row r="1012">
      <c r="A1012" s="2" t="inlineStr">
        <is>
          <t>Resuelta</t>
        </is>
      </c>
      <c r="B1012" s="3" t="n">
        <v>46239.54166666666</v>
      </c>
      <c r="C1012" s="5" t="n">
        <v>526779.51</v>
      </c>
      <c r="D1012" s="5" t="n">
        <v>526779.51</v>
      </c>
      <c r="E1012" s="2" t="inlineStr">
        <is>
          <t>Andalucía</t>
        </is>
      </c>
      <c r="F1012" s="2" t="inlineStr">
        <is>
          <t>Almería</t>
        </is>
      </c>
      <c r="G1012" s="2" t="inlineStr">
        <is>
          <t>Almeria</t>
        </is>
      </c>
      <c r="H1012" s="2" t="inlineStr">
        <is>
          <t>Rectorado de la Universidad de Almería</t>
        </is>
      </c>
      <c r="I1012" s="2" t="inlineStr">
        <is>
          <t>ejecución de las obras necesarias para la instalación de un sistema solar fotovoltaico para autoconsumo en la cubierta de los edificios departamentales de la Universidad de Almería, ubicado en el campus de La Cañada de San Urbano</t>
        </is>
      </c>
      <c r="J1012" s="2" t="inlineStr">
        <is>
          <t>1095</t>
        </is>
      </c>
      <c r="K1012" s="2" t="inlineStr">
        <is>
          <t>Abierto simplificado</t>
        </is>
      </c>
      <c r="L1012" s="6" t="n">
        <v>4</v>
      </c>
      <c r="M1012" s="2" t="n"/>
      <c r="N1012" s="7" t="n">
        <v>0</v>
      </c>
      <c r="O1012" s="4" t="n"/>
      <c r="P1012" s="2" t="inlineStr">
        <is>
          <t>45310000; 09332000; 45261215; 09331000; 09331200; 09330000</t>
        </is>
      </c>
      <c r="Q1012" s="8" t="inlineStr">
        <is>
          <t>Ver</t>
        </is>
      </c>
      <c r="R1012" s="8" t="inlineStr">
        <is>
          <t>PCAP</t>
        </is>
      </c>
      <c r="S1012" s="9" t="n">
        <v>46315</v>
      </c>
      <c r="T1012" s="3" t="n">
        <v>46316.33378472222</v>
      </c>
      <c r="U1012" s="2" t="inlineStr">
        <is>
          <t>2026-10-22: estado ADJ → RES</t>
        </is>
      </c>
    </row>
    <row r="1013">
      <c r="A1013" s="2" t="inlineStr">
        <is>
          <t>Plazo vencido</t>
        </is>
      </c>
      <c r="B1013" s="3" t="n">
        <v>46321.58333333334</v>
      </c>
      <c r="C1013" s="5" t="n">
        <v>792000</v>
      </c>
      <c r="D1013" s="5" t="n">
        <v>1742400</v>
      </c>
      <c r="E1013" s="2" t="inlineStr">
        <is>
          <t>Comunitat Valenciana</t>
        </is>
      </c>
      <c r="F1013" s="2" t="inlineStr">
        <is>
          <t>Valencia</t>
        </is>
      </c>
      <c r="G1013" s="2" t="n"/>
      <c r="H1013" s="2" t="inlineStr">
        <is>
          <t>Presidencia de la Entidad Valenciana de Vivienda y Suelo</t>
        </is>
      </c>
      <c r="I1013" s="2" t="inlineStr">
        <is>
          <t>Mantenimiento correctivo (incluyendo la gestión integral de reclamaciones) de los inmuebles que componen el patrimonio público de viviendas de la Generalitat en la provincia de Castellón para los ejercicios 2027/2028.</t>
        </is>
      </c>
      <c r="J1013" s="2" t="inlineStr">
        <is>
          <t>CMAYOR/2026/EVHA0/0012</t>
        </is>
      </c>
      <c r="K1013" s="2" t="inlineStr">
        <is>
          <t>Abierto</t>
        </is>
      </c>
      <c r="L1013" s="6" t="n">
        <v>24</v>
      </c>
      <c r="M1013" s="2" t="inlineStr">
        <is>
          <t>I6-1; C4-2; J4-1; C9-2</t>
        </is>
      </c>
      <c r="N1013" s="7" t="n">
        <v>0.4</v>
      </c>
      <c r="O1013" s="4" t="n"/>
      <c r="P1013" s="2" t="inlineStr">
        <is>
          <t>45200000; 71000000</t>
        </is>
      </c>
      <c r="Q1013" s="8" t="inlineStr">
        <is>
          <t>Ver</t>
        </is>
      </c>
      <c r="R1013" s="8" t="inlineStr">
        <is>
          <t>PCAP</t>
        </is>
      </c>
      <c r="S1013" s="9" t="n">
        <v>46317</v>
      </c>
      <c r="T1013" s="3" t="n">
        <v>46316.33206018519</v>
      </c>
      <c r="U1013" s="2" t="n"/>
    </row>
    <row r="1014">
      <c r="A1014" s="2" t="inlineStr">
        <is>
          <t>Resuelta</t>
        </is>
      </c>
      <c r="B1014" s="3" t="n">
        <v>46253.99930555555</v>
      </c>
      <c r="C1014" s="5" t="n">
        <v>547266.03</v>
      </c>
      <c r="D1014" s="5" t="n">
        <v>547266.03</v>
      </c>
      <c r="E1014" s="2" t="inlineStr">
        <is>
          <t>Andalucía</t>
        </is>
      </c>
      <c r="F1014" s="2" t="inlineStr">
        <is>
          <t>Sevilla</t>
        </is>
      </c>
      <c r="G1014" s="2" t="inlineStr">
        <is>
          <t>BRENES</t>
        </is>
      </c>
      <c r="H1014" s="2" t="inlineStr">
        <is>
          <t>Alcaldía del Ayuntamiento de Brenes</t>
        </is>
      </c>
      <c r="I1014" s="2" t="inlineStr">
        <is>
          <t>Contratación de obras de reforma y rehabilitación del edificio antiguo Mercado de Abastos: (Fase I) de rehabilitación y reforma de centro de ocio y esparcimiento en antiguo edificio de Mercado de Abastos</t>
        </is>
      </c>
      <c r="J1014" s="2" t="inlineStr">
        <is>
          <t>2666/2026</t>
        </is>
      </c>
      <c r="K1014" s="2" t="inlineStr">
        <is>
          <t>Abierto simplificado</t>
        </is>
      </c>
      <c r="L1014" s="6" t="n">
        <v>10</v>
      </c>
      <c r="M1014" s="2" t="n"/>
      <c r="N1014" s="7" t="n">
        <v>0</v>
      </c>
      <c r="O1014" s="4" t="n"/>
      <c r="P1014" s="2" t="inlineStr">
        <is>
          <t>45212110</t>
        </is>
      </c>
      <c r="Q1014" s="8" t="inlineStr">
        <is>
          <t>Ver</t>
        </is>
      </c>
      <c r="R1014" s="8" t="inlineStr">
        <is>
          <t>PCAP</t>
        </is>
      </c>
      <c r="S1014" s="9" t="n">
        <v>46310</v>
      </c>
      <c r="T1014" s="3" t="n">
        <v>46316.33126157407</v>
      </c>
      <c r="U1014" s="2" t="n"/>
    </row>
    <row r="1015">
      <c r="A1015" s="2" t="inlineStr">
        <is>
          <t>Resuelta</t>
        </is>
      </c>
      <c r="B1015" s="3" t="n">
        <v>46294.99930555555</v>
      </c>
      <c r="C1015" s="5" t="n">
        <v>1221212.29</v>
      </c>
      <c r="D1015" s="5" t="n">
        <v>1221212.29</v>
      </c>
      <c r="E1015" s="2" t="inlineStr">
        <is>
          <t>Andalucía</t>
        </is>
      </c>
      <c r="F1015" s="2" t="inlineStr">
        <is>
          <t>Córdoba</t>
        </is>
      </c>
      <c r="G1015" s="2" t="n"/>
      <c r="H1015" s="2" t="inlineStr">
        <is>
          <t>Junta de Gobierno de la Diputación Provincial de Córdoba</t>
        </is>
      </c>
      <c r="I1015" s="2" t="inlineStr">
        <is>
          <t>Nuevo campo de fútbol de césped artificial en el SG-D6 y SG-V7 "LLanos de Cristo" del PGOU vigente, en Puente Genil (Córdoba). Obra incluida en el Plan Provincial de Obras y Servicios 2024-2027 (bienio 2025-2026)</t>
        </is>
      </c>
      <c r="J1015" s="2" t="inlineStr">
        <is>
          <t>646/26</t>
        </is>
      </c>
      <c r="K1015" s="2" t="inlineStr">
        <is>
          <t>Abierto</t>
        </is>
      </c>
      <c r="L1015" s="6" t="n">
        <v>12</v>
      </c>
      <c r="M1015" s="2" t="inlineStr">
        <is>
          <t>C4-2; C2-2; C6-3; I9-2</t>
        </is>
      </c>
      <c r="N1015" s="7" t="n">
        <v>0.25</v>
      </c>
      <c r="O1015" s="4" t="n"/>
      <c r="P1015" s="2" t="inlineStr">
        <is>
          <t>45200000; 45212224; 45212200; 45212221; 45212213; 45212230</t>
        </is>
      </c>
      <c r="Q1015" s="8" t="inlineStr">
        <is>
          <t>Ver</t>
        </is>
      </c>
      <c r="R1015" s="8" t="inlineStr">
        <is>
          <t>PCAP</t>
        </is>
      </c>
      <c r="S1015" s="9" t="n">
        <v>46310</v>
      </c>
      <c r="T1015" s="3" t="n">
        <v>46316.32465277778</v>
      </c>
      <c r="U1015" s="2" t="inlineStr">
        <is>
          <t>2026-10-22: estado EV → RES</t>
        </is>
      </c>
    </row>
    <row r="1016">
      <c r="A1016" s="2" t="inlineStr">
        <is>
          <t>En plazo</t>
        </is>
      </c>
      <c r="B1016" s="3" t="n">
        <v>46336.99930555555</v>
      </c>
      <c r="C1016" s="5" t="n">
        <v>122230.72</v>
      </c>
      <c r="D1016" s="5" t="n">
        <v>122230.72</v>
      </c>
      <c r="E1016" s="2" t="inlineStr">
        <is>
          <t>Andalucía</t>
        </is>
      </c>
      <c r="F1016" s="2" t="inlineStr">
        <is>
          <t>Sevilla</t>
        </is>
      </c>
      <c r="G1016" s="2" t="inlineStr">
        <is>
          <t>Sevilla</t>
        </is>
      </c>
      <c r="H1016" s="2" t="inlineStr">
        <is>
          <t>Jefatura de la Sección Económico Administrativa 12 - Agrupación del Acuartelamiento Aéreo Tablada</t>
        </is>
      </c>
      <c r="I1016" s="2" t="inlineStr">
        <is>
          <t>Obra adecuación del Edificio 0040 Agrupación ACAR Tablada.</t>
        </is>
      </c>
      <c r="J1016" s="2" t="inlineStr">
        <is>
          <t>2026/EA12/00001595E</t>
        </is>
      </c>
      <c r="K1016" s="2" t="inlineStr">
        <is>
          <t>Abierto simplificado</t>
        </is>
      </c>
      <c r="L1016" s="6" t="n">
        <v>4</v>
      </c>
      <c r="M1016" s="2" t="n"/>
      <c r="N1016" s="7" t="n">
        <v>0</v>
      </c>
      <c r="O1016" s="4" t="n"/>
      <c r="P1016" s="2" t="inlineStr">
        <is>
          <t>45222000</t>
        </is>
      </c>
      <c r="Q1016" s="8" t="inlineStr">
        <is>
          <t>Ver</t>
        </is>
      </c>
      <c r="R1016" s="8" t="inlineStr">
        <is>
          <t>PCAP</t>
        </is>
      </c>
      <c r="S1016" s="9" t="n">
        <v>46317</v>
      </c>
      <c r="T1016" s="3" t="n">
        <v>46316.30434027778</v>
      </c>
      <c r="U1016" s="2" t="n"/>
    </row>
    <row r="1017">
      <c r="A1017" s="2" t="inlineStr">
        <is>
          <t>Resuelta</t>
        </is>
      </c>
      <c r="B1017" s="3" t="n">
        <v>46188.99930555555</v>
      </c>
      <c r="C1017" s="5" t="n">
        <v>3396211.63</v>
      </c>
      <c r="D1017" s="5" t="n">
        <v>3735832.79</v>
      </c>
      <c r="E1017" s="2" t="inlineStr">
        <is>
          <t>Comunitat Valenciana</t>
        </is>
      </c>
      <c r="F1017" s="2" t="inlineStr">
        <is>
          <t>Valencia</t>
        </is>
      </c>
      <c r="G1017" s="2" t="inlineStr">
        <is>
          <t>Picassent</t>
        </is>
      </c>
      <c r="H1017" s="2" t="inlineStr">
        <is>
          <t>Pleno del Ayuntamiento de Picassent</t>
        </is>
      </c>
      <c r="I1017" s="2" t="inlineStr">
        <is>
          <t>Rehabilitación energética y mejora funcional del complejo del Polideportivo Municipal.</t>
        </is>
      </c>
      <c r="J1017" s="2" t="inlineStr">
        <is>
          <t>2543330D</t>
        </is>
      </c>
      <c r="K1017" s="2" t="inlineStr">
        <is>
          <t>Abierto</t>
        </is>
      </c>
      <c r="L1017" s="6" t="n">
        <v>12</v>
      </c>
      <c r="M1017" s="2" t="inlineStr">
        <is>
          <t>I9-3; J4-3; J2-3; C4-4</t>
        </is>
      </c>
      <c r="N1017" s="7" t="n">
        <v>0</v>
      </c>
      <c r="O1017" s="4" t="n"/>
      <c r="P1017" s="2" t="inlineStr">
        <is>
          <t>45261000; 45262700; 45262800; 45315000; 45300000; 45262650</t>
        </is>
      </c>
      <c r="Q1017" s="8" t="inlineStr">
        <is>
          <t>Ver</t>
        </is>
      </c>
      <c r="R1017" s="8" t="inlineStr">
        <is>
          <t>PCAP</t>
        </is>
      </c>
      <c r="S1017" s="9" t="n">
        <v>46317</v>
      </c>
      <c r="T1017" s="3" t="n">
        <v>46315.91356481481</v>
      </c>
      <c r="U1017" s="2" t="n"/>
    </row>
    <row r="1018">
      <c r="A1018" s="2" t="inlineStr">
        <is>
          <t>Resuelta</t>
        </is>
      </c>
      <c r="B1018" s="3" t="n">
        <v>46099.99930555555</v>
      </c>
      <c r="C1018" s="5" t="n">
        <v>1166418.7</v>
      </c>
      <c r="D1018" s="5" t="n">
        <v>1283060.5</v>
      </c>
      <c r="E1018" s="2" t="inlineStr">
        <is>
          <t>Comunitat Valenciana</t>
        </is>
      </c>
      <c r="F1018" s="2" t="inlineStr">
        <is>
          <t>Valencia</t>
        </is>
      </c>
      <c r="G1018" s="2" t="n"/>
      <c r="H1018" s="2" t="inlineStr">
        <is>
          <t>Alcaldía del Ayuntamiento de Picassent</t>
        </is>
      </c>
      <c r="I1018" s="2" t="inlineStr">
        <is>
          <t>Construcción Pista Cubierta Deportiva en Polideportivo Municipal</t>
        </is>
      </c>
      <c r="J1018" s="2" t="inlineStr">
        <is>
          <t>2694272W</t>
        </is>
      </c>
      <c r="K1018" s="2" t="inlineStr">
        <is>
          <t>Abierto simplificado</t>
        </is>
      </c>
      <c r="L1018" s="6" t="n">
        <v>12</v>
      </c>
      <c r="M1018" s="2" t="inlineStr">
        <is>
          <t>C3-4; C7-4; C9-4; C6-4; C4-4</t>
        </is>
      </c>
      <c r="N1018" s="7" t="n">
        <v>0</v>
      </c>
      <c r="O1018" s="4" t="n"/>
      <c r="P1018" s="2" t="inlineStr">
        <is>
          <t>45212000; 45210000</t>
        </is>
      </c>
      <c r="Q1018" s="8" t="inlineStr">
        <is>
          <t>Ver</t>
        </is>
      </c>
      <c r="R1018" s="8" t="inlineStr">
        <is>
          <t>PCAP</t>
        </is>
      </c>
      <c r="S1018" s="9" t="n">
        <v>46317</v>
      </c>
      <c r="T1018" s="3" t="n">
        <v>46315.85741898148</v>
      </c>
      <c r="U1018" s="2" t="n"/>
    </row>
    <row r="1019">
      <c r="A1019" s="2" t="inlineStr">
        <is>
          <t>Resuelta</t>
        </is>
      </c>
      <c r="B1019" s="3" t="n">
        <v>46237.99930555555</v>
      </c>
      <c r="C1019" s="5" t="n">
        <v>1537591.52</v>
      </c>
      <c r="D1019" s="5" t="n">
        <v>1998868.97</v>
      </c>
      <c r="E1019" s="2" t="inlineStr">
        <is>
          <t>Comunitat Valenciana</t>
        </is>
      </c>
      <c r="F1019" s="2" t="inlineStr">
        <is>
          <t>Valencia</t>
        </is>
      </c>
      <c r="G1019" s="2" t="n"/>
      <c r="H1019" s="2" t="inlineStr">
        <is>
          <t>Consorcio Hospital General Universitario de Valencia</t>
        </is>
      </c>
      <c r="I1019" s="2" t="inlineStr">
        <is>
          <t>Obras, respetuosas con el medioambiente, para la reforma de las salas blancas de farmacia.</t>
        </is>
      </c>
      <c r="J1019" s="2" t="inlineStr">
        <is>
          <t>CMAYOR/2026/HGUV0/1667</t>
        </is>
      </c>
      <c r="K1019" s="2" t="inlineStr">
        <is>
          <t>Abierto simplificado</t>
        </is>
      </c>
      <c r="L1019" s="6" t="n">
        <v>8</v>
      </c>
      <c r="M1019" s="2" t="n"/>
      <c r="N1019" s="7" t="n">
        <v>0.23</v>
      </c>
      <c r="O1019" s="4" t="n"/>
      <c r="P1019" s="2" t="inlineStr">
        <is>
          <t>45215100; 45214631; 45215140</t>
        </is>
      </c>
      <c r="Q1019" s="8" t="inlineStr">
        <is>
          <t>Ver</t>
        </is>
      </c>
      <c r="R1019" s="8" t="inlineStr">
        <is>
          <t>PCAP</t>
        </is>
      </c>
      <c r="S1019" s="9" t="n">
        <v>46310</v>
      </c>
      <c r="T1019" s="3" t="n">
        <v>46315.77202546296</v>
      </c>
      <c r="U1019" s="2" t="inlineStr">
        <is>
          <t>2026-10-22: estado ADJ → RES</t>
        </is>
      </c>
    </row>
    <row r="1020">
      <c r="A1020" s="2" t="inlineStr">
        <is>
          <t>Resuelta</t>
        </is>
      </c>
      <c r="B1020" s="3" t="n">
        <v>46282.99930555555</v>
      </c>
      <c r="C1020" s="5" t="n">
        <v>765061.1800000001</v>
      </c>
      <c r="D1020" s="5" t="n">
        <v>765061.1800000001</v>
      </c>
      <c r="E1020" s="2" t="inlineStr">
        <is>
          <t>Andalucía</t>
        </is>
      </c>
      <c r="F1020" s="2" t="inlineStr">
        <is>
          <t>Granada</t>
        </is>
      </c>
      <c r="G1020" s="2" t="n"/>
      <c r="H1020" s="2" t="inlineStr">
        <is>
          <t>Junta de Gobierno Local del Ayuntamiento de Guadix</t>
        </is>
      </c>
      <c r="I1020" s="2" t="inlineStr">
        <is>
          <t>Obras de Acondicionamiento de Redes y Pavimentación en Carrera de las Cruces</t>
        </is>
      </c>
      <c r="J1020" s="2" t="inlineStr">
        <is>
          <t>653/2025</t>
        </is>
      </c>
      <c r="K1020" s="2" t="inlineStr">
        <is>
          <t>Abierto simplificado</t>
        </is>
      </c>
      <c r="L1020" s="6" t="n">
        <v>7</v>
      </c>
      <c r="M1020" s="2" t="inlineStr">
        <is>
          <t>G3-3</t>
        </is>
      </c>
      <c r="N1020" s="7" t="n">
        <v>0.25</v>
      </c>
      <c r="O1020" s="4" t="n"/>
      <c r="P1020" s="2" t="inlineStr">
        <is>
          <t>45000000; 45233140; 45111100; 45233222; 45233223</t>
        </is>
      </c>
      <c r="Q1020" s="8" t="inlineStr">
        <is>
          <t>Ver</t>
        </is>
      </c>
      <c r="R1020" s="8" t="inlineStr">
        <is>
          <t>PCAP</t>
        </is>
      </c>
      <c r="S1020" s="9" t="n">
        <v>46317</v>
      </c>
      <c r="T1020" s="3" t="n">
        <v>46315.7702662037</v>
      </c>
      <c r="U1020" s="2" t="n"/>
    </row>
    <row r="1021">
      <c r="A1021" s="2" t="inlineStr">
        <is>
          <t>En plazo</t>
        </is>
      </c>
      <c r="B1021" s="3" t="n">
        <v>46335.99930555555</v>
      </c>
      <c r="C1021" s="5" t="n">
        <v>122612.12</v>
      </c>
      <c r="D1021" s="5" t="n">
        <v>122612.12</v>
      </c>
      <c r="E1021" s="2" t="inlineStr">
        <is>
          <t>Comunitat Valenciana</t>
        </is>
      </c>
      <c r="F1021" s="2" t="inlineStr">
        <is>
          <t>Valencia</t>
        </is>
      </c>
      <c r="G1021" s="2" t="inlineStr">
        <is>
          <t>Almassera</t>
        </is>
      </c>
      <c r="H1021" s="2" t="inlineStr">
        <is>
          <t>Junta de Gobierno del Ayuntamiento de Almàssera</t>
        </is>
      </c>
      <c r="I1021" s="2" t="inlineStr">
        <is>
          <t>Derribo casa calle Cervantes nº 5 y ejecución de aparcamiento provisional en el Municipio de Almàssera</t>
        </is>
      </c>
      <c r="J1021" s="2" t="inlineStr">
        <is>
          <t>2408/2025</t>
        </is>
      </c>
      <c r="K1021" s="2" t="inlineStr">
        <is>
          <t>Abierto simplificado</t>
        </is>
      </c>
      <c r="L1021" s="6" t="n">
        <v>6</v>
      </c>
      <c r="M1021" s="2" t="n"/>
      <c r="N1021" s="7" t="n">
        <v>0</v>
      </c>
      <c r="O1021" s="4" t="n">
        <v>2</v>
      </c>
      <c r="P1021" s="2" t="inlineStr">
        <is>
          <t>45111100; 45233222</t>
        </is>
      </c>
      <c r="Q1021" s="8" t="inlineStr">
        <is>
          <t>Ver</t>
        </is>
      </c>
      <c r="R1021" s="8" t="inlineStr">
        <is>
          <t>PCAP</t>
        </is>
      </c>
      <c r="S1021" s="9" t="n">
        <v>46317</v>
      </c>
      <c r="T1021" s="3" t="n">
        <v>46315.76638888889</v>
      </c>
      <c r="U1021" s="2" t="n"/>
    </row>
    <row r="1022">
      <c r="A1022" s="2" t="inlineStr">
        <is>
          <t>Adjudicada</t>
        </is>
      </c>
      <c r="B1022" s="3" t="n">
        <v>46237.58333333334</v>
      </c>
      <c r="C1022" s="5" t="n">
        <v>281922.66</v>
      </c>
      <c r="D1022" s="5" t="n">
        <v>281922.66</v>
      </c>
      <c r="E1022" s="2" t="inlineStr">
        <is>
          <t>Andalucía</t>
        </is>
      </c>
      <c r="F1022" s="2" t="inlineStr">
        <is>
          <t>Sevilla</t>
        </is>
      </c>
      <c r="G1022" s="2" t="inlineStr">
        <is>
          <t>Tomares</t>
        </is>
      </c>
      <c r="H1022" s="2" t="inlineStr">
        <is>
          <t>Alcaldía del Ayuntamiento de Tomares</t>
        </is>
      </c>
      <c r="I1022" s="2" t="inlineStr">
        <is>
          <t>Reurbanización aparcamientos Néstor Almendros, Tomares (Sevilla); Plan Provincial Sevilla 107</t>
        </is>
      </c>
      <c r="J1022" s="2" t="inlineStr">
        <is>
          <t>12774/2025</t>
        </is>
      </c>
      <c r="K1022" s="2" t="inlineStr">
        <is>
          <t>Abierto simplificado</t>
        </is>
      </c>
      <c r="L1022" s="6" t="n">
        <v>6</v>
      </c>
      <c r="M1022" s="2" t="n"/>
      <c r="N1022" s="7" t="n">
        <v>0</v>
      </c>
      <c r="O1022" s="4" t="n"/>
      <c r="P1022" s="2" t="inlineStr">
        <is>
          <t>45233200; 45233252; 45112712</t>
        </is>
      </c>
      <c r="Q1022" s="8" t="inlineStr">
        <is>
          <t>Ver</t>
        </is>
      </c>
      <c r="R1022" s="8" t="inlineStr">
        <is>
          <t>PCAP</t>
        </is>
      </c>
      <c r="S1022" s="9" t="n">
        <v>46310</v>
      </c>
      <c r="T1022" s="3" t="n">
        <v>46315.70226851852</v>
      </c>
      <c r="U1022" s="2" t="inlineStr">
        <is>
          <t>2026-10-22: estado EV → ADJ</t>
        </is>
      </c>
    </row>
    <row r="1023">
      <c r="A1023" s="2" t="inlineStr">
        <is>
          <t>En plazo</t>
        </is>
      </c>
      <c r="B1023" s="3" t="n">
        <v>46335.99930555555</v>
      </c>
      <c r="C1023" s="5" t="n">
        <v>101239.67</v>
      </c>
      <c r="D1023" s="5" t="n">
        <v>101239.67</v>
      </c>
      <c r="E1023" s="2" t="inlineStr">
        <is>
          <t>Andalucía</t>
        </is>
      </c>
      <c r="F1023" s="2" t="inlineStr">
        <is>
          <t>Cádiz</t>
        </is>
      </c>
      <c r="G1023" s="2" t="inlineStr">
        <is>
          <t>GRAZALEMA</t>
        </is>
      </c>
      <c r="H1023" s="2" t="inlineStr">
        <is>
          <t>Alcaldía del Ayuntamiento de Grazalema</t>
        </is>
      </c>
      <c r="I1023" s="2" t="inlineStr">
        <is>
          <t>Contrato de Obra para la Construcción de Pista de Skate en Espacio Público Deportivo Los Peñascos financiada por el Plan Provincial de Cooperación a las Obras y Servicios de competencia municipal 2026-2027</t>
        </is>
      </c>
      <c r="J1023" s="2" t="inlineStr">
        <is>
          <t>1193/2026</t>
        </is>
      </c>
      <c r="K1023" s="2" t="inlineStr">
        <is>
          <t>Abierto simplificado</t>
        </is>
      </c>
      <c r="L1023" s="6" t="n">
        <v>9</v>
      </c>
      <c r="M1023" s="2" t="n"/>
      <c r="N1023" s="7" t="n">
        <v>0</v>
      </c>
      <c r="O1023" s="4" t="n"/>
      <c r="P1023" s="2" t="inlineStr">
        <is>
          <t>45212211; 45262520; 45233200; 45330000; 45111000; 45111100; 45110000; 44411000</t>
        </is>
      </c>
      <c r="Q1023" s="8" t="inlineStr">
        <is>
          <t>Ver</t>
        </is>
      </c>
      <c r="R1023" s="8" t="inlineStr">
        <is>
          <t>PCAP</t>
        </is>
      </c>
      <c r="S1023" s="9" t="n">
        <v>46317</v>
      </c>
      <c r="T1023" s="3" t="n">
        <v>46315.69563657408</v>
      </c>
      <c r="U1023" s="2" t="n"/>
    </row>
    <row r="1024">
      <c r="A1024" s="2" t="inlineStr">
        <is>
          <t>Pendiente de adjudicación</t>
        </is>
      </c>
      <c r="B1024" s="3" t="n">
        <v>46310.99930555555</v>
      </c>
      <c r="C1024" s="5" t="n">
        <v>140942.66</v>
      </c>
      <c r="D1024" s="5" t="n">
        <v>169131.19</v>
      </c>
      <c r="E1024" s="2" t="inlineStr">
        <is>
          <t>Comunitat Valenciana</t>
        </is>
      </c>
      <c r="F1024" s="2" t="inlineStr">
        <is>
          <t>Castellón</t>
        </is>
      </c>
      <c r="G1024" s="2" t="inlineStr">
        <is>
          <t>Fanzara</t>
        </is>
      </c>
      <c r="H1024" s="2" t="inlineStr">
        <is>
          <t>Pleno del Ayuntamiento de Fanzara</t>
        </is>
      </c>
      <c r="I1024" s="2" t="inlineStr">
        <is>
          <t>Mejora del Firme y Renovación de Redes en Calle Purísima y Avenida Constitución</t>
        </is>
      </c>
      <c r="J1024" s="2" t="inlineStr">
        <is>
          <t>159/2026</t>
        </is>
      </c>
      <c r="K1024" s="2" t="inlineStr">
        <is>
          <t>Abierto simplificado</t>
        </is>
      </c>
      <c r="L1024" s="6" t="n">
        <v>4</v>
      </c>
      <c r="M1024" s="2" t="n"/>
      <c r="N1024" s="7" t="n">
        <v>0</v>
      </c>
      <c r="O1024" s="4" t="n"/>
      <c r="P1024" s="2" t="inlineStr">
        <is>
          <t>45000000; 45232000; 45233252</t>
        </is>
      </c>
      <c r="Q1024" s="8" t="inlineStr">
        <is>
          <t>Ver</t>
        </is>
      </c>
      <c r="R1024" s="8" t="inlineStr">
        <is>
          <t>PCAP</t>
        </is>
      </c>
      <c r="S1024" s="9" t="n">
        <v>46317</v>
      </c>
      <c r="T1024" s="3" t="n">
        <v>46315.66136574074</v>
      </c>
      <c r="U1024" s="2" t="n"/>
    </row>
    <row r="1025">
      <c r="A1025" s="2" t="inlineStr">
        <is>
          <t>En plazo</t>
        </is>
      </c>
      <c r="B1025" s="3" t="n">
        <v>46331</v>
      </c>
      <c r="C1025" s="5" t="n">
        <v>255003</v>
      </c>
      <c r="D1025" s="5" t="n">
        <v>255003</v>
      </c>
      <c r="E1025" s="2" t="inlineStr">
        <is>
          <t>Comunitat Valenciana</t>
        </is>
      </c>
      <c r="F1025" s="2" t="inlineStr">
        <is>
          <t>Valencia</t>
        </is>
      </c>
      <c r="G1025" s="2" t="inlineStr">
        <is>
          <t>Gandia</t>
        </is>
      </c>
      <c r="H1025" s="2" t="inlineStr">
        <is>
          <t>Presidencia de la Mancomunitat de Municipis de la Safor</t>
        </is>
      </c>
      <c r="I1025" s="2" t="inlineStr">
        <is>
          <t>Adecuación local C/Pintor Sorolla para punto de encuentro familiar</t>
        </is>
      </c>
      <c r="J1025" s="2" t="inlineStr">
        <is>
          <t>1528/2026</t>
        </is>
      </c>
      <c r="K1025" s="2" t="inlineStr">
        <is>
          <t>Abierto simplificado</t>
        </is>
      </c>
      <c r="L1025" s="6" t="n">
        <v>6</v>
      </c>
      <c r="M1025" s="2" t="n"/>
      <c r="N1025" s="7" t="n">
        <v>0.15</v>
      </c>
      <c r="O1025" s="4" t="n"/>
      <c r="P1025" s="2" t="inlineStr">
        <is>
          <t>45000000; 45210000</t>
        </is>
      </c>
      <c r="Q1025" s="8" t="inlineStr">
        <is>
          <t>Ver</t>
        </is>
      </c>
      <c r="R1025" s="8" t="inlineStr">
        <is>
          <t>PCAP</t>
        </is>
      </c>
      <c r="S1025" s="9" t="n">
        <v>46311</v>
      </c>
      <c r="T1025" s="3" t="n">
        <v>46315.64131944445</v>
      </c>
      <c r="U1025" s="2" t="n"/>
    </row>
    <row r="1026">
      <c r="A1026" s="2" t="inlineStr">
        <is>
          <t>Pendiente de adjudicación</t>
        </is>
      </c>
      <c r="B1026" s="3" t="n">
        <v>46286.99930555555</v>
      </c>
      <c r="C1026" s="5" t="n">
        <v>484988.29</v>
      </c>
      <c r="D1026" s="5" t="n">
        <v>484988.29</v>
      </c>
      <c r="E1026" s="2" t="inlineStr">
        <is>
          <t>Comunitat Valenciana</t>
        </is>
      </c>
      <c r="F1026" s="2" t="inlineStr">
        <is>
          <t>Alicante</t>
        </is>
      </c>
      <c r="G1026" s="2" t="n"/>
      <c r="H1026" s="2" t="inlineStr">
        <is>
          <t>Alcaldía del Ayuntamiento de Elda</t>
        </is>
      </c>
      <c r="I1026" s="2" t="inlineStr">
        <is>
          <t>Obras de ejecución del proyecto de construcción para la renovación de agua potable y sustitución de aceras en varias calles del barrio Nueva Fraternidad en Elda, dentro del PLAN ELDA PARTE DE TI.</t>
        </is>
      </c>
      <c r="J1026" s="2" t="inlineStr">
        <is>
          <t>2026/11570</t>
        </is>
      </c>
      <c r="K1026" s="2" t="inlineStr">
        <is>
          <t>Abierto simplificado</t>
        </is>
      </c>
      <c r="L1026" s="6" t="n">
        <v>6</v>
      </c>
      <c r="M1026" s="2" t="n"/>
      <c r="N1026" s="7" t="n">
        <v>0.25</v>
      </c>
      <c r="O1026" s="4" t="n"/>
      <c r="P1026" s="2" t="inlineStr">
        <is>
          <t>45232150; 44162500; 45232151; 45233222</t>
        </is>
      </c>
      <c r="Q1026" s="8" t="inlineStr">
        <is>
          <t>Ver</t>
        </is>
      </c>
      <c r="R1026" s="8" t="inlineStr">
        <is>
          <t>PCAP</t>
        </is>
      </c>
      <c r="S1026" s="9" t="n">
        <v>46317</v>
      </c>
      <c r="T1026" s="3" t="n">
        <v>46315.63792824074</v>
      </c>
      <c r="U1026" s="2" t="n"/>
    </row>
    <row r="1027">
      <c r="A1027" s="2" t="inlineStr">
        <is>
          <t>En plazo</t>
        </is>
      </c>
      <c r="B1027" s="3" t="n">
        <v>46330.79166666666</v>
      </c>
      <c r="C1027" s="5" t="n">
        <v>25000</v>
      </c>
      <c r="D1027" s="5" t="n">
        <v>1250000</v>
      </c>
      <c r="E1027" s="2" t="inlineStr">
        <is>
          <t>Andalucía</t>
        </is>
      </c>
      <c r="F1027" s="2" t="inlineStr">
        <is>
          <t>Málaga</t>
        </is>
      </c>
      <c r="G1027" s="2" t="n"/>
      <c r="H1027" s="2" t="inlineStr">
        <is>
          <t>Junta de Gobierno Local del Ayuntamiento de Sayalonga</t>
        </is>
      </c>
      <c r="I1027" s="2" t="inlineStr">
        <is>
          <t>Trabajos con excavadoras mecánicas en Sayalonga</t>
        </is>
      </c>
      <c r="J1027" s="2" t="inlineStr">
        <is>
          <t>485/2026</t>
        </is>
      </c>
      <c r="K1027" s="2" t="inlineStr">
        <is>
          <t>Abierto simplificado</t>
        </is>
      </c>
      <c r="L1027" s="6" t="n">
        <v>12</v>
      </c>
      <c r="M1027" s="2" t="n"/>
      <c r="N1027" s="7" t="n">
        <v>0</v>
      </c>
      <c r="O1027" s="4" t="n"/>
      <c r="P1027" s="2" t="inlineStr">
        <is>
          <t>45112000</t>
        </is>
      </c>
      <c r="Q1027" s="8" t="inlineStr">
        <is>
          <t>Ver</t>
        </is>
      </c>
      <c r="R1027" s="8" t="inlineStr">
        <is>
          <t>PCAP</t>
        </is>
      </c>
      <c r="S1027" s="9" t="n">
        <v>46317</v>
      </c>
      <c r="T1027" s="3" t="n">
        <v>46315.62574074074</v>
      </c>
      <c r="U1027" s="2" t="n"/>
    </row>
    <row r="1028">
      <c r="A1028" s="2" t="inlineStr">
        <is>
          <t>Pendiente de adjudicación</t>
        </is>
      </c>
      <c r="B1028" s="3" t="n">
        <v>46293.99930555555</v>
      </c>
      <c r="C1028" s="5" t="n">
        <v>206611.57</v>
      </c>
      <c r="D1028" s="5" t="n">
        <v>206611.57</v>
      </c>
      <c r="E1028" s="2" t="inlineStr">
        <is>
          <t>Andalucía</t>
        </is>
      </c>
      <c r="F1028" s="2" t="inlineStr">
        <is>
          <t>Cádiz</t>
        </is>
      </c>
      <c r="G1028" s="2" t="n"/>
      <c r="H1028" s="2" t="inlineStr">
        <is>
          <t>Alcaldía del Ayuntamiento de Trebujena</t>
        </is>
      </c>
      <c r="I1028" s="2" t="inlineStr">
        <is>
          <t>Construcción de edificio funerario de nichos de titularidad municipal en el Cementerio Municipal, incluido en el Plan Provincial de Cooperación a las obras y servicios de competencia municipal 2026-2027 (PPCOS 2026-2027) de la Excma. Diputación Provincial de Cádiz</t>
        </is>
      </c>
      <c r="J1028" s="2" t="inlineStr">
        <is>
          <t>2026/2363/03</t>
        </is>
      </c>
      <c r="K1028" s="2" t="inlineStr">
        <is>
          <t>Abierto simplificado</t>
        </is>
      </c>
      <c r="L1028" s="6" t="n">
        <v>9</v>
      </c>
      <c r="M1028" s="2" t="n"/>
      <c r="N1028" s="7" t="n">
        <v>0</v>
      </c>
      <c r="O1028" s="4" t="n"/>
      <c r="P1028" s="2" t="inlineStr">
        <is>
          <t>45000000; 45215400; 45223500</t>
        </is>
      </c>
      <c r="Q1028" s="8" t="inlineStr">
        <is>
          <t>Ver</t>
        </is>
      </c>
      <c r="R1028" s="8" t="inlineStr">
        <is>
          <t>PCAP</t>
        </is>
      </c>
      <c r="S1028" s="9" t="n">
        <v>46317</v>
      </c>
      <c r="T1028" s="3" t="n">
        <v>46315.62207175926</v>
      </c>
      <c r="U1028" s="2" t="n"/>
    </row>
    <row r="1029">
      <c r="A1029" s="2" t="inlineStr">
        <is>
          <t>Resuelta</t>
        </is>
      </c>
      <c r="B1029" s="3" t="n">
        <v>45518.99930555555</v>
      </c>
      <c r="C1029" s="5" t="n">
        <v>123858.75</v>
      </c>
      <c r="D1029" s="5" t="n">
        <v>123858.75</v>
      </c>
      <c r="E1029" s="2" t="inlineStr">
        <is>
          <t>Andalucía</t>
        </is>
      </c>
      <c r="F1029" s="2" t="inlineStr">
        <is>
          <t>Córdoba</t>
        </is>
      </c>
      <c r="G1029" s="2" t="inlineStr">
        <is>
          <t>Montilla</t>
        </is>
      </c>
      <c r="H1029" s="2" t="inlineStr">
        <is>
          <t>Alcaldía del Ayuntamiento de Montilla</t>
        </is>
      </c>
      <c r="I1029" s="2" t="inlineStr">
        <is>
          <t>Obras proyecto de reurbanización de acerado margen derecho c/ Cuesta de la Pena. Montilla (Córdoba)</t>
        </is>
      </c>
      <c r="J1029" s="2" t="inlineStr">
        <is>
          <t>19787/2024</t>
        </is>
      </c>
      <c r="K1029" s="2" t="inlineStr">
        <is>
          <t>Abierto simplificado</t>
        </is>
      </c>
      <c r="L1029" s="6" t="n">
        <v>3</v>
      </c>
      <c r="M1029" s="2" t="n"/>
      <c r="N1029" s="7" t="n">
        <v>0.25</v>
      </c>
      <c r="O1029" s="4" t="n"/>
      <c r="P1029" s="2" t="inlineStr">
        <is>
          <t>45233252</t>
        </is>
      </c>
      <c r="Q1029" s="8" t="inlineStr">
        <is>
          <t>Ver</t>
        </is>
      </c>
      <c r="R1029" s="8" t="inlineStr">
        <is>
          <t>PCAP</t>
        </is>
      </c>
      <c r="S1029" s="9" t="n">
        <v>46317</v>
      </c>
      <c r="T1029" s="3" t="n">
        <v>46315.62133101852</v>
      </c>
      <c r="U1029" s="2" t="n"/>
    </row>
    <row r="1030">
      <c r="A1030" s="2" t="inlineStr">
        <is>
          <t>Pendiente de adjudicación</t>
        </is>
      </c>
      <c r="B1030" s="3" t="n">
        <v>46309.99930555555</v>
      </c>
      <c r="C1030" s="5" t="n">
        <v>165289.26</v>
      </c>
      <c r="D1030" s="5" t="n">
        <v>165289.26</v>
      </c>
      <c r="E1030" s="2" t="inlineStr">
        <is>
          <t>Andalucía</t>
        </is>
      </c>
      <c r="F1030" s="2" t="inlineStr">
        <is>
          <t>Cádiz</t>
        </is>
      </c>
      <c r="G1030" s="2" t="n"/>
      <c r="H1030" s="2" t="inlineStr">
        <is>
          <t>Alcaldía del Ayuntamiento de Trebujena</t>
        </is>
      </c>
      <c r="I1030" s="2" t="inlineStr">
        <is>
          <t>Contrato de obras consistente en la ejecución del proyecto "Adecuación del cementerio municipal mediante ejecución en el patio civil de cubierta, pasarelas accesibles, osarios y mejora de vías peatonales interiores", incluido en el nuevo Plan de Inversiones de la Diputación 2026 (PLAN + INVERSIÓN CÁDIZ 2026), de la Excma. Diputación Provincial de Cádiz.</t>
        </is>
      </c>
      <c r="J1030" s="2" t="inlineStr">
        <is>
          <t>2026/2363/02</t>
        </is>
      </c>
      <c r="K1030" s="2" t="inlineStr">
        <is>
          <t>Abierto simplificado</t>
        </is>
      </c>
      <c r="L1030" s="6" t="n">
        <v>9</v>
      </c>
      <c r="M1030" s="2" t="n"/>
      <c r="N1030" s="7" t="n">
        <v>0</v>
      </c>
      <c r="O1030" s="4" t="n"/>
      <c r="P1030" s="2" t="inlineStr">
        <is>
          <t>45000000</t>
        </is>
      </c>
      <c r="Q1030" s="8" t="inlineStr">
        <is>
          <t>Ver</t>
        </is>
      </c>
      <c r="R1030" s="8" t="inlineStr">
        <is>
          <t>PCAP</t>
        </is>
      </c>
      <c r="S1030" s="9" t="n">
        <v>46317</v>
      </c>
      <c r="T1030" s="3" t="n">
        <v>46315.620625</v>
      </c>
      <c r="U1030" s="2" t="n"/>
    </row>
    <row r="1031">
      <c r="A1031" s="2" t="inlineStr">
        <is>
          <t>Resuelta</t>
        </is>
      </c>
      <c r="B1031" s="3" t="n">
        <v>46197.99930555555</v>
      </c>
      <c r="C1031" s="5" t="n">
        <v>105887.18</v>
      </c>
      <c r="D1031" s="5" t="n">
        <v>105887.18</v>
      </c>
      <c r="E1031" s="2" t="inlineStr">
        <is>
          <t>Andalucía</t>
        </is>
      </c>
      <c r="F1031" s="2" t="inlineStr">
        <is>
          <t>Córdoba</t>
        </is>
      </c>
      <c r="G1031" s="2" t="inlineStr">
        <is>
          <t>Santaella</t>
        </is>
      </c>
      <c r="H1031" s="2" t="inlineStr">
        <is>
          <t>Alcaldía de Ayuntamiento de Santaella</t>
        </is>
      </c>
      <c r="I1031" s="2" t="inlineStr">
        <is>
          <t>Obras de ampliación de nichos en el cementerio municipal de Santaella (Córdoba).</t>
        </is>
      </c>
      <c r="J1031" s="2" t="inlineStr">
        <is>
          <t>OB-07/26</t>
        </is>
      </c>
      <c r="K1031" s="2" t="inlineStr">
        <is>
          <t>Abierto simplificado</t>
        </is>
      </c>
      <c r="L1031" s="6" t="n">
        <v>3</v>
      </c>
      <c r="M1031" s="2" t="n"/>
      <c r="N1031" s="7" t="n">
        <v>0</v>
      </c>
      <c r="O1031" s="4" t="n"/>
      <c r="P1031" s="2" t="inlineStr">
        <is>
          <t>45215400; 45262800</t>
        </is>
      </c>
      <c r="Q1031" s="8" t="inlineStr">
        <is>
          <t>Ver</t>
        </is>
      </c>
      <c r="R1031" s="8" t="inlineStr">
        <is>
          <t>PCAP</t>
        </is>
      </c>
      <c r="S1031" s="9" t="n">
        <v>46310</v>
      </c>
      <c r="T1031" s="3" t="n">
        <v>46315.61792824074</v>
      </c>
      <c r="U1031" s="2" t="inlineStr">
        <is>
          <t>2026-10-22: estado ADJ → RES</t>
        </is>
      </c>
    </row>
    <row r="1032">
      <c r="A1032" s="2" t="inlineStr">
        <is>
          <t>En plazo</t>
        </is>
      </c>
      <c r="B1032" s="3" t="n">
        <v>46335.99930555555</v>
      </c>
      <c r="C1032" s="5" t="n">
        <v>195233.86</v>
      </c>
      <c r="D1032" s="5" t="n">
        <v>214757.25</v>
      </c>
      <c r="E1032" s="2" t="inlineStr">
        <is>
          <t>Comunitat Valenciana</t>
        </is>
      </c>
      <c r="F1032" s="2" t="inlineStr">
        <is>
          <t>Valencia</t>
        </is>
      </c>
      <c r="G1032" s="2" t="n"/>
      <c r="H1032" s="2" t="inlineStr">
        <is>
          <t>Concejalía Delegada de Contratación del Ajuntament de València</t>
        </is>
      </c>
      <c r="I1032" s="2" t="inlineStr">
        <is>
          <t>Obras mejora de itinerario ciclista y peatonal en la calle Nicolás factor entre las calles María Jordán y Camino Azagador de las Monjas. Presupuestos Participativos 2022-2023.-</t>
        </is>
      </c>
      <c r="J1032" s="2" t="inlineStr">
        <is>
          <t>04101/2026/199-O</t>
        </is>
      </c>
      <c r="K1032" s="2" t="inlineStr">
        <is>
          <t>Abierto simplificado</t>
        </is>
      </c>
      <c r="L1032" s="6" t="n">
        <v>2</v>
      </c>
      <c r="M1032" s="2" t="n"/>
      <c r="N1032" s="7" t="n">
        <v>0</v>
      </c>
      <c r="O1032" s="4" t="n"/>
      <c r="P1032" s="2" t="inlineStr">
        <is>
          <t>45200000</t>
        </is>
      </c>
      <c r="Q1032" s="8" t="inlineStr">
        <is>
          <t>Ver</t>
        </is>
      </c>
      <c r="R1032" s="8" t="inlineStr">
        <is>
          <t>PCAP</t>
        </is>
      </c>
      <c r="S1032" s="9" t="n">
        <v>46317</v>
      </c>
      <c r="T1032" s="3" t="n">
        <v>46315.61575231481</v>
      </c>
      <c r="U1032" s="2" t="n"/>
    </row>
    <row r="1033">
      <c r="A1033" s="2" t="inlineStr">
        <is>
          <t>Pendiente de adjudicación</t>
        </is>
      </c>
      <c r="B1033" s="3" t="n">
        <v>46293.99930555555</v>
      </c>
      <c r="C1033" s="5" t="n">
        <v>61983.47</v>
      </c>
      <c r="D1033" s="5" t="n">
        <v>61983.47</v>
      </c>
      <c r="E1033" s="2" t="inlineStr">
        <is>
          <t>Andalucía</t>
        </is>
      </c>
      <c r="F1033" s="2" t="inlineStr">
        <is>
          <t>Cádiz</t>
        </is>
      </c>
      <c r="G1033" s="2" t="n"/>
      <c r="H1033" s="2" t="inlineStr">
        <is>
          <t>Alcaldía del Ayuntamiento de Trebujena</t>
        </is>
      </c>
      <c r="I1033" s="2" t="inlineStr">
        <is>
          <t>Contrato de obras consistente en la ejecución del proyecto "Implantación de infraestructuras Smart-City y videovigilancia en casco urbano" incluido en el nuevo Plan de Inversiones de la Diputación 2026 (PLAN + INVERSIÓN CÁDIZ 2026), de la Excma. Diputación Provincial de Cádiz.</t>
        </is>
      </c>
      <c r="J1033" s="2" t="inlineStr">
        <is>
          <t>2026/2364/01</t>
        </is>
      </c>
      <c r="K1033" s="2" t="inlineStr">
        <is>
          <t>Abierto simplificado</t>
        </is>
      </c>
      <c r="L1033" s="6" t="n">
        <v>9</v>
      </c>
      <c r="M1033" s="2" t="n"/>
      <c r="N1033" s="7" t="n">
        <v>0</v>
      </c>
      <c r="O1033" s="4" t="n"/>
      <c r="P1033" s="2" t="inlineStr">
        <is>
          <t>45231000; 45432100; 45312200; 45314000; 45232300; 45100000; 45111100; 45112100</t>
        </is>
      </c>
      <c r="Q1033" s="8" t="inlineStr">
        <is>
          <t>Ver</t>
        </is>
      </c>
      <c r="R1033" s="8" t="inlineStr">
        <is>
          <t>PCAP</t>
        </is>
      </c>
      <c r="S1033" s="9" t="n">
        <v>46317</v>
      </c>
      <c r="T1033" s="3" t="n">
        <v>46315.61163194444</v>
      </c>
      <c r="U1033" s="2" t="n"/>
    </row>
    <row r="1034">
      <c r="A1034" s="2" t="inlineStr">
        <is>
          <t>En plazo</t>
        </is>
      </c>
      <c r="B1034" s="3" t="n">
        <v>46330.99930555555</v>
      </c>
      <c r="C1034" s="5" t="n">
        <v>70247.92999999999</v>
      </c>
      <c r="D1034" s="5" t="n">
        <v>70247.92999999999</v>
      </c>
      <c r="E1034" s="2" t="inlineStr">
        <is>
          <t>Andalucía</t>
        </is>
      </c>
      <c r="F1034" s="2" t="inlineStr">
        <is>
          <t>Cádiz</t>
        </is>
      </c>
      <c r="G1034" s="2" t="inlineStr">
        <is>
          <t>Villamartin</t>
        </is>
      </c>
      <c r="H1034" s="2" t="inlineStr">
        <is>
          <t>Alcaldía del Ayuntamiento de Villamartín</t>
        </is>
      </c>
      <c r="I1034" s="2" t="inlineStr">
        <is>
          <t>"Obras de Prevención Avenidas Camino de La Mediana", en el término municipal de Villamartín.</t>
        </is>
      </c>
      <c r="J1034" s="2" t="inlineStr">
        <is>
          <t>2559/2026</t>
        </is>
      </c>
      <c r="K1034" s="2" t="inlineStr">
        <is>
          <t>Abierto simplificado</t>
        </is>
      </c>
      <c r="L1034" s="6" t="n">
        <v>3</v>
      </c>
      <c r="M1034" s="2" t="n"/>
      <c r="N1034" s="7" t="n">
        <v>0</v>
      </c>
      <c r="O1034" s="4" t="n"/>
      <c r="P1034" s="2" t="inlineStr">
        <is>
          <t>45111214; 45111220; 45112000; 45221220; 45233252; 45112100</t>
        </is>
      </c>
      <c r="Q1034" s="8" t="inlineStr">
        <is>
          <t>Ver</t>
        </is>
      </c>
      <c r="R1034" s="8" t="inlineStr">
        <is>
          <t>PCAP</t>
        </is>
      </c>
      <c r="S1034" s="9" t="n">
        <v>46317</v>
      </c>
      <c r="T1034" s="3" t="n">
        <v>46315.61130787037</v>
      </c>
      <c r="U1034" s="2" t="n"/>
    </row>
    <row r="1035">
      <c r="A1035" s="2" t="inlineStr">
        <is>
          <t>En plazo</t>
        </is>
      </c>
      <c r="B1035" s="3" t="n">
        <v>46335.99930555555</v>
      </c>
      <c r="C1035" s="5" t="n">
        <v>446975.62</v>
      </c>
      <c r="D1035" s="5" t="n">
        <v>469324.4</v>
      </c>
      <c r="E1035" s="2" t="inlineStr">
        <is>
          <t>Andalucía</t>
        </is>
      </c>
      <c r="F1035" s="2" t="inlineStr">
        <is>
          <t>Sevilla</t>
        </is>
      </c>
      <c r="G1035" s="2" t="inlineStr">
        <is>
          <t>Sevilla</t>
        </is>
      </c>
      <c r="H1035" s="2" t="inlineStr">
        <is>
          <t>Junta de Gobierno del Ayuntamiento de Sevilla</t>
        </is>
      </c>
      <c r="I1035" s="2" t="inlineStr">
        <is>
          <t>Obras de reforma para nuevas zonas de administración y educación especial en el CEIP SOR ANGELA DE LA CRUZ, ubicado en el Distrito Casco Antiguo de Sevilla</t>
        </is>
      </c>
      <c r="J1035" s="2" t="inlineStr">
        <is>
          <t>2026/000960</t>
        </is>
      </c>
      <c r="K1035" s="2" t="inlineStr">
        <is>
          <t>Abierto simplificado</t>
        </is>
      </c>
      <c r="L1035" s="6" t="n">
        <v>8</v>
      </c>
      <c r="M1035" s="2" t="n"/>
      <c r="N1035" s="7" t="n">
        <v>0</v>
      </c>
      <c r="O1035" s="4" t="n"/>
      <c r="P1035" s="2" t="inlineStr">
        <is>
          <t>45000000</t>
        </is>
      </c>
      <c r="Q1035" s="8" t="inlineStr">
        <is>
          <t>Ver</t>
        </is>
      </c>
      <c r="R1035" s="8" t="inlineStr">
        <is>
          <t>PCAP</t>
        </is>
      </c>
      <c r="S1035" s="9" t="n">
        <v>46317</v>
      </c>
      <c r="T1035" s="3" t="n">
        <v>46315.61047453704</v>
      </c>
      <c r="U1035" s="2" t="n"/>
    </row>
    <row r="1036">
      <c r="A1036" s="2" t="inlineStr">
        <is>
          <t>Resuelta</t>
        </is>
      </c>
      <c r="B1036" s="3" t="n">
        <v>45956.99930555555</v>
      </c>
      <c r="C1036" s="5" t="n">
        <v>245911.98</v>
      </c>
      <c r="D1036" s="5" t="n">
        <v>245911.98</v>
      </c>
      <c r="E1036" s="2" t="inlineStr">
        <is>
          <t>Andalucía</t>
        </is>
      </c>
      <c r="F1036" s="2" t="inlineStr">
        <is>
          <t>Sevilla</t>
        </is>
      </c>
      <c r="G1036" s="2" t="n"/>
      <c r="H1036" s="2" t="inlineStr">
        <is>
          <t>Teniente Alcalde, Delegado de Contratación del Ayuntamiento de Lebrija</t>
        </is>
      </c>
      <c r="I1036" s="2" t="inlineStr">
        <is>
          <t>Contratación de las obras de ejecución del Proyecto básico y de ejecución renovación sostenible del césped artificial del campo de fútbol 11.</t>
        </is>
      </c>
      <c r="J1036" s="2" t="inlineStr">
        <is>
          <t>P4105300J-2025/000194-PAA</t>
        </is>
      </c>
      <c r="K1036" s="2" t="inlineStr">
        <is>
          <t>Abierto</t>
        </is>
      </c>
      <c r="L1036" s="6" t="n">
        <v>2</v>
      </c>
      <c r="M1036" s="2" t="n"/>
      <c r="N1036" s="7" t="n">
        <v>0</v>
      </c>
      <c r="O1036" s="4" t="n"/>
      <c r="P1036" s="2" t="inlineStr">
        <is>
          <t>45236119; 45212290; 39293400</t>
        </is>
      </c>
      <c r="Q1036" s="8" t="inlineStr">
        <is>
          <t>Ver</t>
        </is>
      </c>
      <c r="R1036" s="8" t="inlineStr">
        <is>
          <t>PCAP</t>
        </is>
      </c>
      <c r="S1036" s="9" t="n">
        <v>46317</v>
      </c>
      <c r="T1036" s="3" t="n">
        <v>46315.61016203704</v>
      </c>
      <c r="U1036" s="2" t="n"/>
    </row>
    <row r="1037">
      <c r="A1037" s="2" t="inlineStr">
        <is>
          <t>Anuncio previo</t>
        </is>
      </c>
      <c r="B1037" s="3" t="n"/>
      <c r="C1037" s="5" t="n">
        <v>495436.63</v>
      </c>
      <c r="D1037" s="5" t="n">
        <v>495436.63</v>
      </c>
      <c r="E1037" s="2" t="inlineStr">
        <is>
          <t>Andalucía</t>
        </is>
      </c>
      <c r="F1037" s="2" t="inlineStr">
        <is>
          <t>Huelva</t>
        </is>
      </c>
      <c r="G1037" s="2" t="n"/>
      <c r="H1037" s="2" t="inlineStr">
        <is>
          <t>Presidencia de la Diputación Provincial de Huelva</t>
        </is>
      </c>
      <c r="I1037" s="2" t="inlineStr">
        <is>
          <t>Contrato de obras de mejora de la eficiencia energética y de reducción de la contaminación lumínica en las instalaciones municipales de alumbrado exterior de municipios menores de 5000 habitantes (Villalba del Alcor - Higuera de la Sierra - Cumbres Mayores).</t>
        </is>
      </c>
      <c r="J1037" s="2" t="inlineStr">
        <is>
          <t>2026/CMY_03/000102</t>
        </is>
      </c>
      <c r="K1037" s="2" t="inlineStr">
        <is>
          <t>Abierto simplificado</t>
        </is>
      </c>
      <c r="L1037" s="6" t="n"/>
      <c r="M1037" s="2" t="n"/>
      <c r="N1037" s="7" t="n">
        <v>0</v>
      </c>
      <c r="O1037" s="4" t="n">
        <v>3</v>
      </c>
      <c r="P1037" s="2" t="inlineStr">
        <is>
          <t>45316100; 45315600; 45310000</t>
        </is>
      </c>
      <c r="Q1037" s="8" t="inlineStr">
        <is>
          <t>Ver</t>
        </is>
      </c>
      <c r="R1037" s="2" t="n"/>
      <c r="S1037" s="9" t="n">
        <v>46317</v>
      </c>
      <c r="T1037" s="3" t="n">
        <v>46315.59474537037</v>
      </c>
      <c r="U1037" s="2" t="n"/>
    </row>
    <row r="1038">
      <c r="A1038" s="2" t="inlineStr">
        <is>
          <t>Resuelta</t>
        </is>
      </c>
      <c r="B1038" s="3" t="n">
        <v>46293.99930555555</v>
      </c>
      <c r="C1038" s="5" t="n">
        <v>42926.92</v>
      </c>
      <c r="D1038" s="5" t="n">
        <v>42926.92</v>
      </c>
      <c r="E1038" s="2" t="inlineStr">
        <is>
          <t>Comunitat Valenciana</t>
        </is>
      </c>
      <c r="F1038" s="2" t="inlineStr">
        <is>
          <t>Valencia</t>
        </is>
      </c>
      <c r="G1038" s="2" t="n"/>
      <c r="H1038" s="2" t="inlineStr">
        <is>
          <t>Alcaldía del Ayuntamiento de Castelló</t>
        </is>
      </c>
      <c r="I1038" s="2" t="inlineStr">
        <is>
          <t>Obra de renovacio de la xarxa secundaria d aigua potable del Sector Ravalet de Castello</t>
        </is>
      </c>
      <c r="J1038" s="2" t="inlineStr">
        <is>
          <t>3775/2026</t>
        </is>
      </c>
      <c r="K1038" s="2" t="inlineStr">
        <is>
          <t>Abierto simplificado</t>
        </is>
      </c>
      <c r="L1038" s="6" t="n">
        <v>1.2</v>
      </c>
      <c r="M1038" s="2" t="n"/>
      <c r="N1038" s="7" t="n">
        <v>0</v>
      </c>
      <c r="O1038" s="4" t="n"/>
      <c r="P1038" s="2" t="inlineStr">
        <is>
          <t>45232150; 45232151</t>
        </is>
      </c>
      <c r="Q1038" s="8" t="inlineStr">
        <is>
          <t>Ver</t>
        </is>
      </c>
      <c r="R1038" s="8" t="inlineStr">
        <is>
          <t>PCAP</t>
        </is>
      </c>
      <c r="S1038" s="9" t="n">
        <v>46317</v>
      </c>
      <c r="T1038" s="3" t="n">
        <v>46315.590625</v>
      </c>
      <c r="U1038" s="2" t="n"/>
    </row>
    <row r="1039">
      <c r="A1039" s="2" t="inlineStr">
        <is>
          <t>En plazo</t>
        </is>
      </c>
      <c r="B1039" s="3" t="n">
        <v>46329.99930555555</v>
      </c>
      <c r="C1039" s="5" t="n">
        <v>563608.27</v>
      </c>
      <c r="D1039" s="5" t="n">
        <v>563608.27</v>
      </c>
      <c r="E1039" s="2" t="inlineStr">
        <is>
          <t>Andalucía</t>
        </is>
      </c>
      <c r="F1039" s="2" t="inlineStr">
        <is>
          <t>Málaga</t>
        </is>
      </c>
      <c r="G1039" s="2" t="n"/>
      <c r="H1039" s="2" t="inlineStr">
        <is>
          <t>Alcaldía del Ayuntamiento de Ronda</t>
        </is>
      </c>
      <c r="I1039" s="2" t="inlineStr">
        <is>
          <t>C. Obras. Proyecto de Adecuación de solar colindante a la Estación de Ferrocarril para aparcamiento de vehículos de Ronda (Málaga).</t>
        </is>
      </c>
      <c r="J1039" s="2" t="inlineStr">
        <is>
          <t>17561/2026</t>
        </is>
      </c>
      <c r="K1039" s="2" t="inlineStr">
        <is>
          <t>Abierto</t>
        </is>
      </c>
      <c r="L1039" s="6" t="n">
        <v>10</v>
      </c>
      <c r="M1039" s="2" t="inlineStr">
        <is>
          <t>G6-3</t>
        </is>
      </c>
      <c r="N1039" s="7" t="n">
        <v>0</v>
      </c>
      <c r="O1039" s="4" t="n"/>
      <c r="P1039" s="2" t="inlineStr">
        <is>
          <t>45000000; 45233140</t>
        </is>
      </c>
      <c r="Q1039" s="8" t="inlineStr">
        <is>
          <t>Ver</t>
        </is>
      </c>
      <c r="R1039" s="8" t="inlineStr">
        <is>
          <t>PCAP</t>
        </is>
      </c>
      <c r="S1039" s="9" t="n">
        <v>46317</v>
      </c>
      <c r="T1039" s="3" t="n">
        <v>46315.5900462963</v>
      </c>
      <c r="U1039" s="2" t="n"/>
    </row>
    <row r="1040">
      <c r="A1040" s="2" t="inlineStr">
        <is>
          <t>En plazo</t>
        </is>
      </c>
      <c r="B1040" s="3" t="n">
        <v>46330.99930555555</v>
      </c>
      <c r="C1040" s="5" t="n">
        <v>75288.07000000001</v>
      </c>
      <c r="D1040" s="5" t="n">
        <v>75288.07000000001</v>
      </c>
      <c r="E1040" s="2" t="inlineStr">
        <is>
          <t>Andalucía</t>
        </is>
      </c>
      <c r="F1040" s="2" t="inlineStr">
        <is>
          <t>Málaga</t>
        </is>
      </c>
      <c r="G1040" s="2" t="n"/>
      <c r="H1040" s="2" t="inlineStr">
        <is>
          <t>Junta de Gobierno del Ayuntamiento de Vélez-Málaga</t>
        </is>
      </c>
      <c r="I1040" s="2" t="inlineStr">
        <is>
          <t>Reparación de pavimentos de acera y calzada del viario del UE.CH-7 del PGOU de Vélez-Málaga</t>
        </is>
      </c>
      <c r="J1040" s="2" t="inlineStr">
        <is>
          <t>AVM.OBR-2026000020</t>
        </is>
      </c>
      <c r="K1040" s="2" t="inlineStr">
        <is>
          <t>Abierto simplificado</t>
        </is>
      </c>
      <c r="L1040" s="6" t="n">
        <v>2</v>
      </c>
      <c r="M1040" s="2" t="n"/>
      <c r="N1040" s="7" t="n">
        <v>0</v>
      </c>
      <c r="O1040" s="4" t="n"/>
      <c r="P1040" s="2" t="inlineStr">
        <is>
          <t>45233140</t>
        </is>
      </c>
      <c r="Q1040" s="8" t="inlineStr">
        <is>
          <t>Ver</t>
        </is>
      </c>
      <c r="R1040" s="8" t="inlineStr">
        <is>
          <t>PCAP</t>
        </is>
      </c>
      <c r="S1040" s="9" t="n">
        <v>46317</v>
      </c>
      <c r="T1040" s="3" t="n">
        <v>46315.5893287037</v>
      </c>
      <c r="U1040" s="2" t="n"/>
    </row>
    <row r="1041">
      <c r="A1041" s="2" t="inlineStr">
        <is>
          <t>Pendiente de adjudicación</t>
        </is>
      </c>
      <c r="B1041" s="3" t="n">
        <v>46303.58333333334</v>
      </c>
      <c r="C1041" s="5" t="n">
        <v>579253.0699999999</v>
      </c>
      <c r="D1041" s="5" t="n">
        <v>947901.3</v>
      </c>
      <c r="E1041" s="2" t="inlineStr">
        <is>
          <t>Comunitat Valenciana</t>
        </is>
      </c>
      <c r="F1041" s="2" t="inlineStr">
        <is>
          <t>Alicante</t>
        </is>
      </c>
      <c r="G1041" s="2" t="inlineStr">
        <is>
          <t>Alicante (Alacant)</t>
        </is>
      </c>
      <c r="H1041" s="2" t="inlineStr">
        <is>
          <t>Junta de Gobierno del Ayuntamiento de Altea</t>
        </is>
      </c>
      <c r="I1041" s="2" t="inlineStr">
        <is>
          <t>La ejecución de las obras de asfaltado de calles y caminos en Altea.</t>
        </is>
      </c>
      <c r="J1041" s="2" t="inlineStr">
        <is>
          <t>C18/2026 (Exp. Gestiona 4628/2026)</t>
        </is>
      </c>
      <c r="K1041" s="2" t="inlineStr">
        <is>
          <t>Abierto simplificado</t>
        </is>
      </c>
      <c r="L1041" s="6" t="n">
        <v>2</v>
      </c>
      <c r="M1041" s="2" t="inlineStr">
        <is>
          <t>G4-3</t>
        </is>
      </c>
      <c r="N1041" s="7" t="n">
        <v>0.8</v>
      </c>
      <c r="O1041" s="4" t="n"/>
      <c r="P1041" s="2" t="inlineStr">
        <is>
          <t>45233222; 45233140</t>
        </is>
      </c>
      <c r="Q1041" s="8" t="inlineStr">
        <is>
          <t>Ver</t>
        </is>
      </c>
      <c r="R1041" s="8" t="inlineStr">
        <is>
          <t>PCAP</t>
        </is>
      </c>
      <c r="S1041" s="9" t="n">
        <v>46311</v>
      </c>
      <c r="T1041" s="3" t="n">
        <v>46315.58900462963</v>
      </c>
      <c r="U1041" s="2" t="n"/>
    </row>
    <row r="1042">
      <c r="A1042" s="2" t="inlineStr">
        <is>
          <t>Pendiente de adjudicación</t>
        </is>
      </c>
      <c r="B1042" s="3" t="n">
        <v>46308.99930555555</v>
      </c>
      <c r="C1042" s="5" t="n">
        <v>181862.68</v>
      </c>
      <c r="D1042" s="5" t="n">
        <v>181862.68</v>
      </c>
      <c r="E1042" s="2" t="inlineStr">
        <is>
          <t>Andalucía</t>
        </is>
      </c>
      <c r="F1042" s="2" t="inlineStr">
        <is>
          <t>Sevilla</t>
        </is>
      </c>
      <c r="G1042" s="2" t="n"/>
      <c r="H1042" s="2" t="inlineStr">
        <is>
          <t>Alcaldía del Ayuntamiento de El Viso del Alcor</t>
        </is>
      </c>
      <c r="I1042" s="2" t="inlineStr">
        <is>
          <t>Obra de reparación de pavimento de varios sistemas locales</t>
        </is>
      </c>
      <c r="J1042" s="2" t="inlineStr">
        <is>
          <t>1031/2026</t>
        </is>
      </c>
      <c r="K1042" s="2" t="inlineStr">
        <is>
          <t>Abierto simplificado</t>
        </is>
      </c>
      <c r="L1042" s="6" t="n">
        <v>2</v>
      </c>
      <c r="M1042" s="2" t="n"/>
      <c r="N1042" s="7" t="n">
        <v>0</v>
      </c>
      <c r="O1042" s="4" t="n">
        <v>7</v>
      </c>
      <c r="P1042" s="2" t="inlineStr">
        <is>
          <t>45233223</t>
        </is>
      </c>
      <c r="Q1042" s="8" t="inlineStr">
        <is>
          <t>Ver</t>
        </is>
      </c>
      <c r="R1042" s="8" t="inlineStr">
        <is>
          <t>PCAP</t>
        </is>
      </c>
      <c r="S1042" s="9" t="n">
        <v>46310</v>
      </c>
      <c r="T1042" s="3" t="n">
        <v>46315.58789351852</v>
      </c>
      <c r="U1042" s="2" t="n"/>
    </row>
    <row r="1043">
      <c r="A1043" s="2" t="inlineStr">
        <is>
          <t>Pendiente de adjudicación</t>
        </is>
      </c>
      <c r="B1043" s="3" t="n">
        <v>46293.99930555555</v>
      </c>
      <c r="C1043" s="5" t="n">
        <v>165256.56</v>
      </c>
      <c r="D1043" s="5" t="n">
        <v>165256.66</v>
      </c>
      <c r="E1043" s="2" t="inlineStr">
        <is>
          <t>Comunitat Valenciana</t>
        </is>
      </c>
      <c r="F1043" s="2" t="inlineStr">
        <is>
          <t>Valencia</t>
        </is>
      </c>
      <c r="G1043" s="2" t="n"/>
      <c r="H1043" s="2" t="inlineStr">
        <is>
          <t>Concejalía Delegada de Hacienda del Ayuntamiento de la Pobla de Vallbona</t>
        </is>
      </c>
      <c r="I1043"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1043" s="2" t="inlineStr">
        <is>
          <t>2026000021</t>
        </is>
      </c>
      <c r="K1043" s="2" t="inlineStr">
        <is>
          <t>Abierto simplificado</t>
        </is>
      </c>
      <c r="L1043" s="6" t="n">
        <v>5</v>
      </c>
      <c r="M1043" s="2" t="n"/>
      <c r="N1043" s="7" t="n">
        <v>0.25</v>
      </c>
      <c r="O1043" s="4" t="n"/>
      <c r="P1043" s="2" t="inlineStr">
        <is>
          <t>45233252; 45233340; 45262350</t>
        </is>
      </c>
      <c r="Q1043" s="8" t="inlineStr">
        <is>
          <t>Ver</t>
        </is>
      </c>
      <c r="R1043" s="8" t="inlineStr">
        <is>
          <t>PCAP</t>
        </is>
      </c>
      <c r="S1043" s="9" t="n">
        <v>46310</v>
      </c>
      <c r="T1043" s="3" t="n">
        <v>46315.58701388889</v>
      </c>
      <c r="U1043" s="2" t="n"/>
    </row>
    <row r="1044">
      <c r="A1044" s="2" t="inlineStr">
        <is>
          <t>En plazo</t>
        </is>
      </c>
      <c r="B1044" s="3" t="n">
        <v>46329.99930555555</v>
      </c>
      <c r="C1044" s="5" t="n">
        <v>1221212.29</v>
      </c>
      <c r="D1044" s="5" t="n">
        <v>1221212.29</v>
      </c>
      <c r="E1044" s="2" t="inlineStr">
        <is>
          <t>Andalucía</t>
        </is>
      </c>
      <c r="F1044" s="2" t="inlineStr">
        <is>
          <t>Córdoba</t>
        </is>
      </c>
      <c r="G1044" s="2" t="n"/>
      <c r="H1044" s="2" t="inlineStr">
        <is>
          <t>Junta de Gobierno de la Diputación Provincial de Córdoba</t>
        </is>
      </c>
      <c r="I1044" s="2" t="inlineStr">
        <is>
          <t>Nuevo campo de fútbol de césped artificial en el SG-D6 y SG-V7 "LLanos de Cristo" del PGOU vigente, en Puente Genil (Córdoba). Obra incluida en el Plan Provincial de Obras y Servicios 2024-2027 (bienio 2025-2026)</t>
        </is>
      </c>
      <c r="J1044" s="2" t="inlineStr">
        <is>
          <t>646/26 BIS</t>
        </is>
      </c>
      <c r="K1044" s="2" t="inlineStr">
        <is>
          <t>Abierto</t>
        </is>
      </c>
      <c r="L1044" s="6" t="n">
        <v>12</v>
      </c>
      <c r="M1044" s="2" t="n"/>
      <c r="N1044" s="7" t="n">
        <v>0</v>
      </c>
      <c r="O1044" s="4" t="n"/>
      <c r="P1044" s="2" t="inlineStr">
        <is>
          <t>45200000; 45212221; 45212200; 45212224; 45212213; 45212230</t>
        </is>
      </c>
      <c r="Q1044" s="8" t="inlineStr">
        <is>
          <t>Ver</t>
        </is>
      </c>
      <c r="R1044" s="8" t="inlineStr">
        <is>
          <t>PCAP</t>
        </is>
      </c>
      <c r="S1044" s="9" t="n">
        <v>46317</v>
      </c>
      <c r="T1044" s="3" t="n">
        <v>46315.58591435185</v>
      </c>
      <c r="U1044" s="2" t="n"/>
    </row>
    <row r="1045">
      <c r="A1045" s="2" t="inlineStr">
        <is>
          <t>Pendiente de adjudicación</t>
        </is>
      </c>
      <c r="B1045" s="3" t="n">
        <v>46308.99930555555</v>
      </c>
      <c r="C1045" s="5" t="n">
        <v>738555.34</v>
      </c>
      <c r="D1045" s="5" t="n">
        <v>738555.34</v>
      </c>
      <c r="E1045" s="2" t="inlineStr">
        <is>
          <t>Andalucía</t>
        </is>
      </c>
      <c r="F1045" s="2" t="inlineStr">
        <is>
          <t>Jaén</t>
        </is>
      </c>
      <c r="G1045" s="2" t="inlineStr">
        <is>
          <t>JAEN</t>
        </is>
      </c>
      <c r="H1045" s="2" t="inlineStr">
        <is>
          <t>Presidencia de la Diputación Provincial de Jaén</t>
        </is>
      </c>
      <c r="I1045" s="2" t="inlineStr">
        <is>
          <t>JA-3308 Martos a limite de provincia por Monte Lope Álvarez, refuerzo de firme P.K. 11+510 al 17+780, a adjudicar por procedimiento abierto ordinario.</t>
        </is>
      </c>
      <c r="J1045" s="2" t="inlineStr">
        <is>
          <t>CO-2026/001341</t>
        </is>
      </c>
      <c r="K1045" s="2" t="inlineStr">
        <is>
          <t>Abierto</t>
        </is>
      </c>
      <c r="L1045" s="6" t="n">
        <v>6</v>
      </c>
      <c r="M1045" s="2" t="inlineStr">
        <is>
          <t>G4-3</t>
        </is>
      </c>
      <c r="N1045" s="7" t="n">
        <v>0.4</v>
      </c>
      <c r="O1045" s="4" t="n"/>
      <c r="P1045" s="2" t="inlineStr">
        <is>
          <t>45233223</t>
        </is>
      </c>
      <c r="Q1045" s="8" t="inlineStr">
        <is>
          <t>Ver</t>
        </is>
      </c>
      <c r="R1045" s="8" t="inlineStr">
        <is>
          <t>PCAP</t>
        </is>
      </c>
      <c r="S1045" s="9" t="n">
        <v>46317</v>
      </c>
      <c r="T1045" s="3" t="n">
        <v>46315.58577546296</v>
      </c>
      <c r="U1045" s="2" t="n"/>
    </row>
    <row r="1046">
      <c r="A1046" s="2" t="inlineStr">
        <is>
          <t>En plazo</t>
        </is>
      </c>
      <c r="B1046" s="3" t="n">
        <v>46342.99930555555</v>
      </c>
      <c r="C1046" s="5" t="n">
        <v>114049.58</v>
      </c>
      <c r="D1046" s="5" t="n">
        <v>114049.58</v>
      </c>
      <c r="E1046" s="2" t="inlineStr">
        <is>
          <t>Andalucía</t>
        </is>
      </c>
      <c r="F1046" s="2" t="inlineStr">
        <is>
          <t>Córdoba</t>
        </is>
      </c>
      <c r="G1046" s="2" t="n"/>
      <c r="H1046" s="2" t="inlineStr">
        <is>
          <t>Diputado delegado de Infraestructuras, Sostenibilidad y Agricultura</t>
        </is>
      </c>
      <c r="I1046" s="2" t="inlineStr">
        <is>
          <t>Contratación de las obras de Mejora en las vías Juan Sebastián Elcano y Camino Viejo de la Cuesta del Molino, en Puente Genil (Córdoba). Obra incluida en el Plan de Humanización de Entornos Urbanos y Agenda Rural 2024-2027 (Programa de Agenda Rural, bienio 26-27).</t>
        </is>
      </c>
      <c r="J1046" s="2" t="inlineStr">
        <is>
          <t>916/26</t>
        </is>
      </c>
      <c r="K1046" s="2" t="inlineStr">
        <is>
          <t>Abierto</t>
        </is>
      </c>
      <c r="L1046" s="6" t="n">
        <v>3</v>
      </c>
      <c r="M1046" s="2" t="n"/>
      <c r="N1046" s="7" t="n">
        <v>0.4</v>
      </c>
      <c r="O1046" s="4" t="n"/>
      <c r="P1046" s="2" t="inlineStr">
        <is>
          <t>45233160</t>
        </is>
      </c>
      <c r="Q1046" s="8" t="inlineStr">
        <is>
          <t>Ver</t>
        </is>
      </c>
      <c r="R1046" s="8" t="inlineStr">
        <is>
          <t>PCAP</t>
        </is>
      </c>
      <c r="S1046" s="9" t="n">
        <v>46317</v>
      </c>
      <c r="T1046" s="3" t="n">
        <v>46315.58462962963</v>
      </c>
      <c r="U1046" s="2" t="n"/>
    </row>
    <row r="1047">
      <c r="A1047" s="2" t="inlineStr">
        <is>
          <t>Pendiente de adjudicación</t>
        </is>
      </c>
      <c r="B1047" s="3" t="n">
        <v>46286.99930555555</v>
      </c>
      <c r="C1047" s="5" t="n">
        <v>389400.52</v>
      </c>
      <c r="D1047" s="5" t="n">
        <v>389400.52</v>
      </c>
      <c r="E1047" s="2" t="inlineStr">
        <is>
          <t>Comunitat Valenciana</t>
        </is>
      </c>
      <c r="F1047" s="2" t="inlineStr">
        <is>
          <t>Valencia</t>
        </is>
      </c>
      <c r="G1047" s="2" t="inlineStr">
        <is>
          <t>GESTALGAR</t>
        </is>
      </c>
      <c r="H1047" s="2" t="inlineStr">
        <is>
          <t>Alcaldía del Ayuntamiento de Gestalgar</t>
        </is>
      </c>
      <c r="I1047" s="2" t="inlineStr">
        <is>
          <t>Contrato de obras de reposición y reparación de elementos del antiguo polideportivo municipal para el nuevo parque de ocio para la juventud en Gestalgar (Valencia) subvencionado por el Ministerio de Política Territorial y Memoria Democrática.</t>
        </is>
      </c>
      <c r="J1047" s="2" t="inlineStr">
        <is>
          <t>2993993Z</t>
        </is>
      </c>
      <c r="K1047" s="2" t="inlineStr">
        <is>
          <t>Abierto simplificado</t>
        </is>
      </c>
      <c r="L1047" s="6" t="n">
        <v>6</v>
      </c>
      <c r="M1047" s="2" t="n"/>
      <c r="N1047" s="7" t="n">
        <v>0</v>
      </c>
      <c r="O1047" s="4" t="n"/>
      <c r="P1047" s="2" t="inlineStr">
        <is>
          <t>45112720</t>
        </is>
      </c>
      <c r="Q1047" s="8" t="inlineStr">
        <is>
          <t>Ver</t>
        </is>
      </c>
      <c r="R1047" s="8" t="inlineStr">
        <is>
          <t>PCAP</t>
        </is>
      </c>
      <c r="S1047" s="9" t="n">
        <v>46310</v>
      </c>
      <c r="T1047" s="3" t="n">
        <v>46315.58430555555</v>
      </c>
      <c r="U1047" s="2" t="n"/>
    </row>
    <row r="1048">
      <c r="A1048" s="2" t="inlineStr">
        <is>
          <t>Resuelta</t>
        </is>
      </c>
      <c r="B1048" s="3" t="n">
        <v>46308.58333333334</v>
      </c>
      <c r="C1048" s="5" t="n">
        <v>606729.4300000001</v>
      </c>
      <c r="D1048" s="5" t="n">
        <v>728075.3199999999</v>
      </c>
      <c r="E1048" s="2" t="inlineStr">
        <is>
          <t>Comunitat Valenciana</t>
        </is>
      </c>
      <c r="F1048" s="2" t="inlineStr">
        <is>
          <t>Valencia</t>
        </is>
      </c>
      <c r="G1048" s="2" t="n"/>
      <c r="H1048" s="2" t="inlineStr">
        <is>
          <t>Junta de Gobierno del Ayuntamiento de Paterna</t>
        </is>
      </c>
      <c r="I1048" s="2" t="inlineStr">
        <is>
          <t>Obras de construcción de una rotonda en las calles 113, 238 de la Canyada con la carretera CV-368.</t>
        </is>
      </c>
      <c r="J1048" s="2" t="inlineStr">
        <is>
          <t>172/2026/135</t>
        </is>
      </c>
      <c r="K1048" s="2" t="inlineStr">
        <is>
          <t>Abierto</t>
        </is>
      </c>
      <c r="L1048" s="6" t="n">
        <v>4</v>
      </c>
      <c r="M1048" s="2" t="inlineStr">
        <is>
          <t>G4-3</t>
        </is>
      </c>
      <c r="N1048" s="7" t="n">
        <v>0</v>
      </c>
      <c r="O1048" s="4" t="n"/>
      <c r="P1048" s="2" t="inlineStr">
        <is>
          <t>45000000</t>
        </is>
      </c>
      <c r="Q1048" s="8" t="inlineStr">
        <is>
          <t>Ver</t>
        </is>
      </c>
      <c r="R1048" s="8" t="inlineStr">
        <is>
          <t>PCAP</t>
        </is>
      </c>
      <c r="S1048" s="9" t="n">
        <v>46317</v>
      </c>
      <c r="T1048" s="3" t="n">
        <v>46315.58402777778</v>
      </c>
      <c r="U1048" s="2" t="n"/>
    </row>
    <row r="1049">
      <c r="A1049" s="2" t="inlineStr">
        <is>
          <t>Resuelta</t>
        </is>
      </c>
      <c r="B1049" s="3" t="n">
        <v>45609.99930555555</v>
      </c>
      <c r="C1049" s="5" t="n">
        <v>4384752.54</v>
      </c>
      <c r="D1049" s="5" t="n">
        <v>4384752.54</v>
      </c>
      <c r="E1049" s="2" t="inlineStr">
        <is>
          <t>Andalucía</t>
        </is>
      </c>
      <c r="F1049" s="2" t="inlineStr">
        <is>
          <t>Sevilla</t>
        </is>
      </c>
      <c r="G1049" s="2" t="n"/>
      <c r="H1049" s="2" t="inlineStr">
        <is>
          <t>Gerencia de Fraternidad Muprespa - Mútua Colaboradora con la Seguridad Social nº 275</t>
        </is>
      </c>
      <c r="I1049" s="2" t="inlineStr">
        <is>
          <t>Contratación de los trabajos de ejecución de las obras de nueva planta para el centro de FRATERNIDAD-MUPRESPA situado en la parcela ubicada en las Avenida de los Montes de Sierra, nº 17 de Sevilla.</t>
        </is>
      </c>
      <c r="J1049" s="2" t="inlineStr">
        <is>
          <t>PIC2025_31505</t>
        </is>
      </c>
      <c r="K1049" s="2" t="inlineStr">
        <is>
          <t>Abierto</t>
        </is>
      </c>
      <c r="L1049" s="6" t="n">
        <v>21.3</v>
      </c>
      <c r="M1049" s="2" t="inlineStr">
        <is>
          <t>C4-5; J2-3</t>
        </is>
      </c>
      <c r="N1049" s="7" t="n">
        <v>0.2</v>
      </c>
      <c r="O1049" s="4" t="n"/>
      <c r="P1049" s="2" t="inlineStr">
        <is>
          <t>45213150</t>
        </is>
      </c>
      <c r="Q1049" s="8" t="inlineStr">
        <is>
          <t>Ver</t>
        </is>
      </c>
      <c r="R1049" s="8" t="inlineStr">
        <is>
          <t>PCAP</t>
        </is>
      </c>
      <c r="S1049" s="9" t="n">
        <v>46317</v>
      </c>
      <c r="T1049" s="3" t="n">
        <v>46315.58283564815</v>
      </c>
      <c r="U1049" s="2" t="n"/>
    </row>
    <row r="1050">
      <c r="A1050" s="2" t="inlineStr">
        <is>
          <t>Pendiente de adjudicación</t>
        </is>
      </c>
      <c r="B1050" s="3" t="n">
        <v>46202.99930555555</v>
      </c>
      <c r="C1050" s="5" t="n">
        <v>2641452.25</v>
      </c>
      <c r="D1050" s="5" t="n">
        <v>2641452.25</v>
      </c>
      <c r="E1050" s="2" t="inlineStr">
        <is>
          <t>Comunitat Valenciana</t>
        </is>
      </c>
      <c r="F1050" s="2" t="inlineStr">
        <is>
          <t>Valencia</t>
        </is>
      </c>
      <c r="G1050" s="2" t="inlineStr">
        <is>
          <t>Utiel</t>
        </is>
      </c>
      <c r="H1050" s="2" t="inlineStr">
        <is>
          <t>Alcaldía del Ayuntamiento de Utiel</t>
        </is>
      </c>
      <c r="I1050" s="2" t="inlineStr">
        <is>
          <t>Obra denominada "Reconstrucción del Barrio de Instituto en Utiel (Valencia)".</t>
        </is>
      </c>
      <c r="J1050" s="2" t="inlineStr">
        <is>
          <t>389/2026</t>
        </is>
      </c>
      <c r="K1050" s="2" t="inlineStr">
        <is>
          <t>Abierto</t>
        </is>
      </c>
      <c r="L1050" s="6" t="n">
        <v>12</v>
      </c>
      <c r="M1050" s="2" t="inlineStr">
        <is>
          <t>G*-5</t>
        </is>
      </c>
      <c r="N1050" s="7" t="n">
        <v>0.2</v>
      </c>
      <c r="O1050" s="4" t="n"/>
      <c r="P1050" s="2" t="inlineStr">
        <is>
          <t>45232410; 45233252</t>
        </is>
      </c>
      <c r="Q1050" s="8" t="inlineStr">
        <is>
          <t>Ver</t>
        </is>
      </c>
      <c r="R1050" s="8" t="inlineStr">
        <is>
          <t>PCAP</t>
        </is>
      </c>
      <c r="S1050" s="9" t="n">
        <v>46315</v>
      </c>
      <c r="T1050" s="3" t="n">
        <v>46315.58216435185</v>
      </c>
      <c r="U1050" s="2" t="n"/>
    </row>
    <row r="1051">
      <c r="A1051" s="2" t="inlineStr">
        <is>
          <t>En plazo</t>
        </is>
      </c>
      <c r="B1051" s="3" t="n">
        <v>46335.99930555555</v>
      </c>
      <c r="C1051" s="5" t="n">
        <v>185950.41</v>
      </c>
      <c r="D1051" s="5" t="n">
        <v>185950.41</v>
      </c>
      <c r="E1051" s="2" t="inlineStr">
        <is>
          <t>Andalucía</t>
        </is>
      </c>
      <c r="F1051" s="2" t="inlineStr">
        <is>
          <t>Almería</t>
        </is>
      </c>
      <c r="G1051" s="2" t="n"/>
      <c r="H1051" s="2" t="inlineStr">
        <is>
          <t>Alcaldía del Ayuntamiento de Níjar</t>
        </is>
      </c>
      <c r="I1051" s="2" t="inlineStr">
        <is>
          <t>Construcción de quiosco y aseos en el Parque Los Olivicos de Campohermoso (Níjar)., con cargo al FEDER, en el marco de los PAI (NÍJAR PARA CONVIVIR).</t>
        </is>
      </c>
      <c r="J1051" s="2" t="inlineStr">
        <is>
          <t>14767/2026</t>
        </is>
      </c>
      <c r="K1051" s="2" t="inlineStr">
        <is>
          <t>Abierto simplificado</t>
        </is>
      </c>
      <c r="L1051" s="6" t="n">
        <v>6</v>
      </c>
      <c r="M1051" s="2" t="n"/>
      <c r="N1051" s="7" t="n">
        <v>0.25</v>
      </c>
      <c r="O1051" s="4" t="n"/>
      <c r="P1051" s="2" t="inlineStr">
        <is>
          <t>45212000</t>
        </is>
      </c>
      <c r="Q1051" s="8" t="inlineStr">
        <is>
          <t>Ver</t>
        </is>
      </c>
      <c r="R1051" s="8" t="inlineStr">
        <is>
          <t>PCAP</t>
        </is>
      </c>
      <c r="S1051" s="9" t="n">
        <v>46317</v>
      </c>
      <c r="T1051" s="3" t="n">
        <v>46315.58096064815</v>
      </c>
      <c r="U1051" s="2" t="n"/>
    </row>
    <row r="1052">
      <c r="A1052" s="2" t="inlineStr">
        <is>
          <t>Pendiente de adjudicación</t>
        </is>
      </c>
      <c r="B1052" s="3" t="n">
        <v>46286.99930555555</v>
      </c>
      <c r="C1052" s="5" t="n">
        <v>345942.39</v>
      </c>
      <c r="D1052" s="5" t="n">
        <v>345942.39</v>
      </c>
      <c r="E1052" s="2" t="inlineStr">
        <is>
          <t>Comunitat Valenciana</t>
        </is>
      </c>
      <c r="F1052" s="2" t="inlineStr">
        <is>
          <t>Valencia</t>
        </is>
      </c>
      <c r="G1052" s="2" t="inlineStr">
        <is>
          <t>GESTALGAR</t>
        </is>
      </c>
      <c r="H1052" s="2" t="inlineStr">
        <is>
          <t>Alcaldía del Ayuntamiento de Gestalgar</t>
        </is>
      </c>
      <c r="I1052" s="2" t="inlineStr">
        <is>
          <t>Contrato de obras del proyecto de emergencia de red viaria de Gestalgar (Valencia) subvencionado por el Ministerio de Política Territorial y Memoria Democrática.</t>
        </is>
      </c>
      <c r="J1052" s="2" t="inlineStr">
        <is>
          <t>2998008A</t>
        </is>
      </c>
      <c r="K1052" s="2" t="inlineStr">
        <is>
          <t>Abierto simplificado</t>
        </is>
      </c>
      <c r="L1052" s="6" t="n">
        <v>5</v>
      </c>
      <c r="M1052" s="2" t="n"/>
      <c r="N1052" s="7" t="n">
        <v>0</v>
      </c>
      <c r="O1052" s="4" t="n"/>
      <c r="P1052" s="2" t="inlineStr">
        <is>
          <t>45233142; 45233140</t>
        </is>
      </c>
      <c r="Q1052" s="8" t="inlineStr">
        <is>
          <t>Ver</t>
        </is>
      </c>
      <c r="R1052" s="8" t="inlineStr">
        <is>
          <t>PCAP</t>
        </is>
      </c>
      <c r="S1052" s="9" t="n">
        <v>46310</v>
      </c>
      <c r="T1052" s="3" t="n">
        <v>46315.57943287037</v>
      </c>
      <c r="U1052" s="2" t="n"/>
    </row>
    <row r="1053">
      <c r="A1053" s="2" t="inlineStr">
        <is>
          <t>Resuelta</t>
        </is>
      </c>
      <c r="B1053" s="3" t="n">
        <v>45712.99930555555</v>
      </c>
      <c r="C1053" s="5" t="n">
        <v>500000</v>
      </c>
      <c r="D1053" s="5" t="n">
        <v>500000</v>
      </c>
      <c r="E1053" s="2" t="inlineStr">
        <is>
          <t>Andalucía</t>
        </is>
      </c>
      <c r="F1053" s="2" t="inlineStr">
        <is>
          <t>Sevilla</t>
        </is>
      </c>
      <c r="G1053" s="2" t="n"/>
      <c r="H1053" s="2" t="inlineStr">
        <is>
          <t>Junta de Gobierno del Ayuntamiento de Dos Hermanas</t>
        </is>
      </c>
      <c r="I1053" s="2" t="inlineStr">
        <is>
          <t>“Casa de la Música”. Línea estratégica de Inversiones en Desarrollo Urbano del Programa Municipal “Más Sevilla” -Plan Provincial “Más Sevilla"</t>
        </is>
      </c>
      <c r="J1053" s="2" t="inlineStr">
        <is>
          <t>07/2025/CON</t>
        </is>
      </c>
      <c r="K1053" s="2" t="inlineStr">
        <is>
          <t>Abierto simplificado</t>
        </is>
      </c>
      <c r="L1053" s="6" t="n">
        <v>9</v>
      </c>
      <c r="M1053" s="2" t="inlineStr">
        <is>
          <t>C7-1; C4-2</t>
        </is>
      </c>
      <c r="N1053" s="7" t="n">
        <v>0</v>
      </c>
      <c r="O1053" s="4" t="n"/>
      <c r="P1053" s="2" t="inlineStr">
        <is>
          <t>45262520; 45323000</t>
        </is>
      </c>
      <c r="Q1053" s="8" t="inlineStr">
        <is>
          <t>Ver</t>
        </is>
      </c>
      <c r="R1053" s="8" t="inlineStr">
        <is>
          <t>PCAP</t>
        </is>
      </c>
      <c r="S1053" s="9" t="n">
        <v>46317</v>
      </c>
      <c r="T1053" s="3" t="n">
        <v>46315.57894675926</v>
      </c>
      <c r="U1053" s="2" t="n"/>
    </row>
    <row r="1054">
      <c r="A1054" s="2" t="inlineStr">
        <is>
          <t>Resuelta</t>
        </is>
      </c>
      <c r="B1054" s="3" t="n">
        <v>46314.99930555555</v>
      </c>
      <c r="C1054" s="5" t="n">
        <v>112854.41</v>
      </c>
      <c r="D1054" s="5" t="n">
        <v>112854.41</v>
      </c>
      <c r="E1054" s="2" t="inlineStr">
        <is>
          <t>Comunitat Valenciana</t>
        </is>
      </c>
      <c r="F1054" s="2" t="inlineStr">
        <is>
          <t>Alicante</t>
        </is>
      </c>
      <c r="G1054" s="2" t="inlineStr">
        <is>
          <t>Confrides</t>
        </is>
      </c>
      <c r="H1054" s="2" t="inlineStr">
        <is>
          <t>Alcaldia del Ayuntamiento de Confrides</t>
        </is>
      </c>
      <c r="I1054" s="2" t="inlineStr">
        <is>
          <t>Obras de adecuación y renovación de la Plaza de l'Anoguer en el Núcleo Histórico Tradicional de Confrides (Zona Norte)</t>
        </is>
      </c>
      <c r="J1054" s="2" t="inlineStr">
        <is>
          <t>458/2026</t>
        </is>
      </c>
      <c r="K1054" s="2" t="inlineStr">
        <is>
          <t>Abierto</t>
        </is>
      </c>
      <c r="L1054" s="6" t="n">
        <v>4</v>
      </c>
      <c r="M1054" s="2" t="n"/>
      <c r="N1054" s="7" t="n">
        <v>0.4</v>
      </c>
      <c r="O1054" s="4" t="n"/>
      <c r="P1054" s="2" t="inlineStr">
        <is>
          <t>45000000</t>
        </is>
      </c>
      <c r="Q1054" s="8" t="inlineStr">
        <is>
          <t>Ver</t>
        </is>
      </c>
      <c r="R1054" s="8" t="inlineStr">
        <is>
          <t>PCAP</t>
        </is>
      </c>
      <c r="S1054" s="9" t="n">
        <v>46317</v>
      </c>
      <c r="T1054" s="3" t="n">
        <v>46315.57744212963</v>
      </c>
      <c r="U1054" s="2" t="n"/>
    </row>
    <row r="1055">
      <c r="A1055" s="2" t="inlineStr">
        <is>
          <t>Resuelta</t>
        </is>
      </c>
      <c r="B1055" s="3" t="n">
        <v>46267.58333333334</v>
      </c>
      <c r="C1055" s="5" t="n">
        <v>314168.05</v>
      </c>
      <c r="D1055" s="5" t="n">
        <v>314168.05</v>
      </c>
      <c r="E1055" s="2" t="inlineStr">
        <is>
          <t>Comunitat Valenciana</t>
        </is>
      </c>
      <c r="F1055" s="2" t="inlineStr">
        <is>
          <t>Valencia</t>
        </is>
      </c>
      <c r="G1055" s="2" t="inlineStr">
        <is>
          <t>Xirivella</t>
        </is>
      </c>
      <c r="H1055" s="2" t="inlineStr">
        <is>
          <t>Gerencia de Aigües de l'Horta S.A.</t>
        </is>
      </c>
      <c r="I1055" s="2" t="inlineStr">
        <is>
          <t>Renovación de red hidráulica en Doctor Marañón, Xirivella (Fase I)</t>
        </is>
      </c>
      <c r="J1055" s="2" t="inlineStr">
        <is>
          <t>Xir_A25004</t>
        </is>
      </c>
      <c r="K1055" s="2" t="inlineStr">
        <is>
          <t>Abierto</t>
        </is>
      </c>
      <c r="L1055" s="6" t="n">
        <v>4</v>
      </c>
      <c r="M1055" s="2" t="n"/>
      <c r="N1055" s="7" t="n">
        <v>0.24</v>
      </c>
      <c r="O1055" s="4" t="n"/>
      <c r="P1055" s="2" t="inlineStr">
        <is>
          <t>45231300</t>
        </is>
      </c>
      <c r="Q1055" s="8" t="inlineStr">
        <is>
          <t>Ver</t>
        </is>
      </c>
      <c r="R1055" s="8" t="inlineStr">
        <is>
          <t>PCAP</t>
        </is>
      </c>
      <c r="S1055" s="9" t="n">
        <v>46310</v>
      </c>
      <c r="T1055" s="3" t="n">
        <v>46315.57585648148</v>
      </c>
      <c r="U1055" s="2" t="inlineStr">
        <is>
          <t>2026-10-22: estado ADJ → RES</t>
        </is>
      </c>
    </row>
    <row r="1056">
      <c r="A1056" s="2" t="inlineStr">
        <is>
          <t>En plazo</t>
        </is>
      </c>
      <c r="B1056" s="3" t="n">
        <v>46336.625</v>
      </c>
      <c r="C1056" s="5" t="n">
        <v>57738.03</v>
      </c>
      <c r="D1056" s="5" t="n">
        <v>57738.03</v>
      </c>
      <c r="E1056" s="2" t="inlineStr">
        <is>
          <t>Comunitat Valenciana</t>
        </is>
      </c>
      <c r="F1056" s="2" t="inlineStr">
        <is>
          <t>Valencia</t>
        </is>
      </c>
      <c r="G1056" s="2" t="n"/>
      <c r="H1056" s="2" t="inlineStr">
        <is>
          <t>Alcaldía del Ayuntamiento de Losa del Obispo</t>
        </is>
      </c>
      <c r="I1056" s="2" t="inlineStr">
        <is>
          <t>Depósito de agua potable</t>
        </is>
      </c>
      <c r="J1056" s="2" t="inlineStr">
        <is>
          <t>3060979K</t>
        </is>
      </c>
      <c r="K1056" s="2" t="inlineStr">
        <is>
          <t>Abierto simplificado</t>
        </is>
      </c>
      <c r="L1056" s="6" t="n"/>
      <c r="M1056" s="2" t="n"/>
      <c r="N1056" s="7" t="n">
        <v>0</v>
      </c>
      <c r="O1056" s="4" t="n"/>
      <c r="P1056" s="2" t="inlineStr">
        <is>
          <t>45000000</t>
        </is>
      </c>
      <c r="Q1056" s="8" t="inlineStr">
        <is>
          <t>Ver</t>
        </is>
      </c>
      <c r="R1056" s="8" t="inlineStr">
        <is>
          <t>PCAP</t>
        </is>
      </c>
      <c r="S1056" s="9" t="n">
        <v>46317</v>
      </c>
      <c r="T1056" s="3" t="n">
        <v>46315.5753587963</v>
      </c>
      <c r="U1056" s="2" t="n"/>
    </row>
    <row r="1057">
      <c r="A1057" s="2" t="inlineStr">
        <is>
          <t>Adjudicada</t>
        </is>
      </c>
      <c r="B1057" s="3" t="n">
        <v>46279.99930555555</v>
      </c>
      <c r="C1057" s="5" t="n">
        <v>309917.35</v>
      </c>
      <c r="D1057" s="5" t="n">
        <v>309917.35</v>
      </c>
      <c r="E1057" s="2" t="inlineStr">
        <is>
          <t>Andalucía</t>
        </is>
      </c>
      <c r="F1057" s="2" t="inlineStr">
        <is>
          <t>Málaga</t>
        </is>
      </c>
      <c r="G1057" s="2" t="n"/>
      <c r="H1057" s="2" t="inlineStr">
        <is>
          <t>Concejalía de Hacienda del Ayuntamiento de Benalmádena</t>
        </is>
      </c>
      <c r="I1057" s="2" t="inlineStr">
        <is>
          <t>Contrato de obras para la restauración y conservación de Torre Bermeja en Benalmádena</t>
        </is>
      </c>
      <c r="J1057" s="2" t="inlineStr">
        <is>
          <t>2026/34606Y</t>
        </is>
      </c>
      <c r="K1057" s="2" t="inlineStr">
        <is>
          <t>Abierto simplificado</t>
        </is>
      </c>
      <c r="L1057" s="6" t="n">
        <v>8</v>
      </c>
      <c r="M1057" s="2" t="n"/>
      <c r="N1057" s="7" t="n">
        <v>0</v>
      </c>
      <c r="O1057" s="4" t="n"/>
      <c r="P1057" s="2" t="inlineStr">
        <is>
          <t>45454100; 45212350</t>
        </is>
      </c>
      <c r="Q1057" s="8" t="inlineStr">
        <is>
          <t>Ver</t>
        </is>
      </c>
      <c r="R1057" s="8" t="inlineStr">
        <is>
          <t>PCAP</t>
        </is>
      </c>
      <c r="S1057" s="9" t="n">
        <v>46310</v>
      </c>
      <c r="T1057" s="3" t="n">
        <v>46315.57284722223</v>
      </c>
      <c r="U1057" s="2" t="inlineStr">
        <is>
          <t>2026-10-22: estado EV → ADJ</t>
        </is>
      </c>
    </row>
    <row r="1058">
      <c r="A1058" s="2" t="inlineStr">
        <is>
          <t>Plazo vencido</t>
        </is>
      </c>
      <c r="B1058" s="3" t="n">
        <v>46321.99930555555</v>
      </c>
      <c r="C1058" s="5" t="n">
        <v>193141.55</v>
      </c>
      <c r="D1058" s="5" t="n">
        <v>193141.55</v>
      </c>
      <c r="E1058" s="2" t="inlineStr">
        <is>
          <t>Comunitat Valenciana</t>
        </is>
      </c>
      <c r="F1058" s="2" t="inlineStr">
        <is>
          <t>Alicante</t>
        </is>
      </c>
      <c r="G1058" s="2" t="n"/>
      <c r="H1058" s="2" t="inlineStr">
        <is>
          <t>Junta de Gobierno del Ayuntamiento de Elda</t>
        </is>
      </c>
      <c r="I1058" s="2" t="inlineStr">
        <is>
          <t>Obras de ampliación de la dotación en el Cementerio Municipal Virgen de los Dolores, mediante la construcción de un módulo (Fase A) de 96 nichos.</t>
        </is>
      </c>
      <c r="J1058" s="2" t="inlineStr">
        <is>
          <t>2026/14058</t>
        </is>
      </c>
      <c r="K1058" s="2" t="inlineStr">
        <is>
          <t>Abierto simplificado</t>
        </is>
      </c>
      <c r="L1058" s="6" t="n">
        <v>2</v>
      </c>
      <c r="M1058" s="2" t="n"/>
      <c r="N1058" s="7" t="n">
        <v>0</v>
      </c>
      <c r="O1058" s="4" t="n"/>
      <c r="P1058" s="2" t="inlineStr">
        <is>
          <t>45000000; 45215400</t>
        </is>
      </c>
      <c r="Q1058" s="8" t="inlineStr">
        <is>
          <t>Ver</t>
        </is>
      </c>
      <c r="R1058" s="8" t="inlineStr">
        <is>
          <t>PCAP</t>
        </is>
      </c>
      <c r="S1058" s="9" t="n">
        <v>46317</v>
      </c>
      <c r="T1058" s="3" t="n">
        <v>46315.57174768519</v>
      </c>
      <c r="U1058" s="2" t="n"/>
    </row>
    <row r="1059">
      <c r="A1059" s="2" t="inlineStr">
        <is>
          <t>Plazo vencido</t>
        </is>
      </c>
      <c r="B1059" s="3" t="n">
        <v>46316.99930555555</v>
      </c>
      <c r="C1059" s="5" t="n">
        <v>1556552.43</v>
      </c>
      <c r="D1059" s="5" t="n">
        <v>1556552.43</v>
      </c>
      <c r="E1059" s="2" t="inlineStr">
        <is>
          <t>Andalucía</t>
        </is>
      </c>
      <c r="F1059" s="2" t="inlineStr">
        <is>
          <t>Sevilla</t>
        </is>
      </c>
      <c r="G1059" s="2" t="inlineStr">
        <is>
          <t>Brenes (Sevilla)</t>
        </is>
      </c>
      <c r="H1059" s="2" t="inlineStr">
        <is>
          <t>Pleno del Ayuntamiento de Brenes</t>
        </is>
      </c>
      <c r="I1059" s="2" t="inlineStr">
        <is>
          <t>Obras contempladas en el proyecto de Teatro Municipal (Adecuación de salón de usos múltiples a teatro)</t>
        </is>
      </c>
      <c r="J1059" s="2" t="inlineStr">
        <is>
          <t>3206/2026</t>
        </is>
      </c>
      <c r="K1059" s="2" t="inlineStr">
        <is>
          <t>Abierto simplificado</t>
        </is>
      </c>
      <c r="L1059" s="6" t="n">
        <v>24</v>
      </c>
      <c r="M1059" s="2" t="n"/>
      <c r="N1059" s="7" t="n">
        <v>0</v>
      </c>
      <c r="O1059" s="4" t="n"/>
      <c r="P1059" s="2" t="inlineStr">
        <is>
          <t>45212322; 45454000; 45212300</t>
        </is>
      </c>
      <c r="Q1059" s="8" t="inlineStr">
        <is>
          <t>Ver</t>
        </is>
      </c>
      <c r="R1059" s="8" t="inlineStr">
        <is>
          <t>PCAP</t>
        </is>
      </c>
      <c r="S1059" s="9" t="n">
        <v>46310</v>
      </c>
      <c r="T1059" s="3" t="n">
        <v>46315.57060185185</v>
      </c>
      <c r="U1059" s="2" t="n"/>
    </row>
    <row r="1060">
      <c r="A1060" s="2" t="inlineStr">
        <is>
          <t>Resuelta</t>
        </is>
      </c>
      <c r="B1060" s="3" t="n">
        <v>46274.75</v>
      </c>
      <c r="C1060" s="5" t="n">
        <v>1498653.83</v>
      </c>
      <c r="D1060" s="5" t="n">
        <v>1648519.21</v>
      </c>
      <c r="E1060" s="2" t="inlineStr">
        <is>
          <t>Andalucía</t>
        </is>
      </c>
      <c r="F1060" s="2" t="inlineStr">
        <is>
          <t>Cádiz</t>
        </is>
      </c>
      <c r="G1060" s="2" t="inlineStr">
        <is>
          <t>Cádiz</t>
        </is>
      </c>
      <c r="H1060" s="2" t="inlineStr">
        <is>
          <t>Consejo de Administración de Promoción y Gestión de Viviendas de Cádiz, S.A</t>
        </is>
      </c>
      <c r="I1060" s="2" t="inlineStr">
        <is>
          <t>Contratación conjunta de elaboración de Proyecto y ejecución de obras de 3 viviendas protegidas en calle San Juan Bautista de la Salle, nº 2, y ejecución de obras de 5 viviendas protegidas en calle San Juan Bautista de la Salle, nº 17, ambas en Cádiz, con destino a alquiler social. Se ha solicitado financiación de la Unión Europea (Next Generation EU), con fondos procedentes del PRTR.</t>
        </is>
      </c>
      <c r="J1060" s="2" t="inlineStr">
        <is>
          <t>741/2026</t>
        </is>
      </c>
      <c r="K1060" s="2" t="inlineStr">
        <is>
          <t>Abierto simplificado</t>
        </is>
      </c>
      <c r="L1060" s="6" t="n">
        <v>20</v>
      </c>
      <c r="M1060" s="2" t="inlineStr">
        <is>
          <t>C*-3</t>
        </is>
      </c>
      <c r="N1060" s="7" t="n"/>
      <c r="O1060" s="4" t="n">
        <v>2</v>
      </c>
      <c r="P1060" s="2" t="inlineStr">
        <is>
          <t>45210000; 71200000</t>
        </is>
      </c>
      <c r="Q1060" s="8" t="inlineStr">
        <is>
          <t>Ver</t>
        </is>
      </c>
      <c r="R1060" s="8" t="inlineStr">
        <is>
          <t>PCAP</t>
        </is>
      </c>
      <c r="S1060" s="9" t="n">
        <v>46317</v>
      </c>
      <c r="T1060" s="3" t="n">
        <v>46315.57002314815</v>
      </c>
      <c r="U1060" s="2" t="n"/>
    </row>
    <row r="1061">
      <c r="A1061" s="2" t="inlineStr">
        <is>
          <t>Resuelta</t>
        </is>
      </c>
      <c r="B1061" s="3" t="n">
        <v>46272.99930555555</v>
      </c>
      <c r="C1061" s="5" t="n">
        <v>413220.79</v>
      </c>
      <c r="D1061" s="5" t="n">
        <v>537187.03</v>
      </c>
      <c r="E1061" s="2" t="inlineStr">
        <is>
          <t>Comunitat Valenciana</t>
        </is>
      </c>
      <c r="F1061" s="2" t="inlineStr">
        <is>
          <t>Alicante</t>
        </is>
      </c>
      <c r="G1061" s="2" t="inlineStr">
        <is>
          <t>Alicante</t>
        </is>
      </c>
      <c r="H1061" s="2" t="inlineStr">
        <is>
          <t>Departamento de Salud Alicante. Dirección Económica-Gerencia</t>
        </is>
      </c>
      <c r="I1061" s="2" t="inlineStr">
        <is>
          <t>Obra de implantación de sala de preparación y manipulación de medicamentos en el Hospital General Universitario Dr. Balmis de Alicante. FASE I Sala de Peligrosos</t>
        </is>
      </c>
      <c r="J1061" s="2" t="inlineStr">
        <is>
          <t>PAS 372/2026</t>
        </is>
      </c>
      <c r="K1061" s="2" t="inlineStr">
        <is>
          <t>Abierto simplificado</t>
        </is>
      </c>
      <c r="L1061" s="6" t="n">
        <v>5</v>
      </c>
      <c r="M1061" s="2" t="inlineStr">
        <is>
          <t>C4-3; C1-3; C8-3; C6-3</t>
        </is>
      </c>
      <c r="N1061" s="7" t="n">
        <v>0.25</v>
      </c>
      <c r="O1061" s="4" t="n"/>
      <c r="P1061" s="2" t="inlineStr">
        <is>
          <t>45215140; 45453100; 45300000</t>
        </is>
      </c>
      <c r="Q1061" s="8" t="inlineStr">
        <is>
          <t>Ver</t>
        </is>
      </c>
      <c r="R1061" s="8" t="inlineStr">
        <is>
          <t>PCAP</t>
        </is>
      </c>
      <c r="S1061" s="9" t="n">
        <v>46317</v>
      </c>
      <c r="T1061" s="3" t="n">
        <v>46315.56365740741</v>
      </c>
      <c r="U1061" s="2" t="n"/>
    </row>
    <row r="1062">
      <c r="A1062" s="2" t="inlineStr">
        <is>
          <t>Pendiente de adjudicación</t>
        </is>
      </c>
      <c r="B1062" s="3" t="n">
        <v>46300.99930555555</v>
      </c>
      <c r="C1062" s="5" t="n">
        <v>89964</v>
      </c>
      <c r="D1062" s="5" t="n">
        <v>89964</v>
      </c>
      <c r="E1062" s="2" t="inlineStr">
        <is>
          <t>Andalucía</t>
        </is>
      </c>
      <c r="F1062" s="2" t="inlineStr">
        <is>
          <t>Jaén</t>
        </is>
      </c>
      <c r="G1062" s="2" t="inlineStr">
        <is>
          <t>Vilches</t>
        </is>
      </c>
      <c r="H1062" s="2" t="inlineStr">
        <is>
          <t>Alcaldía del Ayuntamiento de Vilches</t>
        </is>
      </c>
      <c r="I1062" s="2" t="inlineStr">
        <is>
          <t>Reparación, restitución, reconstrucción, mejora y ampliación de la Calle San Gregorio de Vilches</t>
        </is>
      </c>
      <c r="J1062" s="2" t="inlineStr">
        <is>
          <t>2552/2026</t>
        </is>
      </c>
      <c r="K1062" s="2" t="inlineStr">
        <is>
          <t>Abierto simplificado</t>
        </is>
      </c>
      <c r="L1062" s="6" t="n">
        <v>2</v>
      </c>
      <c r="M1062" s="2" t="n"/>
      <c r="N1062" s="7" t="n">
        <v>0</v>
      </c>
      <c r="O1062" s="4" t="n"/>
      <c r="P1062" s="2" t="inlineStr">
        <is>
          <t>45233252; 45233140</t>
        </is>
      </c>
      <c r="Q1062" s="8" t="inlineStr">
        <is>
          <t>Ver</t>
        </is>
      </c>
      <c r="R1062" s="8" t="inlineStr">
        <is>
          <t>PCAP</t>
        </is>
      </c>
      <c r="S1062" s="9" t="n">
        <v>46317</v>
      </c>
      <c r="T1062" s="3" t="n">
        <v>46315.56208333333</v>
      </c>
      <c r="U1062" s="2" t="n"/>
    </row>
    <row r="1063">
      <c r="A1063" s="2" t="inlineStr">
        <is>
          <t>En plazo</t>
        </is>
      </c>
      <c r="B1063" s="3" t="n">
        <v>46330.79166666666</v>
      </c>
      <c r="C1063" s="5" t="n">
        <v>20000</v>
      </c>
      <c r="D1063" s="5" t="n">
        <v>100000</v>
      </c>
      <c r="E1063" s="2" t="inlineStr">
        <is>
          <t>Andalucía</t>
        </is>
      </c>
      <c r="F1063" s="2" t="inlineStr">
        <is>
          <t>Málaga</t>
        </is>
      </c>
      <c r="G1063" s="2" t="n"/>
      <c r="H1063" s="2" t="inlineStr">
        <is>
          <t>Junta de Gobierno Local del Ayuntamiento de Sayalonga</t>
        </is>
      </c>
      <c r="I1063" s="2" t="inlineStr">
        <is>
          <t>Trabajos con excavadoras mecánicas en Corumbela</t>
        </is>
      </c>
      <c r="J1063" s="2" t="inlineStr">
        <is>
          <t>484/2026</t>
        </is>
      </c>
      <c r="K1063" s="2" t="inlineStr">
        <is>
          <t>Abierto simplificado</t>
        </is>
      </c>
      <c r="L1063" s="6" t="n">
        <v>12</v>
      </c>
      <c r="M1063" s="2" t="n"/>
      <c r="N1063" s="7" t="n">
        <v>0</v>
      </c>
      <c r="O1063" s="4" t="n"/>
      <c r="P1063" s="2" t="inlineStr">
        <is>
          <t>45112000</t>
        </is>
      </c>
      <c r="Q1063" s="8" t="inlineStr">
        <is>
          <t>Ver</t>
        </is>
      </c>
      <c r="R1063" s="8" t="inlineStr">
        <is>
          <t>PCAP</t>
        </is>
      </c>
      <c r="S1063" s="9" t="n">
        <v>46317</v>
      </c>
      <c r="T1063" s="3" t="n">
        <v>46315.55430555555</v>
      </c>
      <c r="U1063" s="2" t="n"/>
    </row>
    <row r="1064">
      <c r="A1064" s="2" t="inlineStr">
        <is>
          <t>En plazo</t>
        </is>
      </c>
      <c r="B1064" s="3" t="n">
        <v>46329.99930555555</v>
      </c>
      <c r="C1064" s="5" t="n">
        <v>272433.83</v>
      </c>
      <c r="D1064" s="5" t="n">
        <v>272433.83</v>
      </c>
      <c r="E1064" s="2" t="inlineStr">
        <is>
          <t>Comunitat Valenciana</t>
        </is>
      </c>
      <c r="F1064" s="2" t="inlineStr">
        <is>
          <t>Valencia</t>
        </is>
      </c>
      <c r="G1064" s="2" t="n"/>
      <c r="H1064" s="2" t="inlineStr">
        <is>
          <t>Junta de Gobierno del Ayuntamiento de Alzira</t>
        </is>
      </c>
      <c r="I1064" s="2" t="inlineStr">
        <is>
          <t>Obras de regeneración urbana y creación de espacio público en plaza Luis Suñer de Alzira</t>
        </is>
      </c>
      <c r="J1064" s="2" t="inlineStr">
        <is>
          <t>OC-6413/26</t>
        </is>
      </c>
      <c r="K1064" s="2" t="inlineStr">
        <is>
          <t>Abierto simplificado</t>
        </is>
      </c>
      <c r="L1064" s="6" t="n">
        <v>5</v>
      </c>
      <c r="M1064" s="2" t="n"/>
      <c r="N1064" s="7" t="n">
        <v>0</v>
      </c>
      <c r="O1064" s="4" t="n"/>
      <c r="P1064" s="2" t="inlineStr">
        <is>
          <t>45233262</t>
        </is>
      </c>
      <c r="Q1064" s="8" t="inlineStr">
        <is>
          <t>Ver</t>
        </is>
      </c>
      <c r="R1064" s="8" t="inlineStr">
        <is>
          <t>PCAP</t>
        </is>
      </c>
      <c r="S1064" s="9" t="n">
        <v>46310</v>
      </c>
      <c r="T1064" s="3" t="n">
        <v>46315.55385416667</v>
      </c>
      <c r="U1064" s="2" t="n"/>
    </row>
    <row r="1065">
      <c r="A1065" s="2" t="inlineStr">
        <is>
          <t>En plazo</t>
        </is>
      </c>
      <c r="B1065" s="3" t="n">
        <v>46324.79166666666</v>
      </c>
      <c r="C1065" s="5" t="n">
        <v>45208.1</v>
      </c>
      <c r="D1065" s="5" t="n">
        <v>45208.1</v>
      </c>
      <c r="E1065" s="2" t="inlineStr">
        <is>
          <t>Comunitat Valenciana</t>
        </is>
      </c>
      <c r="F1065" s="2" t="inlineStr">
        <is>
          <t>Valencia</t>
        </is>
      </c>
      <c r="G1065" s="2" t="inlineStr">
        <is>
          <t>Algemesí</t>
        </is>
      </c>
      <c r="H1065" s="2" t="inlineStr">
        <is>
          <t>Junta de Gobierno del Ayuntamiento de Algemesí</t>
        </is>
      </c>
      <c r="I1065" s="2" t="inlineStr">
        <is>
          <t>Proyecto de demolición de dos viviendas entre medianeras situados en la calle San Benedicto n.º 2 y plaza San Miquel n.º 1 de Algemesí,</t>
        </is>
      </c>
      <c r="J1065" s="2" t="inlineStr">
        <is>
          <t>11682/2026</t>
        </is>
      </c>
      <c r="K1065" s="2" t="inlineStr">
        <is>
          <t>Abierto simplificado</t>
        </is>
      </c>
      <c r="L1065" s="6" t="n">
        <v>2</v>
      </c>
      <c r="M1065" s="2" t="n"/>
      <c r="N1065" s="7" t="n">
        <v>0</v>
      </c>
      <c r="O1065" s="4" t="n"/>
      <c r="P1065" s="2" t="inlineStr">
        <is>
          <t>45111100</t>
        </is>
      </c>
      <c r="Q1065" s="8" t="inlineStr">
        <is>
          <t>Ver</t>
        </is>
      </c>
      <c r="R1065" s="8" t="inlineStr">
        <is>
          <t>PCAP</t>
        </is>
      </c>
      <c r="S1065" s="9" t="n">
        <v>46311</v>
      </c>
      <c r="T1065" s="3" t="n">
        <v>46315.5511574074</v>
      </c>
      <c r="U1065" s="2" t="n"/>
    </row>
    <row r="1066">
      <c r="A1066" s="2" t="inlineStr">
        <is>
          <t>En plazo</t>
        </is>
      </c>
      <c r="B1066" s="3" t="n">
        <v>46336.5</v>
      </c>
      <c r="C1066" s="5" t="n">
        <v>826446.28</v>
      </c>
      <c r="D1066" s="5" t="n">
        <v>826446.28</v>
      </c>
      <c r="E1066" s="2" t="inlineStr">
        <is>
          <t>Comunitat Valenciana</t>
        </is>
      </c>
      <c r="F1066" s="2" t="inlineStr">
        <is>
          <t>Alicante</t>
        </is>
      </c>
      <c r="G1066" s="2" t="inlineStr">
        <is>
          <t>Almoradí</t>
        </is>
      </c>
      <c r="H1066" s="2" t="inlineStr">
        <is>
          <t>Junta de Gobierno del Ayuntamiento de Almoradí</t>
        </is>
      </c>
      <c r="I1066" s="2" t="inlineStr">
        <is>
          <t>Renovación de firme, señalización vial y calmado del tráfico en el término municipal de Almoradí.</t>
        </is>
      </c>
      <c r="J1066" s="2" t="inlineStr">
        <is>
          <t>6799/2026</t>
        </is>
      </c>
      <c r="K1066" s="2" t="inlineStr">
        <is>
          <t>Abierto simplificado</t>
        </is>
      </c>
      <c r="L1066" s="6" t="n">
        <v>3</v>
      </c>
      <c r="M1066" s="2" t="n"/>
      <c r="N1066" s="7" t="n">
        <v>0</v>
      </c>
      <c r="O1066" s="4" t="n"/>
      <c r="P1066" s="2" t="inlineStr">
        <is>
          <t>45233222</t>
        </is>
      </c>
      <c r="Q1066" s="8" t="inlineStr">
        <is>
          <t>Ver</t>
        </is>
      </c>
      <c r="R1066" s="8" t="inlineStr">
        <is>
          <t>PCAP</t>
        </is>
      </c>
      <c r="S1066" s="9" t="n">
        <v>46317</v>
      </c>
      <c r="T1066" s="3" t="n">
        <v>46315.54905092593</v>
      </c>
      <c r="U1066" s="2" t="n"/>
    </row>
    <row r="1067">
      <c r="A1067" s="2" t="inlineStr">
        <is>
          <t>Adjudicada</t>
        </is>
      </c>
      <c r="B1067" s="3" t="n">
        <v>46272.58333333334</v>
      </c>
      <c r="C1067" s="5" t="n">
        <v>499288.2</v>
      </c>
      <c r="D1067" s="5" t="n">
        <v>499288.2</v>
      </c>
      <c r="E1067" s="2" t="inlineStr">
        <is>
          <t>Comunitat Valenciana</t>
        </is>
      </c>
      <c r="F1067" s="2" t="inlineStr">
        <is>
          <t>Valencia</t>
        </is>
      </c>
      <c r="G1067" s="2" t="n"/>
      <c r="H1067" s="2" t="inlineStr">
        <is>
          <t>Dirección General de la Ciudad de las Artes y de las Ciencias S.A.</t>
        </is>
      </c>
      <c r="I1067" s="2" t="inlineStr">
        <is>
          <t>Contratación de la ejecución de las obras de modificación de acceso de mercancías este del Oceanogràfic</t>
        </is>
      </c>
      <c r="J1067" s="2" t="inlineStr">
        <is>
          <t>0067-26</t>
        </is>
      </c>
      <c r="K1067" s="2" t="inlineStr">
        <is>
          <t>Abierto simplificado</t>
        </is>
      </c>
      <c r="L1067" s="6" t="n">
        <v>5</v>
      </c>
      <c r="M1067" s="2" t="n"/>
      <c r="N1067" s="7" t="n">
        <v>0</v>
      </c>
      <c r="O1067" s="4" t="n"/>
      <c r="P1067" s="2" t="inlineStr">
        <is>
          <t>45000000; 45233252; 45443000; 45233294</t>
        </is>
      </c>
      <c r="Q1067" s="8" t="inlineStr">
        <is>
          <t>Ver</t>
        </is>
      </c>
      <c r="R1067" s="8" t="inlineStr">
        <is>
          <t>PCAP</t>
        </is>
      </c>
      <c r="S1067" s="9" t="n">
        <v>46314</v>
      </c>
      <c r="T1067" s="3" t="n">
        <v>46315.54604166667</v>
      </c>
      <c r="U1067" s="2" t="inlineStr">
        <is>
          <t>2026-10-22: estado EV → ADJ</t>
        </is>
      </c>
    </row>
    <row r="1068">
      <c r="A1068" s="2" t="inlineStr">
        <is>
          <t>Resuelta</t>
        </is>
      </c>
      <c r="B1068" s="3" t="n">
        <v>46274.75</v>
      </c>
      <c r="C1068" s="5" t="n">
        <v>867805.88</v>
      </c>
      <c r="D1068" s="5" t="n">
        <v>954586.47</v>
      </c>
      <c r="E1068" s="2" t="inlineStr">
        <is>
          <t>Andalucía</t>
        </is>
      </c>
      <c r="F1068" s="2" t="inlineStr">
        <is>
          <t>Cádiz</t>
        </is>
      </c>
      <c r="G1068" s="2" t="inlineStr">
        <is>
          <t>Cádiz</t>
        </is>
      </c>
      <c r="H1068" s="2" t="inlineStr">
        <is>
          <t>Consejo de Administración de Promoción y Gestión de Viviendas de Cádiz, S.A</t>
        </is>
      </c>
      <c r="I1068" s="2" t="inlineStr">
        <is>
          <t>Contratación conjunta de la elaboración de Proyecto de Ejecución y la ejecución de las obras de construcción de 8 viviendas protegidas con destino a alquiler social, en edificio energéticamente eficiente, en calle Merced, nº 28, en Cádiz. Solicitada financiación de la Unión Europea (Next Generation EU), con fondos procedentes del Plan de Recuperación, Transformación y Resiliencia.</t>
        </is>
      </c>
      <c r="J1068" s="2" t="inlineStr">
        <is>
          <t>689/2026</t>
        </is>
      </c>
      <c r="K1068" s="2" t="inlineStr">
        <is>
          <t>Abierto simplificado</t>
        </is>
      </c>
      <c r="L1068" s="6" t="n">
        <v>20</v>
      </c>
      <c r="M1068" s="2" t="inlineStr">
        <is>
          <t>C*-3</t>
        </is>
      </c>
      <c r="N1068" s="7" t="n">
        <v>0.45</v>
      </c>
      <c r="O1068" s="4" t="n"/>
      <c r="P1068" s="2" t="inlineStr">
        <is>
          <t>45210000; 71200000</t>
        </is>
      </c>
      <c r="Q1068" s="8" t="inlineStr">
        <is>
          <t>Ver</t>
        </is>
      </c>
      <c r="R1068" s="8" t="inlineStr">
        <is>
          <t>PCAP</t>
        </is>
      </c>
      <c r="S1068" s="9" t="n">
        <v>46317</v>
      </c>
      <c r="T1068" s="3" t="n">
        <v>46315.5415162037</v>
      </c>
      <c r="U1068" s="2" t="n"/>
    </row>
    <row r="1069">
      <c r="A1069" s="2" t="inlineStr">
        <is>
          <t>Pendiente de adjudicación</t>
        </is>
      </c>
      <c r="B1069" s="3" t="n">
        <v>46269.99930555555</v>
      </c>
      <c r="C1069" s="5" t="n">
        <v>6892117.77</v>
      </c>
      <c r="D1069" s="5" t="n">
        <v>6892117.77</v>
      </c>
      <c r="E1069" s="2" t="inlineStr">
        <is>
          <t>Comunitat Valenciana</t>
        </is>
      </c>
      <c r="F1069" s="2" t="inlineStr">
        <is>
          <t>Castellón</t>
        </is>
      </c>
      <c r="G1069" s="2" t="n"/>
      <c r="H1069" s="2" t="inlineStr">
        <is>
          <t>Pleno del Ayuntamiento de Vinarós</t>
        </is>
      </c>
      <c r="I1069" s="2" t="inlineStr">
        <is>
          <t>Contratación de las Obras del Nuevo Auditorio-Teatro municipal- Lote 1 y contratación de las Obras correspondientes al montaje del Equipamiento-Maquinaria Escénica del Auditorio municipal así como su Suministro- Lote 2- Fase I, subvencionado en el Marco del Desarrollo Urbano Sostenible, con cargo al Fondo Europeo de Desarrollo Regional en el periodo de programación 2021-2027.</t>
        </is>
      </c>
      <c r="J1069" s="2" t="inlineStr">
        <is>
          <t>3023/2026</t>
        </is>
      </c>
      <c r="K1069" s="2" t="inlineStr">
        <is>
          <t>Abierto</t>
        </is>
      </c>
      <c r="L1069" s="6" t="n">
        <v>18</v>
      </c>
      <c r="M1069" s="2" t="n"/>
      <c r="N1069" s="7" t="n">
        <v>0.25</v>
      </c>
      <c r="O1069" s="4" t="n">
        <v>2</v>
      </c>
      <c r="P1069" s="2" t="inlineStr">
        <is>
          <t>45212321; 45350000; 45310000</t>
        </is>
      </c>
      <c r="Q1069" s="8" t="inlineStr">
        <is>
          <t>Ver</t>
        </is>
      </c>
      <c r="R1069" s="8" t="inlineStr">
        <is>
          <t>PCAP</t>
        </is>
      </c>
      <c r="S1069" s="9" t="n">
        <v>46317</v>
      </c>
      <c r="T1069" s="3" t="n">
        <v>46315.54059027778</v>
      </c>
      <c r="U1069" s="2" t="n"/>
    </row>
    <row r="1070">
      <c r="A1070" s="2" t="inlineStr">
        <is>
          <t>Resuelta</t>
        </is>
      </c>
      <c r="B1070" s="3" t="n">
        <v>46238.41666666666</v>
      </c>
      <c r="C1070" s="5" t="n">
        <v>42750</v>
      </c>
      <c r="D1070" s="5" t="n">
        <v>42750</v>
      </c>
      <c r="E1070" s="2" t="inlineStr">
        <is>
          <t>Andalucía</t>
        </is>
      </c>
      <c r="F1070" s="2" t="inlineStr">
        <is>
          <t>Almería</t>
        </is>
      </c>
      <c r="G1070" s="2" t="n"/>
      <c r="H1070" s="2" t="inlineStr">
        <is>
          <t>Empresa de Transformación Agraria S.A.,S.M.E., M.P., (TRAGSA)</t>
        </is>
      </c>
      <c r="I107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70" s="2" t="inlineStr">
        <is>
          <t>TSA0078977-315</t>
        </is>
      </c>
      <c r="K1070" s="2" t="inlineStr">
        <is>
          <t>Abierto</t>
        </is>
      </c>
      <c r="L1070" s="6" t="n">
        <v>6</v>
      </c>
      <c r="M1070" s="2" t="n"/>
      <c r="N1070" s="7" t="n">
        <v>0</v>
      </c>
      <c r="O1070" s="4" t="n"/>
      <c r="P1070" s="2" t="inlineStr">
        <is>
          <t>45500000</t>
        </is>
      </c>
      <c r="Q1070" s="8" t="inlineStr">
        <is>
          <t>Ver</t>
        </is>
      </c>
      <c r="R1070" s="8" t="inlineStr">
        <is>
          <t>PCAP</t>
        </is>
      </c>
      <c r="S1070" s="9" t="n">
        <v>46317</v>
      </c>
      <c r="T1070" s="3" t="n">
        <v>46315.54059027778</v>
      </c>
      <c r="U1070" s="2" t="n"/>
    </row>
    <row r="1071">
      <c r="A1071" s="2" t="inlineStr">
        <is>
          <t>Pendiente de adjudicación</t>
        </is>
      </c>
      <c r="B1071" s="3" t="n">
        <v>46251.99930555555</v>
      </c>
      <c r="C1071" s="5" t="n">
        <v>1368900.87</v>
      </c>
      <c r="D1071" s="5" t="n">
        <v>1368900.87</v>
      </c>
      <c r="E1071" s="2" t="inlineStr">
        <is>
          <t>Andalucía</t>
        </is>
      </c>
      <c r="F1071" s="2" t="inlineStr">
        <is>
          <t>Jaén</t>
        </is>
      </c>
      <c r="G1071" s="2" t="inlineStr">
        <is>
          <t>Jaén</t>
        </is>
      </c>
      <c r="H1071" s="2" t="inlineStr">
        <is>
          <t>Presidencia de la Diputación Provincial de Jaén</t>
        </is>
      </c>
      <c r="I1071" s="2" t="inlineStr">
        <is>
          <t>Obras de mejora puntual de trazado y refuerzo de firme en la JA-7105 acceso a Chilluévar, P.K. 2+200 al 4+550.</t>
        </is>
      </c>
      <c r="J1071" s="2" t="inlineStr">
        <is>
          <t>CO-2024/002194-1</t>
        </is>
      </c>
      <c r="K1071" s="2" t="inlineStr">
        <is>
          <t>Abierto</t>
        </is>
      </c>
      <c r="L1071" s="6" t="n">
        <v>12</v>
      </c>
      <c r="M1071" s="2" t="inlineStr">
        <is>
          <t>G4-4</t>
        </is>
      </c>
      <c r="N1071" s="7" t="n">
        <v>0.4</v>
      </c>
      <c r="O1071" s="4" t="n"/>
      <c r="P1071" s="2" t="inlineStr">
        <is>
          <t>45233140</t>
        </is>
      </c>
      <c r="Q1071" s="8" t="inlineStr">
        <is>
          <t>Ver</t>
        </is>
      </c>
      <c r="R1071" s="8" t="inlineStr">
        <is>
          <t>PCAP</t>
        </is>
      </c>
      <c r="S1071" s="9" t="n">
        <v>46317</v>
      </c>
      <c r="T1071" s="3" t="n">
        <v>46315.53888888889</v>
      </c>
      <c r="U1071" s="2" t="n"/>
    </row>
    <row r="1072">
      <c r="A1072" s="2" t="inlineStr">
        <is>
          <t>Resuelta</t>
        </is>
      </c>
      <c r="B1072" s="3" t="n">
        <v>45572.625</v>
      </c>
      <c r="C1072" s="5" t="n">
        <v>3932701.03</v>
      </c>
      <c r="D1072" s="5" t="n">
        <v>4719241.24</v>
      </c>
      <c r="E1072" s="2" t="inlineStr">
        <is>
          <t>Andalucía</t>
        </is>
      </c>
      <c r="F1072" s="2" t="inlineStr">
        <is>
          <t>Málaga</t>
        </is>
      </c>
      <c r="G1072" s="2" t="n"/>
      <c r="H1072" s="2" t="inlineStr">
        <is>
          <t>Alcaldía del Ayuntamiento de Rincón de la Victoria</t>
        </is>
      </c>
      <c r="I1072" s="2" t="inlineStr">
        <is>
          <t>Construcción de Parque periurbano, primera fase</t>
        </is>
      </c>
      <c r="J1072" s="2" t="inlineStr">
        <is>
          <t>Contratación 48/24</t>
        </is>
      </c>
      <c r="K1072" s="2" t="inlineStr">
        <is>
          <t>Abierto</t>
        </is>
      </c>
      <c r="L1072" s="6" t="n">
        <v>12</v>
      </c>
      <c r="M1072" s="2" t="inlineStr">
        <is>
          <t>E7-5</t>
        </is>
      </c>
      <c r="N1072" s="7" t="n">
        <v>0.4</v>
      </c>
      <c r="O1072" s="4" t="n"/>
      <c r="P1072" s="2" t="inlineStr">
        <is>
          <t>45000000</t>
        </is>
      </c>
      <c r="Q1072" s="8" t="inlineStr">
        <is>
          <t>Ver</t>
        </is>
      </c>
      <c r="R1072" s="8" t="inlineStr">
        <is>
          <t>PCAP</t>
        </is>
      </c>
      <c r="S1072" s="9" t="n">
        <v>46317</v>
      </c>
      <c r="T1072" s="3" t="n">
        <v>46315.53813657408</v>
      </c>
      <c r="U1072" s="2" t="n"/>
    </row>
    <row r="1073">
      <c r="A1073" s="2" t="inlineStr">
        <is>
          <t>En plazo</t>
        </is>
      </c>
      <c r="B1073" s="3" t="n">
        <v>46342.99930555555</v>
      </c>
      <c r="C1073" s="5" t="n">
        <v>99173.53999999999</v>
      </c>
      <c r="D1073" s="5" t="n">
        <v>99173.53999999999</v>
      </c>
      <c r="E1073" s="2" t="inlineStr">
        <is>
          <t>Andalucía</t>
        </is>
      </c>
      <c r="F1073" s="2" t="inlineStr">
        <is>
          <t>Granada</t>
        </is>
      </c>
      <c r="G1073" s="2" t="n"/>
      <c r="H1073" s="2" t="inlineStr">
        <is>
          <t>Alcaldia del Ayuntamiento de Motril</t>
        </is>
      </c>
      <c r="I1073" s="2" t="inlineStr">
        <is>
          <t>Pista Multideportiva de fútbol playa, vóley playa y tenis playa en Playa Granada entre los hitos DZMT 12 y 15 y pista de petanca en Playa Poniente entre los hitos DZMT 17 y 18, en Motril</t>
        </is>
      </c>
      <c r="J1073" s="2" t="inlineStr">
        <is>
          <t>OBR/ABR/CONTRATACION2026000049</t>
        </is>
      </c>
      <c r="K1073" s="2" t="inlineStr">
        <is>
          <t>Abierto</t>
        </is>
      </c>
      <c r="L1073" s="6" t="n">
        <v>2</v>
      </c>
      <c r="M1073" s="2" t="inlineStr">
        <is>
          <t>A2-1</t>
        </is>
      </c>
      <c r="N1073" s="7" t="n">
        <v>0</v>
      </c>
      <c r="O1073" s="4" t="n"/>
      <c r="P1073" s="2" t="inlineStr">
        <is>
          <t>45000000</t>
        </is>
      </c>
      <c r="Q1073" s="8" t="inlineStr">
        <is>
          <t>Ver</t>
        </is>
      </c>
      <c r="R1073" s="8" t="inlineStr">
        <is>
          <t>PCAP</t>
        </is>
      </c>
      <c r="S1073" s="9" t="n">
        <v>46317</v>
      </c>
      <c r="T1073" s="3" t="n">
        <v>46315.5369212963</v>
      </c>
      <c r="U1073" s="2" t="n"/>
    </row>
    <row r="1074">
      <c r="A1074" s="2" t="inlineStr">
        <is>
          <t>Resuelta</t>
        </is>
      </c>
      <c r="B1074" s="3" t="n">
        <v>46254.54166666666</v>
      </c>
      <c r="C1074" s="5" t="n">
        <v>54360.19</v>
      </c>
      <c r="D1074" s="5" t="n">
        <v>54360.19</v>
      </c>
      <c r="E1074" s="2" t="inlineStr">
        <is>
          <t>Comunitat Valenciana</t>
        </is>
      </c>
      <c r="F1074" s="2" t="inlineStr">
        <is>
          <t>Alicante</t>
        </is>
      </c>
      <c r="G1074" s="2" t="inlineStr">
        <is>
          <t>Onil</t>
        </is>
      </c>
      <c r="H1074" s="2" t="inlineStr">
        <is>
          <t>Junta de Gobierno Local del Ayuntamiento de Onil</t>
        </is>
      </c>
      <c r="I1074" s="2" t="inlineStr">
        <is>
          <t>Contratación de obras contenidas en el proyecto de adecuación de estancias en CEIP Sant Jaume para ampliación de comedor escolar</t>
        </is>
      </c>
      <c r="J1074" s="2" t="inlineStr">
        <is>
          <t>3125/2026</t>
        </is>
      </c>
      <c r="K1074" s="2" t="inlineStr">
        <is>
          <t>Abierto simplificado</t>
        </is>
      </c>
      <c r="L1074" s="6" t="n">
        <v>2</v>
      </c>
      <c r="M1074" s="2" t="n"/>
      <c r="N1074" s="7" t="n">
        <v>0</v>
      </c>
      <c r="O1074" s="4" t="n"/>
      <c r="P1074" s="2" t="inlineStr">
        <is>
          <t>45214200</t>
        </is>
      </c>
      <c r="Q1074" s="8" t="inlineStr">
        <is>
          <t>Ver</t>
        </is>
      </c>
      <c r="R1074" s="8" t="inlineStr">
        <is>
          <t>PCAP</t>
        </is>
      </c>
      <c r="S1074" s="9" t="n">
        <v>46317</v>
      </c>
      <c r="T1074" s="3" t="n">
        <v>46315.53537037037</v>
      </c>
      <c r="U1074" s="2" t="n"/>
    </row>
    <row r="1075">
      <c r="A1075" s="2" t="inlineStr">
        <is>
          <t>Resuelta</t>
        </is>
      </c>
      <c r="B1075" s="3" t="n">
        <v>46308.99930555555</v>
      </c>
      <c r="C1075" s="5" t="n">
        <v>238768.97</v>
      </c>
      <c r="D1075" s="5" t="n">
        <v>238768.97</v>
      </c>
      <c r="E1075" s="2" t="inlineStr">
        <is>
          <t>Andalucía</t>
        </is>
      </c>
      <c r="F1075" s="2" t="inlineStr">
        <is>
          <t>Sevilla</t>
        </is>
      </c>
      <c r="G1075" s="2" t="n"/>
      <c r="H1075" s="2" t="inlineStr">
        <is>
          <t>Alcaldía del Ayuntamiento de Espartinas</t>
        </is>
      </c>
      <c r="I1075" s="2" t="inlineStr">
        <is>
          <t>Ejecución de las obras del Proyecto Constructivo de Rotondas y Mejoras de Rotondas del Viario Público, conforme a lo previsto en el Proyecto Técnico que establece las características de la actuación.</t>
        </is>
      </c>
      <c r="J1075" s="2" t="inlineStr">
        <is>
          <t>2321/2026</t>
        </is>
      </c>
      <c r="K1075" s="2" t="inlineStr">
        <is>
          <t>Abierto simplificado</t>
        </is>
      </c>
      <c r="L1075" s="6" t="n">
        <v>1.3</v>
      </c>
      <c r="M1075" s="2" t="n"/>
      <c r="N1075" s="7" t="n">
        <v>0</v>
      </c>
      <c r="O1075" s="4" t="n"/>
      <c r="P1075" s="2" t="inlineStr">
        <is>
          <t>45233252; 45112710</t>
        </is>
      </c>
      <c r="Q1075" s="8" t="inlineStr">
        <is>
          <t>Ver</t>
        </is>
      </c>
      <c r="R1075" s="8" t="inlineStr">
        <is>
          <t>PCAP</t>
        </is>
      </c>
      <c r="S1075" s="9" t="n">
        <v>46317</v>
      </c>
      <c r="T1075" s="3" t="n">
        <v>46315.53153935185</v>
      </c>
      <c r="U1075" s="2" t="n"/>
    </row>
    <row r="1076">
      <c r="A1076" s="2" t="inlineStr">
        <is>
          <t>Resuelta</t>
        </is>
      </c>
      <c r="B1076" s="3" t="n">
        <v>46289.99930555555</v>
      </c>
      <c r="C1076" s="5" t="n">
        <v>3642602.34</v>
      </c>
      <c r="D1076" s="5" t="n">
        <v>3642602.34</v>
      </c>
      <c r="E1076" s="2" t="inlineStr">
        <is>
          <t>Andalucía</t>
        </is>
      </c>
      <c r="F1076" s="2" t="inlineStr">
        <is>
          <t>Málaga</t>
        </is>
      </c>
      <c r="G1076" s="2" t="inlineStr">
        <is>
          <t>Torrox</t>
        </is>
      </c>
      <c r="H1076" s="2" t="inlineStr">
        <is>
          <t>Alcaldia del Ayuntamiento de Torrox</t>
        </is>
      </c>
      <c r="I1076" s="2" t="inlineStr">
        <is>
          <t>realización de las obras de construcción de la II Fase del nuevo campo de fútbol de Torrox-Costa.</t>
        </is>
      </c>
      <c r="J1076" s="2" t="inlineStr">
        <is>
          <t>5017/2026</t>
        </is>
      </c>
      <c r="K1076" s="2" t="inlineStr">
        <is>
          <t>Abierto</t>
        </is>
      </c>
      <c r="L1076" s="6" t="n">
        <v>12</v>
      </c>
      <c r="M1076" s="2" t="n"/>
      <c r="N1076" s="7" t="n">
        <v>0.333</v>
      </c>
      <c r="O1076" s="4" t="n"/>
      <c r="P1076" s="2" t="inlineStr">
        <is>
          <t>45212200</t>
        </is>
      </c>
      <c r="Q1076" s="8" t="inlineStr">
        <is>
          <t>Ver</t>
        </is>
      </c>
      <c r="R1076" s="8" t="inlineStr">
        <is>
          <t>PCAP</t>
        </is>
      </c>
      <c r="S1076" s="9" t="n">
        <v>46317</v>
      </c>
      <c r="T1076" s="3" t="n">
        <v>46315.52596064815</v>
      </c>
      <c r="U1076" s="2" t="n"/>
    </row>
    <row r="1077">
      <c r="A1077" s="2" t="inlineStr">
        <is>
          <t>En plazo</t>
        </is>
      </c>
      <c r="B1077" s="3" t="n">
        <v>46329.99930555555</v>
      </c>
      <c r="C1077" s="5" t="n">
        <v>447072.03</v>
      </c>
      <c r="D1077" s="5" t="n">
        <v>491779.23</v>
      </c>
      <c r="E1077" s="2" t="inlineStr">
        <is>
          <t>Andalucía</t>
        </is>
      </c>
      <c r="F1077" s="2" t="inlineStr">
        <is>
          <t>Sevilla</t>
        </is>
      </c>
      <c r="G1077" s="2" t="n"/>
      <c r="H1077" s="2" t="inlineStr">
        <is>
          <t>Gerencia de Sevilla Activa SAU</t>
        </is>
      </c>
      <c r="I1077" s="2" t="inlineStr">
        <is>
          <t>Obras de mejoras funcionales de sendas peatonales y espacios anejos en el entorno del encauzamiento del río Guadaíra en el Cortijo de Cuarto</t>
        </is>
      </c>
      <c r="J1077" s="2" t="inlineStr">
        <is>
          <t>A41420191-2026/000090-PaAS</t>
        </is>
      </c>
      <c r="K1077" s="2" t="inlineStr">
        <is>
          <t>Abierto simplificado</t>
        </is>
      </c>
      <c r="L1077" s="6" t="n">
        <v>4</v>
      </c>
      <c r="M1077" s="2" t="n"/>
      <c r="N1077" s="7" t="n">
        <v>0</v>
      </c>
      <c r="O1077" s="4" t="n"/>
      <c r="P1077" s="2" t="inlineStr">
        <is>
          <t>45233161</t>
        </is>
      </c>
      <c r="Q1077" s="8" t="inlineStr">
        <is>
          <t>Ver</t>
        </is>
      </c>
      <c r="R1077" s="8" t="inlineStr">
        <is>
          <t>PCAP</t>
        </is>
      </c>
      <c r="S1077" s="9" t="n">
        <v>46310</v>
      </c>
      <c r="T1077" s="3" t="n">
        <v>46315.52030092593</v>
      </c>
      <c r="U1077" s="2" t="n"/>
    </row>
    <row r="1078">
      <c r="A1078" s="2" t="inlineStr">
        <is>
          <t>Resuelta</t>
        </is>
      </c>
      <c r="B1078" s="3" t="n">
        <v>46254.625</v>
      </c>
      <c r="C1078" s="5" t="n">
        <v>416397.66</v>
      </c>
      <c r="D1078" s="5" t="n">
        <v>458037.43</v>
      </c>
      <c r="E1078" s="2" t="inlineStr">
        <is>
          <t>Andalucía</t>
        </is>
      </c>
      <c r="F1078" s="2" t="inlineStr">
        <is>
          <t>Granada</t>
        </is>
      </c>
      <c r="G1078" s="2" t="n"/>
      <c r="H1078" s="2" t="inlineStr">
        <is>
          <t>Junta de Gobierno Local del Ayuntamiento de Algarinejo</t>
        </is>
      </c>
      <c r="I1078" s="2" t="inlineStr">
        <is>
          <t>Contratación de la ejecución de las obras incluidas en el proyecto Algarinejo: 100% luminarias led inteligentes que forma parte de la segunda convocatoria del programa de ayudas para proyectos singulares de renovación de las instalaciones de alumbrado exterior municipal, con cargo al fondo nacional de eficiencia energética; exp. fn-psamii-2025-000066</t>
        </is>
      </c>
      <c r="J1078" s="2" t="inlineStr">
        <is>
          <t>GESTIONA 859/2026 RENOVACION LUMINARIAS</t>
        </is>
      </c>
      <c r="K1078" s="2" t="inlineStr">
        <is>
          <t>Abierto simplificado</t>
        </is>
      </c>
      <c r="L1078" s="6" t="n">
        <v>6</v>
      </c>
      <c r="M1078" s="2" t="inlineStr">
        <is>
          <t>I*-3</t>
        </is>
      </c>
      <c r="N1078" s="7" t="n">
        <v>0</v>
      </c>
      <c r="O1078" s="4" t="n"/>
      <c r="P1078" s="2" t="inlineStr">
        <is>
          <t>45316000; 45310000; 31527260; 34928530; 45300000</t>
        </is>
      </c>
      <c r="Q1078" s="8" t="inlineStr">
        <is>
          <t>Ver</t>
        </is>
      </c>
      <c r="R1078" s="8" t="inlineStr">
        <is>
          <t>PCAP</t>
        </is>
      </c>
      <c r="S1078" s="9" t="n">
        <v>46317</v>
      </c>
      <c r="T1078" s="3" t="n">
        <v>46315.51636574074</v>
      </c>
      <c r="U1078" s="2" t="n"/>
    </row>
    <row r="1079">
      <c r="A1079" s="2" t="inlineStr">
        <is>
          <t>Pendiente de adjudicación</t>
        </is>
      </c>
      <c r="B1079" s="3" t="n">
        <v>46274.99930555555</v>
      </c>
      <c r="C1079" s="5" t="n">
        <v>152436.22</v>
      </c>
      <c r="D1079" s="5" t="n">
        <v>182923.46</v>
      </c>
      <c r="E1079" s="2" t="inlineStr">
        <is>
          <t>Andalucía</t>
        </is>
      </c>
      <c r="F1079" s="2" t="inlineStr">
        <is>
          <t>Almería</t>
        </is>
      </c>
      <c r="G1079" s="2" t="n"/>
      <c r="H1079" s="2" t="inlineStr">
        <is>
          <t>Junta de Gobierno Local del Ayuntamiento de El Ejido</t>
        </is>
      </c>
      <c r="I1079" s="2" t="inlineStr">
        <is>
          <t>Es objeto de la presente licitación por el procedimiento abierto simplificado, la contratación de la ejecución del proyecto de obras denominado Sustitución y adecuación de grupo electrógeno y cuadros eléctricos del edificio Ejidomar, conforme a las especificaciones y características expuestas en el presente pliego y en el proyecto técnico.</t>
        </is>
      </c>
      <c r="J1079" s="2" t="inlineStr">
        <is>
          <t>2026 850</t>
        </is>
      </c>
      <c r="K1079" s="2" t="inlineStr">
        <is>
          <t>Abierto simplificado</t>
        </is>
      </c>
      <c r="L1079" s="6" t="n">
        <v>6</v>
      </c>
      <c r="M1079" s="2" t="n"/>
      <c r="N1079" s="7" t="n">
        <v>0.25</v>
      </c>
      <c r="O1079" s="4" t="n"/>
      <c r="P1079" s="2" t="inlineStr">
        <is>
          <t>45220000; 45310000; 45223000</t>
        </is>
      </c>
      <c r="Q1079" s="8" t="inlineStr">
        <is>
          <t>Ver</t>
        </is>
      </c>
      <c r="R1079" s="8" t="inlineStr">
        <is>
          <t>PCAP</t>
        </is>
      </c>
      <c r="S1079" s="9" t="n">
        <v>46314</v>
      </c>
      <c r="T1079" s="3" t="n">
        <v>46315.51428240741</v>
      </c>
      <c r="U1079" s="2" t="n"/>
    </row>
    <row r="1080">
      <c r="A1080" s="2" t="inlineStr">
        <is>
          <t>Adjudicada</t>
        </is>
      </c>
      <c r="B1080" s="3" t="n">
        <v>46259.99930555555</v>
      </c>
      <c r="C1080" s="5" t="n">
        <v>142146.21</v>
      </c>
      <c r="D1080" s="5" t="n">
        <v>142146.21</v>
      </c>
      <c r="E1080" s="2" t="inlineStr">
        <is>
          <t>Comunitat Valenciana</t>
        </is>
      </c>
      <c r="F1080" s="2" t="inlineStr">
        <is>
          <t>Castellón</t>
        </is>
      </c>
      <c r="G1080" s="2" t="n"/>
      <c r="H1080" s="2" t="inlineStr">
        <is>
          <t>Consejo de Administración del Aeropuerto de Castellón S.L.</t>
        </is>
      </c>
      <c r="I1080" s="2" t="inlineStr">
        <is>
          <t>Contratación de la obra de adecuación de la parcela destinada a zona de prueba de motores-cohete en el Aeropuerto de Castellón S.L.</t>
        </is>
      </c>
      <c r="J1080" s="2" t="inlineStr">
        <is>
          <t>CMAYOR/2026/AEROC/324</t>
        </is>
      </c>
      <c r="K1080" s="2" t="inlineStr">
        <is>
          <t>Abierto simplificado</t>
        </is>
      </c>
      <c r="L1080" s="6" t="n">
        <v>3</v>
      </c>
      <c r="M1080" s="2" t="n"/>
      <c r="N1080" s="7" t="n">
        <v>0</v>
      </c>
      <c r="O1080" s="4" t="n"/>
      <c r="P1080" s="2" t="inlineStr">
        <is>
          <t>45262300; 50000000</t>
        </is>
      </c>
      <c r="Q1080" s="8" t="inlineStr">
        <is>
          <t>Ver</t>
        </is>
      </c>
      <c r="R1080" s="8" t="inlineStr">
        <is>
          <t>PCAP</t>
        </is>
      </c>
      <c r="S1080" s="9" t="n">
        <v>46317</v>
      </c>
      <c r="T1080" s="3" t="n">
        <v>46315.51255787037</v>
      </c>
      <c r="U1080" s="2" t="n"/>
    </row>
    <row r="1081">
      <c r="A1081" s="2" t="inlineStr">
        <is>
          <t>Pendiente de adjudicación</t>
        </is>
      </c>
      <c r="B1081" s="3" t="n">
        <v>46314.99930555555</v>
      </c>
      <c r="C1081" s="5" t="n">
        <v>11548</v>
      </c>
      <c r="D1081" s="5" t="n">
        <v>11548</v>
      </c>
      <c r="E1081" s="2" t="inlineStr">
        <is>
          <t>Comunitat Valenciana</t>
        </is>
      </c>
      <c r="F1081" s="2" t="inlineStr">
        <is>
          <t>Alicante</t>
        </is>
      </c>
      <c r="G1081" s="2" t="inlineStr">
        <is>
          <t>Pego</t>
        </is>
      </c>
      <c r="H1081" s="2" t="inlineStr">
        <is>
          <t>Alcaldía del Ayuntamiento de Pego</t>
        </is>
      </c>
      <c r="I1081" s="2" t="inlineStr">
        <is>
          <t>Contrato de obras para la mejora, modernización y dotación de infraestructuras y servicios en el Polígono Industrial Sector 2 de Pego.</t>
        </is>
      </c>
      <c r="J1081" s="2" t="inlineStr">
        <is>
          <t>3040/2026</t>
        </is>
      </c>
      <c r="K1081" s="2" t="inlineStr">
        <is>
          <t>Abierto simplificado</t>
        </is>
      </c>
      <c r="L1081" s="6" t="n">
        <v>1</v>
      </c>
      <c r="M1081" s="2" t="inlineStr">
        <is>
          <t>O6-2</t>
        </is>
      </c>
      <c r="N1081" s="7" t="n">
        <v>0</v>
      </c>
      <c r="O1081" s="4" t="n"/>
      <c r="P1081" s="2" t="inlineStr">
        <is>
          <t>45000000; 34928200</t>
        </is>
      </c>
      <c r="Q1081" s="8" t="inlineStr">
        <is>
          <t>Ver</t>
        </is>
      </c>
      <c r="R1081" s="8" t="inlineStr">
        <is>
          <t>PCAP</t>
        </is>
      </c>
      <c r="S1081" s="9" t="n">
        <v>46310</v>
      </c>
      <c r="T1081" s="3" t="n">
        <v>46315.51061342593</v>
      </c>
      <c r="U1081" s="2" t="inlineStr">
        <is>
          <t>2026-10-22: estado PUB → EV</t>
        </is>
      </c>
    </row>
    <row r="1082">
      <c r="A1082" s="2" t="inlineStr">
        <is>
          <t>Resuelta</t>
        </is>
      </c>
      <c r="B1082" s="3" t="n">
        <v>45516.99930555555</v>
      </c>
      <c r="C1082" s="5" t="n">
        <v>217212.23</v>
      </c>
      <c r="D1082" s="5" t="n">
        <v>217212.23</v>
      </c>
      <c r="E1082" s="2" t="inlineStr">
        <is>
          <t>Comunitat Valenciana</t>
        </is>
      </c>
      <c r="F1082" s="2" t="inlineStr">
        <is>
          <t>Alicante</t>
        </is>
      </c>
      <c r="G1082" s="2" t="n"/>
      <c r="H1082" s="2" t="inlineStr">
        <is>
          <t>Presidencia de la Diputación Provincial de Alicante</t>
        </is>
      </c>
      <c r="I1082" s="2" t="inlineStr">
        <is>
          <t>Obras de instalación de un equipo de filtración para reducir el índice de turbidez en el agua procedente del pozo de La Solana en el Vall de Gallinera.</t>
        </is>
      </c>
      <c r="J1082" s="2" t="inlineStr">
        <is>
          <t>O4S-142/2024</t>
        </is>
      </c>
      <c r="K1082" s="2" t="inlineStr">
        <is>
          <t>Abierto simplificado</t>
        </is>
      </c>
      <c r="L1082" s="6" t="n">
        <v>3</v>
      </c>
      <c r="M1082" s="2" t="n"/>
      <c r="N1082" s="7" t="n">
        <v>0.25</v>
      </c>
      <c r="O1082" s="4" t="n"/>
      <c r="P1082" s="2" t="inlineStr">
        <is>
          <t>45252126</t>
        </is>
      </c>
      <c r="Q1082" s="8" t="inlineStr">
        <is>
          <t>Ver</t>
        </is>
      </c>
      <c r="R1082" s="8" t="inlineStr">
        <is>
          <t>PCAP</t>
        </is>
      </c>
      <c r="S1082" s="9" t="n">
        <v>46317</v>
      </c>
      <c r="T1082" s="3" t="n">
        <v>46315.50733796296</v>
      </c>
      <c r="U1082" s="2" t="n"/>
    </row>
    <row r="1083">
      <c r="A1083" s="2" t="inlineStr">
        <is>
          <t>En plazo</t>
        </is>
      </c>
      <c r="B1083" s="3" t="n">
        <v>46336.41666666666</v>
      </c>
      <c r="C1083" s="5" t="n">
        <v>99654.16</v>
      </c>
      <c r="D1083" s="5" t="n">
        <v>99654.16</v>
      </c>
      <c r="E1083" s="2" t="inlineStr">
        <is>
          <t>Andalucía</t>
        </is>
      </c>
      <c r="F1083" s="2" t="inlineStr">
        <is>
          <t>Granada</t>
        </is>
      </c>
      <c r="G1083" s="2" t="n"/>
      <c r="H1083" s="2" t="inlineStr">
        <is>
          <t>Alcaldía del Ayuntamiento de Cullar Vega</t>
        </is>
      </c>
      <c r="I1083" s="2" t="inlineStr">
        <is>
          <t>Pavimentación de las calles Peral y transversales sin salida y Serval de El Ventorrillo, y de las calles José María Pemán, Rosalía de Castro, Emilia Pardo Bazán y Clara Campoamor de Cúllar Vega (Proyecto PC2512)</t>
        </is>
      </c>
      <c r="J1083" s="2" t="inlineStr">
        <is>
          <t>3246/2026</t>
        </is>
      </c>
      <c r="K1083" s="2" t="inlineStr">
        <is>
          <t>Abierto simplificado</t>
        </is>
      </c>
      <c r="L1083" s="6" t="n">
        <v>3</v>
      </c>
      <c r="M1083" s="2" t="n"/>
      <c r="N1083" s="7" t="n">
        <v>0</v>
      </c>
      <c r="O1083" s="4" t="n"/>
      <c r="P1083" s="2" t="inlineStr">
        <is>
          <t>45233252</t>
        </is>
      </c>
      <c r="Q1083" s="8" t="inlineStr">
        <is>
          <t>Ver</t>
        </is>
      </c>
      <c r="R1083" s="8" t="inlineStr">
        <is>
          <t>PCAP</t>
        </is>
      </c>
      <c r="S1083" s="9" t="n">
        <v>46317</v>
      </c>
      <c r="T1083" s="3" t="n">
        <v>46315.50701388889</v>
      </c>
      <c r="U1083" s="2" t="n"/>
    </row>
    <row r="1084">
      <c r="A1084" s="2" t="inlineStr">
        <is>
          <t>Pendiente de adjudicación</t>
        </is>
      </c>
      <c r="B1084" s="3" t="n">
        <v>46261.99930555555</v>
      </c>
      <c r="C1084" s="5" t="n">
        <v>320457.44</v>
      </c>
      <c r="D1084" s="5" t="n">
        <v>320457.44</v>
      </c>
      <c r="E1084" s="2" t="inlineStr">
        <is>
          <t>Andalucía</t>
        </is>
      </c>
      <c r="F1084" s="2" t="inlineStr">
        <is>
          <t>Huelva</t>
        </is>
      </c>
      <c r="G1084" s="2" t="inlineStr">
        <is>
          <t>Aracena</t>
        </is>
      </c>
      <c r="H1084" s="2" t="inlineStr">
        <is>
          <t>Junta de Gobierno Local del Ayuntamiento de Aracena</t>
        </is>
      </c>
      <c r="I1084" s="2" t="inlineStr">
        <is>
          <t>Contrato para la ejecución de las obras definidas en el Proyecto de terminación de adecuación de la antigua Almazara de Aracena (Huelva).</t>
        </is>
      </c>
      <c r="J1084" s="2" t="inlineStr">
        <is>
          <t>5775/2026</t>
        </is>
      </c>
      <c r="K1084" s="2" t="inlineStr">
        <is>
          <t>Abierto</t>
        </is>
      </c>
      <c r="L1084" s="6" t="n">
        <v>3</v>
      </c>
      <c r="M1084" s="2" t="n"/>
      <c r="N1084" s="7" t="n">
        <v>0.45</v>
      </c>
      <c r="O1084" s="4" t="n"/>
      <c r="P1084" s="2" t="inlineStr">
        <is>
          <t>45000000; 45210000</t>
        </is>
      </c>
      <c r="Q1084" s="8" t="inlineStr">
        <is>
          <t>Ver</t>
        </is>
      </c>
      <c r="R1084" s="8" t="inlineStr">
        <is>
          <t>PCAP</t>
        </is>
      </c>
      <c r="S1084" s="9" t="n">
        <v>46317</v>
      </c>
      <c r="T1084" s="3" t="n">
        <v>46315.50456018518</v>
      </c>
      <c r="U1084" s="2" t="n"/>
    </row>
    <row r="1085">
      <c r="A1085" s="2" t="inlineStr">
        <is>
          <t>Adjudicada</t>
        </is>
      </c>
      <c r="B1085" s="3" t="n">
        <v>46264.99930555555</v>
      </c>
      <c r="C1085" s="5" t="n">
        <v>251090</v>
      </c>
      <c r="D1085" s="5" t="n">
        <v>251090</v>
      </c>
      <c r="E1085" s="2" t="inlineStr">
        <is>
          <t>Comunitat Valenciana</t>
        </is>
      </c>
      <c r="F1085" s="2" t="inlineStr">
        <is>
          <t>Castellón</t>
        </is>
      </c>
      <c r="G1085" s="2" t="n"/>
      <c r="H1085" s="2" t="inlineStr">
        <is>
          <t>Consejo de Administración del Aeropuerto de Castellón S.L.</t>
        </is>
      </c>
      <c r="I1085" s="2" t="inlineStr">
        <is>
          <t>Contratación del proyecto y obra de construcción de una nave para atender la necesidad de instalaciones preparadas para el desarrollo de la actividad industrial en el Aeropuerto de Castellón S.L</t>
        </is>
      </c>
      <c r="J1085" s="2" t="inlineStr">
        <is>
          <t>CMAYOR/2026/AEROC/323</t>
        </is>
      </c>
      <c r="K1085" s="2" t="inlineStr">
        <is>
          <t>Abierto</t>
        </is>
      </c>
      <c r="L1085" s="6" t="n">
        <v>5</v>
      </c>
      <c r="M1085" s="2" t="n"/>
      <c r="N1085" s="7" t="n">
        <v>0</v>
      </c>
      <c r="O1085" s="4" t="n"/>
      <c r="P1085" s="2" t="inlineStr">
        <is>
          <t>45200000; 71242000; 71000000; 45112500; 45213351; 71311240</t>
        </is>
      </c>
      <c r="Q1085" s="8" t="inlineStr">
        <is>
          <t>Ver</t>
        </is>
      </c>
      <c r="R1085" s="8" t="inlineStr">
        <is>
          <t>PCAP</t>
        </is>
      </c>
      <c r="S1085" s="9" t="n">
        <v>46317</v>
      </c>
      <c r="T1085" s="3" t="n">
        <v>46315.5041087963</v>
      </c>
      <c r="U1085" s="2" t="n"/>
    </row>
    <row r="1086">
      <c r="A1086" s="2" t="inlineStr">
        <is>
          <t>Resuelta</t>
        </is>
      </c>
      <c r="B1086" s="3" t="n">
        <v>45894.41666666666</v>
      </c>
      <c r="C1086" s="5" t="n">
        <v>624757.11</v>
      </c>
      <c r="D1086" s="5" t="n">
        <v>624757.11</v>
      </c>
      <c r="E1086" s="2" t="inlineStr">
        <is>
          <t>Comunitat Valenciana</t>
        </is>
      </c>
      <c r="F1086" s="2" t="inlineStr">
        <is>
          <t>Valencia</t>
        </is>
      </c>
      <c r="G1086" s="2" t="n"/>
      <c r="H1086" s="2" t="inlineStr">
        <is>
          <t>Consejo de Administración de la Sociedad de Gestión de Activos procedentes de la Reestructuración Bancaria, S.A</t>
        </is>
      </c>
      <c r="I1086" s="2" t="inlineStr">
        <is>
          <t>Obra de edificación Picassent – C/ Alginet 69 esq. C/ Carcaixent</t>
        </is>
      </c>
      <c r="J1086" s="2" t="inlineStr">
        <is>
          <t>2025-P204</t>
        </is>
      </c>
      <c r="K1086" s="2" t="inlineStr">
        <is>
          <t>Abierto</t>
        </is>
      </c>
      <c r="L1086" s="6" t="n">
        <v>12</v>
      </c>
      <c r="M1086" s="2" t="inlineStr">
        <is>
          <t>C4-1</t>
        </is>
      </c>
      <c r="N1086" s="7" t="n">
        <v>0.15</v>
      </c>
      <c r="O1086" s="4" t="n"/>
      <c r="P1086" s="2" t="inlineStr">
        <is>
          <t>45200000; 45400000; 45300000</t>
        </is>
      </c>
      <c r="Q1086" s="8" t="inlineStr">
        <is>
          <t>Ver</t>
        </is>
      </c>
      <c r="R1086" s="8" t="inlineStr">
        <is>
          <t>PCAP</t>
        </is>
      </c>
      <c r="S1086" s="9" t="n">
        <v>46317</v>
      </c>
      <c r="T1086" s="3" t="n">
        <v>46315.50254629629</v>
      </c>
      <c r="U1086" s="2" t="n"/>
    </row>
    <row r="1087">
      <c r="A1087" s="2" t="inlineStr">
        <is>
          <t>Adjudicada</t>
        </is>
      </c>
      <c r="B1087" s="3" t="n">
        <v>46209.99930555555</v>
      </c>
      <c r="C1087" s="5" t="n">
        <v>84074.39999999999</v>
      </c>
      <c r="D1087" s="5" t="n">
        <v>84074.39999999999</v>
      </c>
      <c r="E1087" s="2" t="inlineStr">
        <is>
          <t>Andalucía</t>
        </is>
      </c>
      <c r="F1087" s="2" t="inlineStr">
        <is>
          <t>Sevilla</t>
        </is>
      </c>
      <c r="G1087" s="2" t="inlineStr">
        <is>
          <t>Écija</t>
        </is>
      </c>
      <c r="H1087" s="2" t="inlineStr">
        <is>
          <t>Junta de Gobierno del Ayuntamiento de Ecija</t>
        </is>
      </c>
      <c r="I1087" s="2" t="inlineStr">
        <is>
          <t>Obras de reforma de los antiguos talleres de PRODIS para almacenes y dependencias municipales financiadas con cargo al Plan de Cooperación General "Sevilla107" de la Excma. Diputación de Sevilla.</t>
        </is>
      </c>
      <c r="J1087" s="2" t="inlineStr">
        <is>
          <t>1187/2026</t>
        </is>
      </c>
      <c r="K1087" s="2" t="inlineStr">
        <is>
          <t>Abierto simplificado</t>
        </is>
      </c>
      <c r="L1087" s="6" t="n">
        <v>4</v>
      </c>
      <c r="M1087" s="2" t="n"/>
      <c r="N1087" s="7" t="n">
        <v>0</v>
      </c>
      <c r="O1087" s="4" t="n"/>
      <c r="P1087" s="2" t="inlineStr">
        <is>
          <t>45262690; 45312200; 45400000; 45310000; 45223100; 45343000</t>
        </is>
      </c>
      <c r="Q1087" s="8" t="inlineStr">
        <is>
          <t>Ver</t>
        </is>
      </c>
      <c r="R1087" s="8" t="inlineStr">
        <is>
          <t>PCAP</t>
        </is>
      </c>
      <c r="S1087" s="9" t="n">
        <v>46317</v>
      </c>
      <c r="T1087" s="3" t="n">
        <v>46315.49726851852</v>
      </c>
      <c r="U1087" s="2" t="n"/>
    </row>
    <row r="1088">
      <c r="A1088" s="2" t="inlineStr">
        <is>
          <t>Resuelta</t>
        </is>
      </c>
      <c r="B1088" s="3" t="n">
        <v>46136.99930555555</v>
      </c>
      <c r="C1088" s="5" t="n">
        <v>56300</v>
      </c>
      <c r="D1088" s="5" t="n">
        <v>56300</v>
      </c>
      <c r="E1088" s="2" t="inlineStr">
        <is>
          <t>Andalucía</t>
        </is>
      </c>
      <c r="F1088" s="2" t="inlineStr">
        <is>
          <t>Sevilla</t>
        </is>
      </c>
      <c r="G1088" s="2" t="n"/>
      <c r="H1088" s="2" t="inlineStr">
        <is>
          <t>Teniente Alcalde, Delegado de Contratación del Ayuntamiento de Lebrija</t>
        </is>
      </c>
      <c r="I1088" s="2" t="inlineStr">
        <is>
          <t>contratación de equipos de obras y suministro de maquinarias para ejecución proyecto de ordenación de acerados en calle curro malena y calle huracán.</t>
        </is>
      </c>
      <c r="J1088" s="2" t="inlineStr">
        <is>
          <t>P4105300J-2026/000025-PAAB</t>
        </is>
      </c>
      <c r="K1088" s="2" t="inlineStr">
        <is>
          <t>Abierto simplificado</t>
        </is>
      </c>
      <c r="L1088" s="6" t="n">
        <v>6</v>
      </c>
      <c r="M1088" s="2" t="n"/>
      <c r="N1088" s="7" t="n">
        <v>0</v>
      </c>
      <c r="O1088" s="4" t="n">
        <v>10</v>
      </c>
      <c r="P1088" s="2" t="inlineStr">
        <is>
          <t>45500000; 60181000; 43300000</t>
        </is>
      </c>
      <c r="Q1088" s="8" t="inlineStr">
        <is>
          <t>Ver</t>
        </is>
      </c>
      <c r="R1088" s="8" t="inlineStr">
        <is>
          <t>PCAP</t>
        </is>
      </c>
      <c r="S1088" s="9" t="n">
        <v>46317</v>
      </c>
      <c r="T1088" s="3" t="n">
        <v>46315.49412037037</v>
      </c>
      <c r="U1088" s="2" t="n"/>
    </row>
    <row r="1089">
      <c r="A1089" s="2" t="inlineStr">
        <is>
          <t>Resuelta</t>
        </is>
      </c>
      <c r="B1089" s="3" t="n">
        <v>45425.99930555555</v>
      </c>
      <c r="C1089" s="5" t="n">
        <v>574797.67</v>
      </c>
      <c r="D1089" s="5" t="n">
        <v>574797.67</v>
      </c>
      <c r="E1089" s="2" t="inlineStr">
        <is>
          <t>Comunitat Valenciana</t>
        </is>
      </c>
      <c r="F1089" s="2" t="inlineStr">
        <is>
          <t>Alicante</t>
        </is>
      </c>
      <c r="G1089" s="2" t="n"/>
      <c r="H1089" s="2" t="inlineStr">
        <is>
          <t>Presidencia de la Diputación Provincial de Alicante</t>
        </is>
      </c>
      <c r="I1089" s="2" t="inlineStr">
        <is>
          <t>Obras de mejora de infraestructuras urbanas consistente en la instalación de un colector de saneamiento en la Avda. Rey Don Jaime I, en el municipio de Sax (2019.OYS.037)</t>
        </is>
      </c>
      <c r="J1089" s="2" t="inlineStr">
        <is>
          <t>O4S-050/2024</t>
        </is>
      </c>
      <c r="K1089" s="2" t="inlineStr">
        <is>
          <t>Abierto simplificado</t>
        </is>
      </c>
      <c r="L1089" s="6" t="n">
        <v>5</v>
      </c>
      <c r="M1089" s="2" t="n"/>
      <c r="N1089" s="7" t="n">
        <v>0.25</v>
      </c>
      <c r="O1089" s="4" t="n"/>
      <c r="P1089" s="2" t="inlineStr">
        <is>
          <t>45200000</t>
        </is>
      </c>
      <c r="Q1089" s="8" t="inlineStr">
        <is>
          <t>Ver</t>
        </is>
      </c>
      <c r="R1089" s="8" t="inlineStr">
        <is>
          <t>PCAP</t>
        </is>
      </c>
      <c r="S1089" s="9" t="n">
        <v>46317</v>
      </c>
      <c r="T1089" s="3" t="n">
        <v>46315.48665509259</v>
      </c>
      <c r="U1089" s="2" t="n"/>
    </row>
    <row r="1090">
      <c r="A1090" s="2" t="inlineStr">
        <is>
          <t>Pendiente de adjudicación</t>
        </is>
      </c>
      <c r="B1090" s="3" t="n">
        <v>46227.75</v>
      </c>
      <c r="C1090" s="5" t="n">
        <v>10301266.39</v>
      </c>
      <c r="D1090" s="5" t="n">
        <v>10301266.39</v>
      </c>
      <c r="E1090" s="2" t="inlineStr">
        <is>
          <t>Andalucía</t>
        </is>
      </c>
      <c r="F1090" s="2" t="inlineStr">
        <is>
          <t>Córdoba</t>
        </is>
      </c>
      <c r="G1090" s="2" t="inlineStr">
        <is>
          <t>Córdoba</t>
        </is>
      </c>
      <c r="H1090" s="2" t="inlineStr">
        <is>
          <t>Consejo de Administración de la Empresa Provincial de Aguas de Córdoba S.A.</t>
        </is>
      </c>
      <c r="I1090" s="2" t="inlineStr">
        <is>
          <t>Obra de ejecución de nueva conducción de abastecimiento Iznájar-Casilla del Monte. Tramo II Los Prietos-CP 205 (Córdoba).</t>
        </is>
      </c>
      <c r="J1090" s="2" t="inlineStr">
        <is>
          <t>CC 40/2026</t>
        </is>
      </c>
      <c r="K1090" s="2" t="inlineStr">
        <is>
          <t>Abierto</t>
        </is>
      </c>
      <c r="L1090" s="6" t="n">
        <v>18</v>
      </c>
      <c r="M1090" s="2" t="inlineStr">
        <is>
          <t>E1-6</t>
        </is>
      </c>
      <c r="N1090" s="7" t="n">
        <v>0.5</v>
      </c>
      <c r="O1090" s="4" t="n"/>
      <c r="P1090" s="2" t="inlineStr">
        <is>
          <t>45240000</t>
        </is>
      </c>
      <c r="Q1090" s="8" t="inlineStr">
        <is>
          <t>Ver</t>
        </is>
      </c>
      <c r="R1090" s="8" t="inlineStr">
        <is>
          <t>PCAP</t>
        </is>
      </c>
      <c r="S1090" s="9" t="n">
        <v>46310</v>
      </c>
      <c r="T1090" s="3" t="n">
        <v>46315.48504629629</v>
      </c>
      <c r="U1090" s="2" t="n"/>
    </row>
    <row r="1091">
      <c r="A1091" s="2" t="inlineStr">
        <is>
          <t>Pendiente de adjudicación</t>
        </is>
      </c>
      <c r="B1091" s="3" t="n">
        <v>46259.99930555555</v>
      </c>
      <c r="C1091" s="5" t="n">
        <v>1879532.41</v>
      </c>
      <c r="D1091" s="5" t="n">
        <v>1879532.41</v>
      </c>
      <c r="E1091" s="2" t="inlineStr">
        <is>
          <t>Andalucía</t>
        </is>
      </c>
      <c r="F1091" s="2" t="inlineStr">
        <is>
          <t>Málaga</t>
        </is>
      </c>
      <c r="G1091" s="2" t="n"/>
      <c r="H1091" s="2" t="inlineStr">
        <is>
          <t>Gerente de la Gerencia Municipal de Urbanismo del Ayuntamiento de Málaga</t>
        </is>
      </c>
      <c r="I1091" s="2" t="inlineStr">
        <is>
          <t>Obras del proyecto de mejora y adecuación de calle Ollerías (T.M. Málaga), actuación cofinanciada por la UE a través del Fondo Europeo de Desarrollo Regional (FEDER), Programa Plurirregional de España (POPE) (2021-2027).</t>
        </is>
      </c>
      <c r="J1091" s="2" t="inlineStr">
        <is>
          <t>OB-020/26</t>
        </is>
      </c>
      <c r="K1091" s="2" t="inlineStr">
        <is>
          <t>Abierto simplificado</t>
        </is>
      </c>
      <c r="L1091" s="6" t="n">
        <v>10</v>
      </c>
      <c r="M1091" s="2" t="inlineStr">
        <is>
          <t>G6-3; E1-3</t>
        </is>
      </c>
      <c r="N1091" s="7" t="n">
        <v>0.25</v>
      </c>
      <c r="O1091" s="4" t="n"/>
      <c r="P1091" s="2" t="inlineStr">
        <is>
          <t>45233252; 45233140; 45220000; 45232130</t>
        </is>
      </c>
      <c r="Q1091" s="8" t="inlineStr">
        <is>
          <t>Ver</t>
        </is>
      </c>
      <c r="R1091" s="8" t="inlineStr">
        <is>
          <t>PCAP</t>
        </is>
      </c>
      <c r="S1091" s="9" t="n">
        <v>46317</v>
      </c>
      <c r="T1091" s="3" t="n">
        <v>46315.47121527778</v>
      </c>
      <c r="U1091" s="2" t="n"/>
    </row>
    <row r="1092">
      <c r="A1092" s="2" t="inlineStr">
        <is>
          <t>Resuelta</t>
        </is>
      </c>
      <c r="B1092" s="3" t="n">
        <v>46294.41666666666</v>
      </c>
      <c r="C1092" s="5" t="n">
        <v>49500</v>
      </c>
      <c r="D1092" s="5" t="n">
        <v>49500</v>
      </c>
      <c r="E1092" s="2" t="inlineStr">
        <is>
          <t>Andalucía</t>
        </is>
      </c>
      <c r="F1092" s="2" t="inlineStr">
        <is>
          <t>Almería</t>
        </is>
      </c>
      <c r="G1092" s="2" t="n"/>
      <c r="H1092" s="2" t="inlineStr">
        <is>
          <t>Empresa de Transformación Agraria S.A.,S.M.E., M.P., (TRAGSA)</t>
        </is>
      </c>
      <c r="I109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92" s="2" t="inlineStr">
        <is>
          <t>TSA0078977-360</t>
        </is>
      </c>
      <c r="K1092" s="2" t="inlineStr">
        <is>
          <t>Abierto</t>
        </is>
      </c>
      <c r="L1092" s="6" t="n">
        <v>6</v>
      </c>
      <c r="M1092" s="2" t="n"/>
      <c r="N1092" s="7" t="n">
        <v>0</v>
      </c>
      <c r="O1092" s="4" t="n"/>
      <c r="P1092" s="2" t="inlineStr">
        <is>
          <t>45500000</t>
        </is>
      </c>
      <c r="Q1092" s="8" t="inlineStr">
        <is>
          <t>Ver</t>
        </is>
      </c>
      <c r="R1092" s="8" t="inlineStr">
        <is>
          <t>PCAP</t>
        </is>
      </c>
      <c r="S1092" s="9" t="n">
        <v>46317</v>
      </c>
      <c r="T1092" s="3" t="n">
        <v>46315.46155092592</v>
      </c>
      <c r="U1092" s="2" t="n"/>
    </row>
    <row r="1093">
      <c r="A1093" s="2" t="inlineStr">
        <is>
          <t>Resuelta</t>
        </is>
      </c>
      <c r="B1093" s="3" t="n">
        <v>46294.41666666666</v>
      </c>
      <c r="C1093" s="5" t="n">
        <v>49500</v>
      </c>
      <c r="D1093" s="5" t="n">
        <v>49500</v>
      </c>
      <c r="E1093" s="2" t="inlineStr">
        <is>
          <t>Andalucía</t>
        </is>
      </c>
      <c r="F1093" s="2" t="inlineStr">
        <is>
          <t>Almería</t>
        </is>
      </c>
      <c r="G1093" s="2" t="n"/>
      <c r="H1093" s="2" t="inlineStr">
        <is>
          <t>Empresa de Transformación Agraria S.A.,S.M.E., M.P., (TRAGSA)</t>
        </is>
      </c>
      <c r="I109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93" s="2" t="inlineStr">
        <is>
          <t>TSA0078977-359</t>
        </is>
      </c>
      <c r="K1093" s="2" t="inlineStr">
        <is>
          <t>Abierto</t>
        </is>
      </c>
      <c r="L1093" s="6" t="n">
        <v>6</v>
      </c>
      <c r="M1093" s="2" t="n"/>
      <c r="N1093" s="7" t="n">
        <v>0</v>
      </c>
      <c r="O1093" s="4" t="n"/>
      <c r="P1093" s="2" t="inlineStr">
        <is>
          <t>45500000</t>
        </is>
      </c>
      <c r="Q1093" s="8" t="inlineStr">
        <is>
          <t>Ver</t>
        </is>
      </c>
      <c r="R1093" s="8" t="inlineStr">
        <is>
          <t>PCAP</t>
        </is>
      </c>
      <c r="S1093" s="9" t="n">
        <v>46317</v>
      </c>
      <c r="T1093" s="3" t="n">
        <v>46315.46043981481</v>
      </c>
      <c r="U1093" s="2" t="n"/>
    </row>
    <row r="1094">
      <c r="A1094" s="2" t="inlineStr">
        <is>
          <t>Pendiente de adjudicación</t>
        </is>
      </c>
      <c r="B1094" s="3" t="n">
        <v>46266.99930555555</v>
      </c>
      <c r="C1094" s="5" t="n">
        <v>1038436.4</v>
      </c>
      <c r="D1094" s="5" t="n">
        <v>1038436.4</v>
      </c>
      <c r="E1094" s="2" t="inlineStr">
        <is>
          <t>Comunitat Valenciana</t>
        </is>
      </c>
      <c r="F1094" s="2" t="inlineStr">
        <is>
          <t>Castellón</t>
        </is>
      </c>
      <c r="G1094" s="2" t="n"/>
      <c r="H1094" s="2" t="inlineStr">
        <is>
          <t>Junta de Gobierno del Ayuntamiento de Castellón de la Plana</t>
        </is>
      </c>
      <c r="I1094" s="2" t="inlineStr">
        <is>
          <t>Obras de urbanización de la calle Castellfort y pasaje Viena de Castelló de la Plana</t>
        </is>
      </c>
      <c r="J1094" s="2" t="inlineStr">
        <is>
          <t>17771/2025</t>
        </is>
      </c>
      <c r="K1094" s="2" t="inlineStr">
        <is>
          <t>Abierto</t>
        </is>
      </c>
      <c r="L1094" s="6" t="n">
        <v>7</v>
      </c>
      <c r="M1094" s="2" t="n"/>
      <c r="N1094" s="7" t="n">
        <v>0.48</v>
      </c>
      <c r="O1094" s="4" t="n"/>
      <c r="P1094" s="2" t="inlineStr">
        <is>
          <t>45233140</t>
        </is>
      </c>
      <c r="Q1094" s="8" t="inlineStr">
        <is>
          <t>Ver</t>
        </is>
      </c>
      <c r="R1094" s="8" t="inlineStr">
        <is>
          <t>PCAP</t>
        </is>
      </c>
      <c r="S1094" s="9" t="n">
        <v>46310</v>
      </c>
      <c r="T1094" s="3" t="n">
        <v>46315.45878472222</v>
      </c>
      <c r="U1094" s="2" t="n"/>
    </row>
    <row r="1095">
      <c r="A1095" s="2" t="inlineStr">
        <is>
          <t>Pendiente de adjudicación</t>
        </is>
      </c>
      <c r="B1095" s="3" t="n">
        <v>46308.99930555555</v>
      </c>
      <c r="C1095" s="5" t="n">
        <v>112611.18</v>
      </c>
      <c r="D1095" s="5" t="n">
        <v>112611.18</v>
      </c>
      <c r="E1095" s="2" t="inlineStr">
        <is>
          <t>Comunitat Valenciana</t>
        </is>
      </c>
      <c r="F1095" s="2" t="inlineStr">
        <is>
          <t>Castellón</t>
        </is>
      </c>
      <c r="G1095" s="2" t="inlineStr">
        <is>
          <t>Cabanes</t>
        </is>
      </c>
      <c r="H1095" s="2" t="inlineStr">
        <is>
          <t>Alcaldía del Ayuntamiento de Cabanes</t>
        </is>
      </c>
      <c r="I1095" s="2" t="inlineStr">
        <is>
          <t>Obras de construcción de pista de padel y mejora de la zona deportiva en La Ribera de Cabanes.</t>
        </is>
      </c>
      <c r="J1095" s="2" t="inlineStr">
        <is>
          <t>2856/2026</t>
        </is>
      </c>
      <c r="K1095" s="2" t="inlineStr">
        <is>
          <t>Abierto simplificado</t>
        </is>
      </c>
      <c r="L1095" s="6" t="n">
        <v>3</v>
      </c>
      <c r="M1095" s="2" t="n"/>
      <c r="N1095" s="7" t="n">
        <v>0</v>
      </c>
      <c r="O1095" s="4" t="n"/>
      <c r="P1095" s="2" t="inlineStr">
        <is>
          <t>45212210</t>
        </is>
      </c>
      <c r="Q1095" s="8" t="inlineStr">
        <is>
          <t>Ver</t>
        </is>
      </c>
      <c r="R1095" s="8" t="inlineStr">
        <is>
          <t>PCAP</t>
        </is>
      </c>
      <c r="S1095" s="9" t="n">
        <v>46311</v>
      </c>
      <c r="T1095" s="3" t="n">
        <v>46315.44913194444</v>
      </c>
      <c r="U1095" s="2" t="n"/>
    </row>
    <row r="1096">
      <c r="A1096" s="2" t="inlineStr">
        <is>
          <t>En plazo</t>
        </is>
      </c>
      <c r="B1096" s="3" t="n">
        <v>46329.5</v>
      </c>
      <c r="C1096" s="5" t="n">
        <v>41658023.15</v>
      </c>
      <c r="D1096" s="5" t="n">
        <v>43324344.08</v>
      </c>
      <c r="E1096" s="2" t="inlineStr">
        <is>
          <t>Comunitat Valenciana</t>
        </is>
      </c>
      <c r="F1096" s="2" t="inlineStr">
        <is>
          <t>Valencia</t>
        </is>
      </c>
      <c r="G1096" s="2" t="inlineStr">
        <is>
          <t>Valencia / València</t>
        </is>
      </c>
      <c r="H1096" s="2" t="inlineStr">
        <is>
          <t>Aena. Consejo de Administración</t>
        </is>
      </c>
      <c r="I1096" s="2" t="inlineStr">
        <is>
          <t>Recrecido De Pista, Adecuación De Calles De Rodaje Y Mejora Del Camino Perimetral. Aeropuerto De Valencia</t>
        </is>
      </c>
      <c r="J1096" s="2" t="inlineStr">
        <is>
          <t>DIN-350/2026</t>
        </is>
      </c>
      <c r="K1096" s="2" t="inlineStr">
        <is>
          <t>Licitación con negociación</t>
        </is>
      </c>
      <c r="L1096" s="6" t="n">
        <v>27</v>
      </c>
      <c r="M1096" s="2" t="n"/>
      <c r="N1096" s="7" t="n">
        <v>0</v>
      </c>
      <c r="O1096" s="4" t="n"/>
      <c r="P1096" s="2" t="inlineStr">
        <is>
          <t>45235000</t>
        </is>
      </c>
      <c r="Q1096" s="8" t="inlineStr">
        <is>
          <t>Ver</t>
        </is>
      </c>
      <c r="R1096" s="8" t="inlineStr">
        <is>
          <t>PCAP</t>
        </is>
      </c>
      <c r="S1096" s="9" t="n">
        <v>46317</v>
      </c>
      <c r="T1096" s="3" t="n">
        <v>46315.44685185186</v>
      </c>
      <c r="U1096" s="2" t="n"/>
    </row>
    <row r="1097">
      <c r="A1097" s="2" t="inlineStr">
        <is>
          <t>En plazo</t>
        </is>
      </c>
      <c r="B1097" s="3" t="n">
        <v>46342.58333333334</v>
      </c>
      <c r="C1097" s="5" t="n">
        <v>4299512.47</v>
      </c>
      <c r="D1097" s="5" t="n">
        <v>4299512.47</v>
      </c>
      <c r="E1097" s="2" t="inlineStr">
        <is>
          <t>Andalucía</t>
        </is>
      </c>
      <c r="F1097" s="2" t="inlineStr">
        <is>
          <t>Córdoba</t>
        </is>
      </c>
      <c r="G1097" s="2" t="n"/>
      <c r="H1097" s="2" t="inlineStr">
        <is>
          <t>Viviendas Municipales de Córdoba SA</t>
        </is>
      </c>
      <c r="I1097"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J1097" s="2" t="inlineStr">
        <is>
          <t>2-O/2026</t>
        </is>
      </c>
      <c r="K1097" s="2" t="inlineStr">
        <is>
          <t>Abierto</t>
        </is>
      </c>
      <c r="L1097" s="6" t="n">
        <v>24</v>
      </c>
      <c r="M1097" s="2" t="inlineStr">
        <is>
          <t>C*-4</t>
        </is>
      </c>
      <c r="N1097" s="7" t="n">
        <v>0</v>
      </c>
      <c r="O1097" s="4" t="n">
        <v>2</v>
      </c>
      <c r="P1097" s="2" t="inlineStr">
        <is>
          <t>45211340</t>
        </is>
      </c>
      <c r="Q1097" s="8" t="inlineStr">
        <is>
          <t>Ver</t>
        </is>
      </c>
      <c r="R1097" s="8" t="inlineStr">
        <is>
          <t>PCAP</t>
        </is>
      </c>
      <c r="S1097" s="9" t="n">
        <v>46314</v>
      </c>
      <c r="T1097" s="3" t="n">
        <v>46315.44423611111</v>
      </c>
      <c r="U1097" s="2" t="n"/>
    </row>
    <row r="1098">
      <c r="A1098" s="2" t="inlineStr">
        <is>
          <t>Resuelta</t>
        </is>
      </c>
      <c r="B1098" s="3" t="n">
        <v>46314.99930555555</v>
      </c>
      <c r="C1098" s="5" t="n">
        <v>72549.41</v>
      </c>
      <c r="D1098" s="5" t="n">
        <v>51289.82</v>
      </c>
      <c r="E1098" s="2" t="inlineStr">
        <is>
          <t>Andalucía</t>
        </is>
      </c>
      <c r="F1098" s="2" t="inlineStr">
        <is>
          <t>Málaga</t>
        </is>
      </c>
      <c r="G1098" s="2" t="inlineStr">
        <is>
          <t>Cuevas Bajas</t>
        </is>
      </c>
      <c r="H1098" s="2" t="inlineStr">
        <is>
          <t>Alcaldía del Ayuntamiento de Cuevas Bajas</t>
        </is>
      </c>
      <c r="I1098" s="2" t="inlineStr">
        <is>
          <t>Reforma del Cementerio Municipal, 1ª Fase (POS-C 2/2024)</t>
        </is>
      </c>
      <c r="J1098" s="2" t="inlineStr">
        <is>
          <t>CB CEMENTERIO 162/2026</t>
        </is>
      </c>
      <c r="K1098" s="2" t="inlineStr">
        <is>
          <t>Abierto simplificado</t>
        </is>
      </c>
      <c r="L1098" s="6" t="n">
        <v>2</v>
      </c>
      <c r="M1098" s="2" t="n"/>
      <c r="N1098" s="7" t="n">
        <v>0</v>
      </c>
      <c r="O1098" s="4" t="n"/>
      <c r="P1098" s="2" t="inlineStr">
        <is>
          <t>45215400</t>
        </is>
      </c>
      <c r="Q1098" s="8" t="inlineStr">
        <is>
          <t>Ver</t>
        </is>
      </c>
      <c r="R1098" s="8" t="inlineStr">
        <is>
          <t>PCAP</t>
        </is>
      </c>
      <c r="S1098" s="9" t="n">
        <v>46311</v>
      </c>
      <c r="T1098" s="3" t="n">
        <v>46315.44414351852</v>
      </c>
      <c r="U1098" s="2" t="inlineStr">
        <is>
          <t>2026-10-22: estado PUB → RES</t>
        </is>
      </c>
    </row>
    <row r="1099">
      <c r="A1099" s="2" t="inlineStr">
        <is>
          <t>Resuelta</t>
        </is>
      </c>
      <c r="B1099" s="3" t="n">
        <v>46252.41666666666</v>
      </c>
      <c r="C1099" s="5" t="n">
        <v>40000</v>
      </c>
      <c r="D1099" s="5" t="n">
        <v>40000</v>
      </c>
      <c r="E1099" s="2" t="inlineStr">
        <is>
          <t>Andalucía</t>
        </is>
      </c>
      <c r="F1099" s="2" t="inlineStr">
        <is>
          <t>Huelva</t>
        </is>
      </c>
      <c r="G1099" s="2" t="n"/>
      <c r="H1099" s="2" t="inlineStr">
        <is>
          <t>Empresa de Transformación Agraria S.A.,S.M.E., M.P., (TRAGSA)</t>
        </is>
      </c>
      <c r="I109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099" s="2" t="inlineStr">
        <is>
          <t>TSA0080057-217</t>
        </is>
      </c>
      <c r="K1099" s="2" t="inlineStr">
        <is>
          <t>Abierto</t>
        </is>
      </c>
      <c r="L1099" s="6" t="n">
        <v>7</v>
      </c>
      <c r="M1099" s="2" t="n"/>
      <c r="N1099" s="7" t="n">
        <v>0</v>
      </c>
      <c r="O1099" s="4" t="n"/>
      <c r="P1099" s="2" t="inlineStr">
        <is>
          <t>45500000</t>
        </is>
      </c>
      <c r="Q1099" s="8" t="inlineStr">
        <is>
          <t>Ver</t>
        </is>
      </c>
      <c r="R1099" s="8" t="inlineStr">
        <is>
          <t>PCAP</t>
        </is>
      </c>
      <c r="S1099" s="9" t="n">
        <v>46317</v>
      </c>
      <c r="T1099" s="3" t="n">
        <v>46315.44112268519</v>
      </c>
      <c r="U1099" s="2" t="n"/>
    </row>
    <row r="1100">
      <c r="A1100" s="2" t="inlineStr">
        <is>
          <t>Resuelta</t>
        </is>
      </c>
      <c r="B1100" s="3" t="n">
        <v>46287.41666666666</v>
      </c>
      <c r="C1100" s="5" t="n">
        <v>153680</v>
      </c>
      <c r="D1100" s="5" t="n">
        <v>153680</v>
      </c>
      <c r="E1100" s="2" t="inlineStr">
        <is>
          <t>Andalucía</t>
        </is>
      </c>
      <c r="F1100" s="2" t="inlineStr">
        <is>
          <t>Córdoba</t>
        </is>
      </c>
      <c r="G1100" s="2" t="n"/>
      <c r="H1100" s="2" t="inlineStr">
        <is>
          <t>Empresa de Transformación Agraria S.A.,S.M.E., M.P., (TRAGSA)</t>
        </is>
      </c>
      <c r="I110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100" s="2" t="inlineStr">
        <is>
          <t>TSA0079529-140</t>
        </is>
      </c>
      <c r="K1100" s="2" t="inlineStr">
        <is>
          <t>Abierto</t>
        </is>
      </c>
      <c r="L1100" s="6" t="n">
        <v>12</v>
      </c>
      <c r="M1100" s="2" t="n"/>
      <c r="N1100" s="7" t="n">
        <v>0</v>
      </c>
      <c r="O1100" s="4" t="n"/>
      <c r="P1100" s="2" t="inlineStr">
        <is>
          <t>45500000</t>
        </is>
      </c>
      <c r="Q1100" s="8" t="inlineStr">
        <is>
          <t>Ver</t>
        </is>
      </c>
      <c r="R1100" s="8" t="inlineStr">
        <is>
          <t>PCAP</t>
        </is>
      </c>
      <c r="S1100" s="9" t="n">
        <v>46317</v>
      </c>
      <c r="T1100" s="3" t="n">
        <v>46315.4380787037</v>
      </c>
      <c r="U1100" s="2" t="n"/>
    </row>
    <row r="1101">
      <c r="A1101" s="2" t="inlineStr">
        <is>
          <t>Resuelta</t>
        </is>
      </c>
      <c r="B1101" s="3" t="n">
        <v>46287.41666666666</v>
      </c>
      <c r="C1101" s="5" t="n">
        <v>5400</v>
      </c>
      <c r="D1101" s="5" t="n">
        <v>5400</v>
      </c>
      <c r="E1101" s="2" t="inlineStr">
        <is>
          <t>Andalucía</t>
        </is>
      </c>
      <c r="F1101" s="2" t="inlineStr">
        <is>
          <t>Granada</t>
        </is>
      </c>
      <c r="G1101" s="2" t="n"/>
      <c r="H1101" s="2" t="inlineStr">
        <is>
          <t>Empresa de Transformación Agraria S.A.,S.M.E., M.P., (TRAGSA)</t>
        </is>
      </c>
      <c r="I110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101" s="2" t="inlineStr">
        <is>
          <t>TSA0077561-341</t>
        </is>
      </c>
      <c r="K1101" s="2" t="inlineStr">
        <is>
          <t>Abierto</t>
        </is>
      </c>
      <c r="L1101" s="6" t="n">
        <v>2</v>
      </c>
      <c r="M1101" s="2" t="n"/>
      <c r="N1101" s="7" t="n">
        <v>0</v>
      </c>
      <c r="O1101" s="4" t="n"/>
      <c r="P1101" s="2" t="inlineStr">
        <is>
          <t>45500000</t>
        </is>
      </c>
      <c r="Q1101" s="8" t="inlineStr">
        <is>
          <t>Ver</t>
        </is>
      </c>
      <c r="R1101" s="8" t="inlineStr">
        <is>
          <t>PCAP</t>
        </is>
      </c>
      <c r="S1101" s="9" t="n">
        <v>46317</v>
      </c>
      <c r="T1101" s="3" t="n">
        <v>46315.43590277778</v>
      </c>
      <c r="U1101" s="2" t="n"/>
    </row>
    <row r="1102">
      <c r="A1102" s="2" t="inlineStr">
        <is>
          <t>En plazo</t>
        </is>
      </c>
      <c r="B1102" s="3" t="n">
        <v>46342.58333333334</v>
      </c>
      <c r="C1102" s="5" t="n">
        <v>3884750.48</v>
      </c>
      <c r="D1102" s="5" t="n">
        <v>3884750.48</v>
      </c>
      <c r="E1102" s="2" t="inlineStr">
        <is>
          <t>Andalucía</t>
        </is>
      </c>
      <c r="F1102" s="2" t="inlineStr">
        <is>
          <t>Córdoba</t>
        </is>
      </c>
      <c r="G1102" s="2" t="inlineStr">
        <is>
          <t>Córdoba</t>
        </is>
      </c>
      <c r="H1102" s="2" t="inlineStr">
        <is>
          <t>Viviendas Municipales de Córdoba SA</t>
        </is>
      </c>
      <c r="I1102" s="2" t="inlineStr">
        <is>
          <t>El objeto del contrato es la construcción de 30 viviendas protegidas con trasteros y plazas de aparcamiento en régimen de venta.</t>
        </is>
      </c>
      <c r="J1102" s="2" t="inlineStr">
        <is>
          <t>3-O/2026</t>
        </is>
      </c>
      <c r="K1102" s="2" t="inlineStr">
        <is>
          <t>Abierto</t>
        </is>
      </c>
      <c r="L1102" s="6" t="n">
        <v>20</v>
      </c>
      <c r="M1102" s="2" t="inlineStr">
        <is>
          <t>C*-4</t>
        </is>
      </c>
      <c r="N1102" s="7" t="n">
        <v>0</v>
      </c>
      <c r="O1102" s="4" t="n"/>
      <c r="P1102" s="2" t="inlineStr">
        <is>
          <t>45211340; 45211341</t>
        </is>
      </c>
      <c r="Q1102" s="8" t="inlineStr">
        <is>
          <t>Ver</t>
        </is>
      </c>
      <c r="R1102" s="8" t="inlineStr">
        <is>
          <t>PCAP</t>
        </is>
      </c>
      <c r="S1102" s="9" t="n">
        <v>46314</v>
      </c>
      <c r="T1102" s="3" t="n">
        <v>46315.43578703704</v>
      </c>
      <c r="U1102" s="2" t="n"/>
    </row>
    <row r="1103">
      <c r="A1103" s="2" t="inlineStr">
        <is>
          <t>Resuelta</t>
        </is>
      </c>
      <c r="B1103" s="3" t="n">
        <v>46287.41666666666</v>
      </c>
      <c r="C1103" s="5" t="n">
        <v>8280</v>
      </c>
      <c r="D1103" s="5" t="n">
        <v>8280</v>
      </c>
      <c r="E1103" s="2" t="inlineStr">
        <is>
          <t>Andalucía</t>
        </is>
      </c>
      <c r="F1103" s="2" t="inlineStr">
        <is>
          <t>Granada</t>
        </is>
      </c>
      <c r="G1103" s="2" t="n"/>
      <c r="H1103" s="2" t="inlineStr">
        <is>
          <t>Empresa de Transformación Agraria S.A.,S.M.E., M.P., (TRAGSA)</t>
        </is>
      </c>
      <c r="I110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103" s="2" t="inlineStr">
        <is>
          <t>TSA0077561-337</t>
        </is>
      </c>
      <c r="K1103" s="2" t="inlineStr">
        <is>
          <t>Abierto</t>
        </is>
      </c>
      <c r="L1103" s="6" t="n">
        <v>2</v>
      </c>
      <c r="M1103" s="2" t="n"/>
      <c r="N1103" s="7" t="n">
        <v>0</v>
      </c>
      <c r="O1103" s="4" t="n"/>
      <c r="P1103" s="2" t="inlineStr">
        <is>
          <t>45500000</t>
        </is>
      </c>
      <c r="Q1103" s="8" t="inlineStr">
        <is>
          <t>Ver</t>
        </is>
      </c>
      <c r="R1103" s="8" t="inlineStr">
        <is>
          <t>PCAP</t>
        </is>
      </c>
      <c r="S1103" s="9" t="n">
        <v>46317</v>
      </c>
      <c r="T1103" s="3" t="n">
        <v>46315.43483796297</v>
      </c>
      <c r="U1103" s="2" t="n"/>
    </row>
    <row r="1104">
      <c r="A1104" s="2" t="inlineStr">
        <is>
          <t>Resuelta</t>
        </is>
      </c>
      <c r="B1104" s="3" t="n">
        <v>46167.99930555555</v>
      </c>
      <c r="C1104" s="5" t="n">
        <v>473584.3</v>
      </c>
      <c r="D1104" s="5" t="n">
        <v>473584.3</v>
      </c>
      <c r="E1104" s="2" t="inlineStr">
        <is>
          <t>Andalucía</t>
        </is>
      </c>
      <c r="F1104" s="2" t="inlineStr">
        <is>
          <t>Cádiz</t>
        </is>
      </c>
      <c r="G1104" s="2" t="n"/>
      <c r="H1104" s="2" t="inlineStr">
        <is>
          <t>Alcaldia del Ayuntamiento de San Fernando</t>
        </is>
      </c>
      <c r="I1104" s="2" t="inlineStr">
        <is>
          <t>Obras del Proyecto de remodelacion del pavimento y rasantes en la Plaza los Barcos</t>
        </is>
      </c>
      <c r="J1104" s="2" t="inlineStr">
        <is>
          <t>SC 47/2026</t>
        </is>
      </c>
      <c r="K1104" s="2" t="inlineStr">
        <is>
          <t>Abierto</t>
        </is>
      </c>
      <c r="L1104" s="6" t="n">
        <v>6</v>
      </c>
      <c r="M1104" s="2" t="n"/>
      <c r="N1104" s="7" t="n">
        <v>0.3</v>
      </c>
      <c r="O1104" s="4" t="n"/>
      <c r="P1104" s="2" t="inlineStr">
        <is>
          <t>45233262; 45233293; 45233252; 45111100</t>
        </is>
      </c>
      <c r="Q1104" s="8" t="inlineStr">
        <is>
          <t>Ver</t>
        </is>
      </c>
      <c r="R1104" s="8" t="inlineStr">
        <is>
          <t>PCAP</t>
        </is>
      </c>
      <c r="S1104" s="9" t="n">
        <v>46317</v>
      </c>
      <c r="T1104" s="3" t="n">
        <v>46315.42677083334</v>
      </c>
      <c r="U1104" s="2" t="n"/>
    </row>
    <row r="1105">
      <c r="A1105" s="2" t="inlineStr">
        <is>
          <t>Pendiente de adjudicación</t>
        </is>
      </c>
      <c r="B1105" s="3" t="n">
        <v>46583.58333333334</v>
      </c>
      <c r="C1105" s="5" t="n">
        <v>5260000</v>
      </c>
      <c r="D1105" s="5" t="n">
        <v>5260000</v>
      </c>
      <c r="E1105" s="2" t="inlineStr">
        <is>
          <t>Andalucía</t>
        </is>
      </c>
      <c r="F1105" s="2" t="inlineStr">
        <is>
          <t>Córdoba</t>
        </is>
      </c>
      <c r="G1105" s="2" t="inlineStr">
        <is>
          <t>Córdoba</t>
        </is>
      </c>
      <c r="H1105" s="2" t="inlineStr">
        <is>
          <t>Rectorado de la Universidad de Córdoba</t>
        </is>
      </c>
      <c r="I1105" s="2" t="inlineStr">
        <is>
          <t>Establecimiento de un sistema dinámico de adquisición para la ejecución de las obras habituales en la Universidad de Córdoba</t>
        </is>
      </c>
      <c r="J1105" s="2" t="inlineStr">
        <is>
          <t>2023/00029</t>
        </is>
      </c>
      <c r="K1105" s="2" t="inlineStr">
        <is>
          <t>Restringido</t>
        </is>
      </c>
      <c r="L1105" s="6" t="n"/>
      <c r="M1105" s="2" t="n"/>
      <c r="N1105" s="7" t="n">
        <v>0.286</v>
      </c>
      <c r="O1105" s="4" t="n">
        <v>14</v>
      </c>
      <c r="P1105" s="2" t="inlineStr">
        <is>
          <t>45000000; 45420000; 45440000; 45450000; 45100000; 45430000; 45340000; 45210000; 45220000; 45230000; 45310000; 45320000; 45330000; 45260000; 45410000</t>
        </is>
      </c>
      <c r="Q1105" s="8" t="inlineStr">
        <is>
          <t>Ver</t>
        </is>
      </c>
      <c r="R1105" s="8" t="inlineStr">
        <is>
          <t>PCAP</t>
        </is>
      </c>
      <c r="S1105" s="9" t="n">
        <v>46311</v>
      </c>
      <c r="T1105" s="3" t="n">
        <v>46315.42527777778</v>
      </c>
      <c r="U1105" s="2" t="n"/>
    </row>
    <row r="1106">
      <c r="A1106" s="2" t="inlineStr">
        <is>
          <t>En plazo</t>
        </is>
      </c>
      <c r="B1106" s="3" t="n">
        <v>46330.99930555555</v>
      </c>
      <c r="C1106" s="5" t="n">
        <v>617734.71</v>
      </c>
      <c r="D1106" s="5" t="n">
        <v>617734.71</v>
      </c>
      <c r="E1106" s="2" t="inlineStr">
        <is>
          <t>Andalucía</t>
        </is>
      </c>
      <c r="F1106" s="2" t="inlineStr">
        <is>
          <t>Huelva</t>
        </is>
      </c>
      <c r="G1106" s="2" t="inlineStr">
        <is>
          <t>BONARES</t>
        </is>
      </c>
      <c r="H1106" s="2" t="inlineStr">
        <is>
          <t>Alcaldia del Ayuntamiento de Bonares</t>
        </is>
      </c>
      <c r="I1106" s="2" t="inlineStr">
        <is>
          <t>Mejora de las instalaciones deportivas en el Polígono Industrial El Corchito.</t>
        </is>
      </c>
      <c r="J1106" s="2" t="inlineStr">
        <is>
          <t>3624/2026</t>
        </is>
      </c>
      <c r="K1106" s="2" t="inlineStr">
        <is>
          <t>Abierto simplificado</t>
        </is>
      </c>
      <c r="L1106" s="6" t="n">
        <v>8</v>
      </c>
      <c r="M1106" s="2" t="n"/>
      <c r="N1106" s="7" t="n">
        <v>0</v>
      </c>
      <c r="O1106" s="4" t="n">
        <v>3</v>
      </c>
      <c r="P1106" s="2" t="inlineStr">
        <is>
          <t>45212200; 43324000; 45236119; 45315300; 45261210; 09331200; 39293400; 39522100; 45232453; 45421144; 45261215</t>
        </is>
      </c>
      <c r="Q1106" s="8" t="inlineStr">
        <is>
          <t>Ver</t>
        </is>
      </c>
      <c r="R1106" s="8" t="inlineStr">
        <is>
          <t>PCAP</t>
        </is>
      </c>
      <c r="S1106" s="9" t="n">
        <v>46311</v>
      </c>
      <c r="T1106" s="3" t="n">
        <v>46315.42299768519</v>
      </c>
      <c r="U1106" s="2" t="n"/>
    </row>
    <row r="1107">
      <c r="A1107" s="2" t="inlineStr">
        <is>
          <t>En plazo</t>
        </is>
      </c>
      <c r="B1107" s="3" t="n">
        <v>46335.58333333334</v>
      </c>
      <c r="C1107" s="5" t="n">
        <v>81610.72</v>
      </c>
      <c r="D1107" s="5" t="n">
        <v>81610.72</v>
      </c>
      <c r="E1107" s="2" t="inlineStr">
        <is>
          <t>Comunitat Valenciana</t>
        </is>
      </c>
      <c r="F1107" s="2" t="inlineStr">
        <is>
          <t>Valencia</t>
        </is>
      </c>
      <c r="G1107" s="2" t="inlineStr">
        <is>
          <t>REQUENA</t>
        </is>
      </c>
      <c r="H1107" s="2" t="inlineStr">
        <is>
          <t>Alcaldía del Ayuntamiento de Requena</t>
        </is>
      </c>
      <c r="I1107" s="2" t="inlineStr">
        <is>
          <t>Adecuacion de espacios exteriores y construccion de una pista de padel en El Rebollar</t>
        </is>
      </c>
      <c r="J1107" s="2" t="inlineStr">
        <is>
          <t>3025626J</t>
        </is>
      </c>
      <c r="K1107" s="2" t="inlineStr">
        <is>
          <t>Abierto simplificado</t>
        </is>
      </c>
      <c r="L1107" s="6" t="n">
        <v>2</v>
      </c>
      <c r="M1107" s="2" t="n"/>
      <c r="N1107" s="7" t="n">
        <v>0</v>
      </c>
      <c r="O1107" s="4" t="n"/>
      <c r="P1107" s="2" t="inlineStr">
        <is>
          <t>45212200</t>
        </is>
      </c>
      <c r="Q1107" s="8" t="inlineStr">
        <is>
          <t>Ver</t>
        </is>
      </c>
      <c r="R1107" s="8" t="inlineStr">
        <is>
          <t>PCAP</t>
        </is>
      </c>
      <c r="S1107" s="9" t="n">
        <v>46317</v>
      </c>
      <c r="T1107" s="3" t="n">
        <v>46315.42165509259</v>
      </c>
      <c r="U1107" s="2" t="n"/>
    </row>
    <row r="1108">
      <c r="A1108" s="2" t="inlineStr">
        <is>
          <t>En plazo</t>
        </is>
      </c>
      <c r="B1108" s="3" t="n">
        <v>46329.79166666666</v>
      </c>
      <c r="C1108" s="5" t="n">
        <v>1565254.69</v>
      </c>
      <c r="D1108" s="5" t="n">
        <v>1565254.69</v>
      </c>
      <c r="E1108" s="2" t="inlineStr">
        <is>
          <t>Andalucía</t>
        </is>
      </c>
      <c r="F1108" s="2" t="inlineStr">
        <is>
          <t>Almería</t>
        </is>
      </c>
      <c r="G1108" s="2" t="inlineStr">
        <is>
          <t>Almería</t>
        </is>
      </c>
      <c r="H1108" s="2" t="inlineStr">
        <is>
          <t>Presidencia de la Autoridad Portuaria de Almería</t>
        </is>
      </c>
      <c r="I1108" s="2" t="inlineStr">
        <is>
          <t>Obras de reforma de Pasarelas 2 y 3 en Puerto de Almería</t>
        </is>
      </c>
      <c r="J1108" s="2" t="inlineStr">
        <is>
          <t>26/O/A/AL26</t>
        </is>
      </c>
      <c r="K1108" s="2" t="inlineStr">
        <is>
          <t>Abierto</t>
        </is>
      </c>
      <c r="L1108" s="6" t="n">
        <v>6</v>
      </c>
      <c r="M1108" s="2" t="inlineStr">
        <is>
          <t>C3-4</t>
        </is>
      </c>
      <c r="N1108" s="7" t="n">
        <v>0.25</v>
      </c>
      <c r="O1108" s="4" t="n"/>
      <c r="P1108" s="2" t="inlineStr">
        <is>
          <t>45223210; 45223100</t>
        </is>
      </c>
      <c r="Q1108" s="8" t="inlineStr">
        <is>
          <t>Ver</t>
        </is>
      </c>
      <c r="R1108" s="8" t="inlineStr">
        <is>
          <t>PCAP</t>
        </is>
      </c>
      <c r="S1108" s="9" t="n">
        <v>46310</v>
      </c>
      <c r="T1108" s="3" t="n">
        <v>46315.41290509259</v>
      </c>
      <c r="U1108" s="2" t="n"/>
    </row>
    <row r="1109">
      <c r="A1109" s="2" t="inlineStr">
        <is>
          <t>Adjudicada</t>
        </is>
      </c>
      <c r="B1109" s="3" t="n">
        <v>46286.99930555555</v>
      </c>
      <c r="C1109" s="5" t="n">
        <v>93554.67</v>
      </c>
      <c r="D1109" s="5" t="n">
        <v>93554.67</v>
      </c>
      <c r="E1109" s="2" t="inlineStr">
        <is>
          <t>Andalucía</t>
        </is>
      </c>
      <c r="F1109" s="2" t="inlineStr">
        <is>
          <t>Málaga</t>
        </is>
      </c>
      <c r="G1109" s="2" t="inlineStr">
        <is>
          <t>Villanueva del Rosario</t>
        </is>
      </c>
      <c r="H1109" s="2" t="inlineStr">
        <is>
          <t>Alcaldía del Ayuntamiento de Villanueva del Rosario</t>
        </is>
      </c>
      <c r="I1109" s="2" t="inlineStr">
        <is>
          <t>El objeto de la licitación es la ejecución del proyecto técnico Proyecto de sustitución de tuberías de saneamiento y abastecimiento en C/ Desengaño (PO-AD-22/2026).</t>
        </is>
      </c>
      <c r="J1109" s="2" t="inlineStr">
        <is>
          <t>VR20261786</t>
        </is>
      </c>
      <c r="K1109" s="2" t="inlineStr">
        <is>
          <t>Abierto simplificado</t>
        </is>
      </c>
      <c r="L1109" s="6" t="n">
        <v>4</v>
      </c>
      <c r="M1109" s="2" t="n"/>
      <c r="N1109" s="7" t="n">
        <v>0</v>
      </c>
      <c r="O1109" s="4" t="n"/>
      <c r="P1109" s="2" t="inlineStr">
        <is>
          <t>45231000; 45233200</t>
        </is>
      </c>
      <c r="Q1109" s="8" t="inlineStr">
        <is>
          <t>Ver</t>
        </is>
      </c>
      <c r="R1109" s="8" t="inlineStr">
        <is>
          <t>PCAP</t>
        </is>
      </c>
      <c r="S1109" s="9" t="n">
        <v>46311</v>
      </c>
      <c r="T1109" s="3" t="n">
        <v>46315.41114583334</v>
      </c>
      <c r="U1109" s="2" t="n"/>
    </row>
    <row r="1110">
      <c r="A1110" s="2" t="inlineStr">
        <is>
          <t>Adjudicada</t>
        </is>
      </c>
      <c r="B1110" s="3" t="n">
        <v>46188.54166666666</v>
      </c>
      <c r="C1110" s="5" t="n">
        <v>1453555.68</v>
      </c>
      <c r="D1110" s="5" t="n">
        <v>1598911.25</v>
      </c>
      <c r="E1110" s="2" t="inlineStr">
        <is>
          <t>Comunitat Valenciana</t>
        </is>
      </c>
      <c r="F1110" s="2" t="inlineStr">
        <is>
          <t>Valencia</t>
        </is>
      </c>
      <c r="G1110" s="2" t="inlineStr">
        <is>
          <t>Valencia</t>
        </is>
      </c>
      <c r="H1110" s="2" t="inlineStr">
        <is>
          <t>Presidencia de la Autoridad Portuaria de Valencia</t>
        </is>
      </c>
      <c r="I1110"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1110" s="2" t="inlineStr">
        <is>
          <t>EC25-C02-04830</t>
        </is>
      </c>
      <c r="K1110" s="2" t="inlineStr">
        <is>
          <t>Abierto simplificado</t>
        </is>
      </c>
      <c r="L1110" s="6" t="n">
        <v>11</v>
      </c>
      <c r="M1110" s="2" t="n"/>
      <c r="N1110" s="7" t="n">
        <v>0</v>
      </c>
      <c r="O1110" s="4" t="n">
        <v>2</v>
      </c>
      <c r="P1110" s="2" t="inlineStr">
        <is>
          <t>45231400</t>
        </is>
      </c>
      <c r="Q1110" s="8" t="inlineStr">
        <is>
          <t>Ver</t>
        </is>
      </c>
      <c r="R1110" s="8" t="inlineStr">
        <is>
          <t>PCAP</t>
        </is>
      </c>
      <c r="S1110" s="9" t="n">
        <v>46310</v>
      </c>
      <c r="T1110" s="3" t="n">
        <v>46315.40618055555</v>
      </c>
      <c r="U1110" s="2" t="n"/>
    </row>
    <row r="1111">
      <c r="A1111" s="2" t="inlineStr">
        <is>
          <t>Resuelta</t>
        </is>
      </c>
      <c r="B1111" s="3" t="n">
        <v>46287.99930555555</v>
      </c>
      <c r="C1111" s="5" t="n">
        <v>305785.12</v>
      </c>
      <c r="D1111" s="5" t="n">
        <v>305785.12</v>
      </c>
      <c r="E1111" s="2" t="inlineStr">
        <is>
          <t>Andalucía</t>
        </is>
      </c>
      <c r="F1111" s="2" t="inlineStr">
        <is>
          <t>Córdoba</t>
        </is>
      </c>
      <c r="G1111" s="2" t="n"/>
      <c r="H1111" s="2" t="inlineStr">
        <is>
          <t>Alcaldía del Ayuntamiento de Lucena</t>
        </is>
      </c>
      <c r="I1111" s="2" t="inlineStr">
        <is>
          <t>Obras de renovación del pavimento de la pista de atletismo de la Ciudad Deportiva de Lucena.</t>
        </is>
      </c>
      <c r="J1111" s="2" t="inlineStr">
        <is>
          <t>OB-09/26</t>
        </is>
      </c>
      <c r="K1111" s="2" t="inlineStr">
        <is>
          <t>Abierto simplificado</t>
        </is>
      </c>
      <c r="L1111" s="6" t="n">
        <v>2</v>
      </c>
      <c r="M1111" s="2" t="n"/>
      <c r="N1111" s="7" t="n">
        <v>0</v>
      </c>
      <c r="O1111" s="4" t="n"/>
      <c r="P1111" s="2" t="inlineStr">
        <is>
          <t>45236119; 45212220</t>
        </is>
      </c>
      <c r="Q1111" s="8" t="inlineStr">
        <is>
          <t>Ver</t>
        </is>
      </c>
      <c r="R1111" s="8" t="inlineStr">
        <is>
          <t>PCAP</t>
        </is>
      </c>
      <c r="S1111" s="9" t="n">
        <v>46314</v>
      </c>
      <c r="T1111" s="3" t="n">
        <v>46315.40453703704</v>
      </c>
      <c r="U1111" s="2" t="inlineStr">
        <is>
          <t>2026-10-22: estado ADJ → RES</t>
        </is>
      </c>
    </row>
    <row r="1112">
      <c r="A1112" s="2" t="inlineStr">
        <is>
          <t>Pendiente de adjudicación</t>
        </is>
      </c>
      <c r="B1112" s="3" t="n">
        <v>46298.99930555555</v>
      </c>
      <c r="C1112" s="5" t="n">
        <v>966884.35</v>
      </c>
      <c r="D1112" s="5" t="n">
        <v>966884.35</v>
      </c>
      <c r="E1112" s="2" t="inlineStr">
        <is>
          <t>Comunitat Valenciana</t>
        </is>
      </c>
      <c r="F1112" s="2" t="n"/>
      <c r="G1112" s="2" t="n"/>
      <c r="H1112" s="2" t="inlineStr">
        <is>
          <t>Conselleria de Educación, Cultura y Universidades</t>
        </is>
      </c>
      <c r="I1112" s="2" t="inlineStr">
        <is>
          <t>Rehabilitación y reparación de inmuebles en el extremo sur del Real monasterio de Santa María de la Valldigna</t>
        </is>
      </c>
      <c r="J1112" s="2" t="inlineStr">
        <is>
          <t>CMAYOR/2026/17Y03/0013</t>
        </is>
      </c>
      <c r="K1112" s="2" t="inlineStr">
        <is>
          <t>Abierto simplificado</t>
        </is>
      </c>
      <c r="L1112" s="6" t="n">
        <v>12</v>
      </c>
      <c r="M1112" s="2" t="inlineStr">
        <is>
          <t>K7-4</t>
        </is>
      </c>
      <c r="N1112" s="7" t="n">
        <v>0.2</v>
      </c>
      <c r="O1112" s="4" t="n"/>
      <c r="P1112" s="2" t="inlineStr">
        <is>
          <t>45212350; 45262500; 45454100; 45212000; 45212300</t>
        </is>
      </c>
      <c r="Q1112" s="8" t="inlineStr">
        <is>
          <t>Ver</t>
        </is>
      </c>
      <c r="R1112" s="8" t="inlineStr">
        <is>
          <t>PCAP</t>
        </is>
      </c>
      <c r="S1112" s="9" t="n">
        <v>46310</v>
      </c>
      <c r="T1112" s="3" t="n">
        <v>46315.39725694444</v>
      </c>
      <c r="U1112" s="2" t="n"/>
    </row>
    <row r="1113">
      <c r="A1113" s="2" t="inlineStr">
        <is>
          <t>Adjudicada</t>
        </is>
      </c>
      <c r="B1113" s="3" t="n">
        <v>46205.58333333334</v>
      </c>
      <c r="C1113" s="5" t="n">
        <v>1410422.58</v>
      </c>
      <c r="D1113" s="5" t="n">
        <v>1410422.58</v>
      </c>
      <c r="E1113" s="2" t="inlineStr">
        <is>
          <t>Comunitat Valenciana</t>
        </is>
      </c>
      <c r="F1113" s="2" t="inlineStr">
        <is>
          <t>Valencia</t>
        </is>
      </c>
      <c r="G1113" s="2" t="inlineStr">
        <is>
          <t>Catarroja (Valencia)</t>
        </is>
      </c>
      <c r="H1113" s="2" t="inlineStr">
        <is>
          <t>Secretaria General de la Tesorería General de la Seguridad Social</t>
        </is>
      </c>
      <c r="I1113" s="2" t="inlineStr">
        <is>
          <t>Obras de reforma integral del inmueble situado en la calle Manfredo Monforte nº 24, planta baja, para ubicar una Oficina Integral de la Seguridad Social en Catarroja (Valencia).</t>
        </is>
      </c>
      <c r="J1113" s="2" t="inlineStr">
        <is>
          <t>2025/46546S</t>
        </is>
      </c>
      <c r="K1113" s="2" t="inlineStr">
        <is>
          <t>Abierto simplificado</t>
        </is>
      </c>
      <c r="L1113" s="6" t="n">
        <v>8</v>
      </c>
      <c r="M1113" s="2" t="inlineStr">
        <is>
          <t>C9-2; C6-2</t>
        </is>
      </c>
      <c r="N1113" s="7" t="n">
        <v>0</v>
      </c>
      <c r="O1113" s="4" t="n"/>
      <c r="P1113" s="2" t="inlineStr">
        <is>
          <t>45200000</t>
        </is>
      </c>
      <c r="Q1113" s="8" t="inlineStr">
        <is>
          <t>Ver</t>
        </is>
      </c>
      <c r="R1113" s="8" t="inlineStr">
        <is>
          <t>PCAP</t>
        </is>
      </c>
      <c r="S1113" s="9" t="n">
        <v>46317</v>
      </c>
      <c r="T1113" s="3" t="n">
        <v>46315.39614583334</v>
      </c>
      <c r="U1113" s="2" t="n"/>
    </row>
    <row r="1114">
      <c r="A1114" s="2" t="inlineStr">
        <is>
          <t>Resuelta</t>
        </is>
      </c>
      <c r="B1114" s="3" t="n">
        <v>46265.99930555555</v>
      </c>
      <c r="C1114" s="5" t="n">
        <v>168275.55</v>
      </c>
      <c r="D1114" s="5" t="n">
        <v>201930.66</v>
      </c>
      <c r="E1114" s="2" t="inlineStr">
        <is>
          <t>Comunitat Valenciana</t>
        </is>
      </c>
      <c r="F1114" s="2" t="inlineStr">
        <is>
          <t>Valencia</t>
        </is>
      </c>
      <c r="G1114" s="2" t="n"/>
      <c r="H1114" s="2" t="inlineStr">
        <is>
          <t>Apoderado Mancomunado de Aigües de Sagunt, S.A.</t>
        </is>
      </c>
      <c r="I1114" s="2" t="inlineStr">
        <is>
          <t>Obras destinadas a la mejora del rendimiento hidráulico de la tubería de traída de agua potable al Puerto de Sagunto (València)</t>
        </is>
      </c>
      <c r="J1114" s="2" t="inlineStr">
        <is>
          <t>EC-1787/2026</t>
        </is>
      </c>
      <c r="K1114" s="2" t="inlineStr">
        <is>
          <t>Abierto</t>
        </is>
      </c>
      <c r="L1114" s="6" t="n">
        <v>2</v>
      </c>
      <c r="M1114" s="2" t="n"/>
      <c r="N1114" s="7" t="n">
        <v>0.45</v>
      </c>
      <c r="O1114" s="4" t="n"/>
      <c r="P1114" s="2" t="inlineStr">
        <is>
          <t>45232150</t>
        </is>
      </c>
      <c r="Q1114" s="8" t="inlineStr">
        <is>
          <t>Ver</t>
        </is>
      </c>
      <c r="R1114" s="8" t="inlineStr">
        <is>
          <t>PCAP</t>
        </is>
      </c>
      <c r="S1114" s="9" t="n">
        <v>46310</v>
      </c>
      <c r="T1114" s="3" t="n">
        <v>46315.39293981482</v>
      </c>
      <c r="U1114" s="2" t="inlineStr">
        <is>
          <t>2026-10-22: estado ADJ → RES</t>
        </is>
      </c>
    </row>
    <row r="1115">
      <c r="A1115" s="2" t="inlineStr">
        <is>
          <t>Resuelta</t>
        </is>
      </c>
      <c r="B1115" s="3" t="n">
        <v>46288.99930555555</v>
      </c>
      <c r="C1115" s="5" t="n">
        <v>10886</v>
      </c>
      <c r="D1115" s="5" t="n">
        <v>10886</v>
      </c>
      <c r="E1115" s="2" t="inlineStr">
        <is>
          <t>Comunitat Valenciana</t>
        </is>
      </c>
      <c r="F1115" s="2" t="inlineStr">
        <is>
          <t>Valencia</t>
        </is>
      </c>
      <c r="G1115" s="2" t="n"/>
      <c r="H1115" s="2" t="inlineStr">
        <is>
          <t>Sexta Zona de la Guardia Civil en la Comunidad Valenciana</t>
        </is>
      </c>
      <c r="I1115" s="2" t="inlineStr">
        <is>
          <t>Compartimentar garaje Acuartelamiento de la 6ª Zona en cumplimiento de las recomendaciones elaboradas por la Unidad de Prevención de Riesgos Laborales sobre prevención de Incendios.</t>
        </is>
      </c>
      <c r="J1115" s="2" t="inlineStr">
        <is>
          <t>P/0158/Y/26/6</t>
        </is>
      </c>
      <c r="K1115" s="2" t="inlineStr">
        <is>
          <t>Abierto simplificado</t>
        </is>
      </c>
      <c r="L1115" s="6" t="n">
        <v>1</v>
      </c>
      <c r="M1115" s="2" t="n"/>
      <c r="N1115" s="7" t="n">
        <v>0</v>
      </c>
      <c r="O1115" s="4" t="n"/>
      <c r="P1115" s="2" t="inlineStr">
        <is>
          <t>45000000</t>
        </is>
      </c>
      <c r="Q1115" s="8" t="inlineStr">
        <is>
          <t>Ver</t>
        </is>
      </c>
      <c r="R1115" s="8" t="inlineStr">
        <is>
          <t>PCAP</t>
        </is>
      </c>
      <c r="S1115" s="9" t="n">
        <v>46310</v>
      </c>
      <c r="T1115" s="3" t="n">
        <v>46315.38806712963</v>
      </c>
      <c r="U1115" s="2" t="inlineStr">
        <is>
          <t>2026-10-22: estado ADJ → RES</t>
        </is>
      </c>
    </row>
    <row r="1116">
      <c r="A1116" s="2" t="inlineStr">
        <is>
          <t>Resuelta</t>
        </is>
      </c>
      <c r="B1116" s="3" t="n">
        <v>46209.99930555555</v>
      </c>
      <c r="C1116" s="5" t="n">
        <v>410987.16</v>
      </c>
      <c r="D1116" s="5" t="n">
        <v>493184.59</v>
      </c>
      <c r="E1116" s="2" t="inlineStr">
        <is>
          <t>Comunitat Valenciana</t>
        </is>
      </c>
      <c r="F1116" s="2" t="inlineStr">
        <is>
          <t>Valencia</t>
        </is>
      </c>
      <c r="G1116" s="2" t="n"/>
      <c r="H1116" s="2" t="inlineStr">
        <is>
          <t>Apoderado Mancomunado de Aigües de Sagunt, S.A.</t>
        </is>
      </c>
      <c r="I1116" s="2" t="inlineStr">
        <is>
          <t>Obras de renovación de la red de agua potable y saneamiento de la c/ Ordoñez de Sagunto</t>
        </is>
      </c>
      <c r="J1116" s="2" t="inlineStr">
        <is>
          <t>EC-1763/2026</t>
        </is>
      </c>
      <c r="K1116" s="2" t="inlineStr">
        <is>
          <t>Abierto</t>
        </is>
      </c>
      <c r="L1116" s="6" t="n">
        <v>4</v>
      </c>
      <c r="M1116" s="2" t="n"/>
      <c r="N1116" s="7" t="n">
        <v>0.45</v>
      </c>
      <c r="O1116" s="4" t="n"/>
      <c r="P1116" s="2" t="inlineStr">
        <is>
          <t>45232150</t>
        </is>
      </c>
      <c r="Q1116" s="8" t="inlineStr">
        <is>
          <t>Ver</t>
        </is>
      </c>
      <c r="R1116" s="8" t="inlineStr">
        <is>
          <t>PCAP</t>
        </is>
      </c>
      <c r="S1116" s="9" t="n">
        <v>46317</v>
      </c>
      <c r="T1116" s="3" t="n">
        <v>46315.38568287037</v>
      </c>
      <c r="U1116" s="2" t="n"/>
    </row>
    <row r="1117">
      <c r="A1117" s="2" t="inlineStr">
        <is>
          <t>Resuelta</t>
        </is>
      </c>
      <c r="B1117" s="3" t="n">
        <v>46313.99930555555</v>
      </c>
      <c r="C1117" s="5" t="n">
        <v>30905</v>
      </c>
      <c r="D1117" s="5" t="n">
        <v>37086</v>
      </c>
      <c r="E1117" s="2" t="inlineStr">
        <is>
          <t>Comunitat Valenciana</t>
        </is>
      </c>
      <c r="F1117" s="2" t="inlineStr">
        <is>
          <t>Valencia</t>
        </is>
      </c>
      <c r="G1117" s="2" t="n"/>
      <c r="H1117" s="2" t="inlineStr">
        <is>
          <t>Dirección General Societat Anonima de Gestió Sagunt Mitja Propi Municipal S.A.</t>
        </is>
      </c>
      <c r="I1117" s="2" t="inlineStr">
        <is>
          <t>El presente contrato basado tiene por objeto la ejecución de los trabajos de renovación de la señalización horizontal mediante pintura acrílica blanca y amarilla en las instalaciones del aparcamiento de camiones y depósito municipal de vehículos situados en Carrer Madame Curie, 46500 Sagunt, Valencia</t>
        </is>
      </c>
      <c r="J1117" s="2" t="inlineStr">
        <is>
          <t>BASADO01 AMSAG2026-01</t>
        </is>
      </c>
      <c r="K1117" s="2" t="inlineStr">
        <is>
          <t>Abierto</t>
        </is>
      </c>
      <c r="L1117" s="6" t="n">
        <v>0.5</v>
      </c>
      <c r="M1117" s="2" t="n"/>
      <c r="N1117" s="7" t="n">
        <v>0</v>
      </c>
      <c r="O1117" s="4" t="n"/>
      <c r="P1117" s="2" t="inlineStr">
        <is>
          <t>45233221</t>
        </is>
      </c>
      <c r="Q1117" s="8" t="inlineStr">
        <is>
          <t>Ver</t>
        </is>
      </c>
      <c r="R1117" s="8" t="inlineStr">
        <is>
          <t>PCAP</t>
        </is>
      </c>
      <c r="S1117" s="9" t="n">
        <v>46317</v>
      </c>
      <c r="T1117" s="3" t="n">
        <v>46315.38311342592</v>
      </c>
      <c r="U1117" s="2" t="n"/>
    </row>
    <row r="1118">
      <c r="A1118" s="2" t="inlineStr">
        <is>
          <t>Resuelta</t>
        </is>
      </c>
      <c r="B1118" s="3" t="n">
        <v>46225.99930555555</v>
      </c>
      <c r="C1118" s="5" t="n">
        <v>345523.26</v>
      </c>
      <c r="D1118" s="5" t="n">
        <v>345523.26</v>
      </c>
      <c r="E1118" s="2" t="inlineStr">
        <is>
          <t>Andalucía</t>
        </is>
      </c>
      <c r="F1118" s="2" t="inlineStr">
        <is>
          <t>Málaga</t>
        </is>
      </c>
      <c r="G1118" s="2" t="inlineStr">
        <is>
          <t>ARDALES</t>
        </is>
      </c>
      <c r="H1118" s="2" t="inlineStr">
        <is>
          <t>Pleno del Ayuntamiento de Ardales</t>
        </is>
      </c>
      <c r="I1118" s="2" t="inlineStr">
        <is>
          <t>Proyectos de Obras de Urbanización de Traseras de Calle Hospital y Calle Cerrillo</t>
        </is>
      </c>
      <c r="J1118" s="2" t="inlineStr">
        <is>
          <t>OBRAS-2026/655</t>
        </is>
      </c>
      <c r="K1118" s="2" t="inlineStr">
        <is>
          <t>Abierto simplificado</t>
        </is>
      </c>
      <c r="L1118" s="6" t="n">
        <v>9</v>
      </c>
      <c r="M1118" s="2" t="n"/>
      <c r="N1118" s="7" t="n">
        <v>0</v>
      </c>
      <c r="O1118" s="4" t="n"/>
      <c r="P1118" s="2" t="inlineStr">
        <is>
          <t>45233252; 45211360; 45232410; 45233222</t>
        </is>
      </c>
      <c r="Q1118" s="8" t="inlineStr">
        <is>
          <t>Ver</t>
        </is>
      </c>
      <c r="R1118" s="8" t="inlineStr">
        <is>
          <t>PCAP</t>
        </is>
      </c>
      <c r="S1118" s="9" t="n">
        <v>46317</v>
      </c>
      <c r="T1118" s="3" t="n">
        <v>46315.38261574074</v>
      </c>
      <c r="U1118" s="2" t="n"/>
    </row>
    <row r="1119">
      <c r="A1119" s="2" t="inlineStr">
        <is>
          <t>Resuelta</t>
        </is>
      </c>
      <c r="B1119" s="3" t="n">
        <v>46269.99930555555</v>
      </c>
      <c r="C1119" s="5" t="n">
        <v>40082.64</v>
      </c>
      <c r="D1119" s="5" t="n">
        <v>40082.64</v>
      </c>
      <c r="E1119" s="2" t="inlineStr">
        <is>
          <t>Comunitat Valenciana</t>
        </is>
      </c>
      <c r="F1119" s="2" t="inlineStr">
        <is>
          <t>Alicante</t>
        </is>
      </c>
      <c r="G1119" s="2" t="n"/>
      <c r="H1119" s="2" t="inlineStr">
        <is>
          <t>Presidencia de la Diputación Provincial de Alicante</t>
        </is>
      </c>
      <c r="I1119" s="2" t="inlineStr">
        <is>
          <t>Obras de restauación de zona degradada por vertido incontrolado de residuos en parcela municipal en el entorno Casa Tejada, TM de Los Monesinos Alicante.</t>
        </is>
      </c>
      <c r="J1119" s="2" t="inlineStr">
        <is>
          <t>O4SS-142/2026</t>
        </is>
      </c>
      <c r="K1119" s="2" t="inlineStr">
        <is>
          <t>Abierto simplificado</t>
        </is>
      </c>
      <c r="L1119" s="6" t="n">
        <v>1</v>
      </c>
      <c r="M1119" s="2" t="n"/>
      <c r="N1119" s="7" t="n">
        <v>0</v>
      </c>
      <c r="O1119" s="4" t="n"/>
      <c r="P1119" s="2" t="inlineStr">
        <is>
          <t>45111213</t>
        </is>
      </c>
      <c r="Q1119" s="8" t="inlineStr">
        <is>
          <t>Ver</t>
        </is>
      </c>
      <c r="R1119" s="8" t="inlineStr">
        <is>
          <t>PCAP</t>
        </is>
      </c>
      <c r="S1119" s="9" t="n">
        <v>46310</v>
      </c>
      <c r="T1119" s="3" t="n">
        <v>46315.37096064815</v>
      </c>
      <c r="U1119" s="2" t="inlineStr">
        <is>
          <t>2026-10-22: estado ADJ → RES</t>
        </is>
      </c>
    </row>
    <row r="1120">
      <c r="A1120" s="2" t="inlineStr">
        <is>
          <t>Pendiente de adjudicación</t>
        </is>
      </c>
      <c r="B1120" s="3" t="n">
        <v>46308.75</v>
      </c>
      <c r="C1120" s="5" t="n">
        <v>197728.27</v>
      </c>
      <c r="D1120" s="5" t="n">
        <v>197728.27</v>
      </c>
      <c r="E1120" s="2" t="inlineStr">
        <is>
          <t>Comunitat Valenciana</t>
        </is>
      </c>
      <c r="F1120" s="2" t="inlineStr">
        <is>
          <t>Alicante</t>
        </is>
      </c>
      <c r="G1120" s="2" t="inlineStr">
        <is>
          <t>Alicante (Alacant)</t>
        </is>
      </c>
      <c r="H1120" s="2" t="inlineStr">
        <is>
          <t>Junta de Gobierno del Ayuntamiento de Santa Pola</t>
        </is>
      </c>
      <c r="I1120" s="2" t="inlineStr">
        <is>
          <t>Reformas en el edificio de la Jefatura de la Policía Local de Santa Pola</t>
        </is>
      </c>
      <c r="J1120" s="2" t="inlineStr">
        <is>
          <t>17614/2025</t>
        </is>
      </c>
      <c r="K1120" s="2" t="inlineStr">
        <is>
          <t>Abierto simplificado</t>
        </is>
      </c>
      <c r="L1120" s="6" t="n">
        <v>3</v>
      </c>
      <c r="M1120" s="2" t="n"/>
      <c r="N1120" s="7" t="n">
        <v>0.5</v>
      </c>
      <c r="O1120" s="4" t="n"/>
      <c r="P1120" s="2" t="inlineStr">
        <is>
          <t>45200000; 45453100; 45450000; 45310000; 45212190; 45216111</t>
        </is>
      </c>
      <c r="Q1120" s="8" t="inlineStr">
        <is>
          <t>Ver</t>
        </is>
      </c>
      <c r="R1120" s="8" t="inlineStr">
        <is>
          <t>PCAP</t>
        </is>
      </c>
      <c r="S1120" s="9" t="n">
        <v>46317</v>
      </c>
      <c r="T1120" s="3" t="n">
        <v>46315.36614583333</v>
      </c>
      <c r="U1120" s="2" t="n"/>
    </row>
    <row r="1121">
      <c r="A1121" s="2" t="inlineStr">
        <is>
          <t>Pendiente de adjudicación</t>
        </is>
      </c>
      <c r="B1121" s="3" t="n">
        <v>46308.58333333334</v>
      </c>
      <c r="C1121" s="5" t="n">
        <v>356052.15</v>
      </c>
      <c r="D1121" s="5" t="n">
        <v>356052.15</v>
      </c>
      <c r="E1121" s="2" t="inlineStr">
        <is>
          <t>Comunitat Valenciana</t>
        </is>
      </c>
      <c r="F1121" s="2" t="inlineStr">
        <is>
          <t>Valencia</t>
        </is>
      </c>
      <c r="G1121" s="2" t="n"/>
      <c r="H1121" s="2" t="inlineStr">
        <is>
          <t>Vicepresidente Tercero y Conseller de Medio Ambiente, Infraestructuras, Territorio y de la Recuperación</t>
        </is>
      </c>
      <c r="I1121" s="2" t="inlineStr">
        <is>
          <t>Restauración ambiental del incendio de Bejís en los municipios afectados de la provincia de Valencia (montes de Utilidad Pública V109, V112, V114 de Andilla y V180 de Alcublas)</t>
        </is>
      </c>
      <c r="J1121" s="2" t="inlineStr">
        <is>
          <t>CMAYOR/2026/44Y06/0004</t>
        </is>
      </c>
      <c r="K1121" s="2" t="inlineStr">
        <is>
          <t>Abierto simplificado</t>
        </is>
      </c>
      <c r="L1121" s="6" t="n">
        <v>12</v>
      </c>
      <c r="M1121" s="2" t="n"/>
      <c r="N1121" s="7" t="n">
        <v>0</v>
      </c>
      <c r="O1121" s="4" t="n"/>
      <c r="P1121" s="2" t="inlineStr">
        <is>
          <t>45262640</t>
        </is>
      </c>
      <c r="Q1121" s="8" t="inlineStr">
        <is>
          <t>Ver</t>
        </is>
      </c>
      <c r="R1121" s="8" t="inlineStr">
        <is>
          <t>PCAP</t>
        </is>
      </c>
      <c r="S1121" s="9" t="n">
        <v>46317</v>
      </c>
      <c r="T1121" s="3" t="n">
        <v>46315.36010416667</v>
      </c>
      <c r="U1121" s="2" t="n"/>
    </row>
    <row r="1122">
      <c r="A1122" s="2" t="inlineStr">
        <is>
          <t>Resuelta</t>
        </is>
      </c>
      <c r="B1122" s="3" t="n">
        <v>46241.99930555555</v>
      </c>
      <c r="C1122" s="5" t="n">
        <v>39594.76</v>
      </c>
      <c r="D1122" s="5" t="n">
        <v>39594.76</v>
      </c>
      <c r="E1122" s="2" t="inlineStr">
        <is>
          <t>Comunitat Valenciana</t>
        </is>
      </c>
      <c r="F1122" s="2" t="inlineStr">
        <is>
          <t>Alicante</t>
        </is>
      </c>
      <c r="G1122" s="2" t="n"/>
      <c r="H1122" s="2" t="inlineStr">
        <is>
          <t>Presidencia de la Diputación Provincial de Alicante</t>
        </is>
      </c>
      <c r="I1122" s="2" t="inlineStr">
        <is>
          <t>Obras de restauración de zona degradada por vertido incontrolado de residuos en paraje Els Ameradors, TM de Castalla (Alicante)</t>
        </is>
      </c>
      <c r="J1122" s="2" t="inlineStr">
        <is>
          <t>O4SS-136/2026</t>
        </is>
      </c>
      <c r="K1122" s="2" t="inlineStr">
        <is>
          <t>Abierto simplificado</t>
        </is>
      </c>
      <c r="L1122" s="6" t="n">
        <v>1</v>
      </c>
      <c r="M1122" s="2" t="n"/>
      <c r="N1122" s="7" t="n">
        <v>0</v>
      </c>
      <c r="O1122" s="4" t="n"/>
      <c r="P1122" s="2" t="inlineStr">
        <is>
          <t>45111213</t>
        </is>
      </c>
      <c r="Q1122" s="8" t="inlineStr">
        <is>
          <t>Ver</t>
        </is>
      </c>
      <c r="R1122" s="8" t="inlineStr">
        <is>
          <t>PCAP</t>
        </is>
      </c>
      <c r="S1122" s="9" t="n">
        <v>46317</v>
      </c>
      <c r="T1122" s="3" t="n">
        <v>46315.35980324074</v>
      </c>
      <c r="U1122" s="2" t="n"/>
    </row>
    <row r="1123">
      <c r="A1123" s="2" t="inlineStr">
        <is>
          <t>Pendiente de adjudicación</t>
        </is>
      </c>
      <c r="B1123" s="3" t="n">
        <v>46282.58333333334</v>
      </c>
      <c r="C1123" s="5" t="n">
        <v>964851.3100000001</v>
      </c>
      <c r="D1123" s="5" t="n">
        <v>964851.3100000001</v>
      </c>
      <c r="E1123" s="2" t="inlineStr">
        <is>
          <t>Comunitat Valenciana</t>
        </is>
      </c>
      <c r="F1123" s="2" t="inlineStr">
        <is>
          <t>Valencia</t>
        </is>
      </c>
      <c r="G1123" s="2" t="n"/>
      <c r="H1123" s="2" t="inlineStr">
        <is>
          <t>Alcaldía del Ayuntamiento de Riba-roja de Túria</t>
        </is>
      </c>
      <c r="I1123"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1123" s="2" t="inlineStr">
        <is>
          <t>37/2026</t>
        </is>
      </c>
      <c r="K1123" s="2" t="inlineStr">
        <is>
          <t>Abierto simplificado</t>
        </is>
      </c>
      <c r="L1123" s="6" t="n">
        <v>8</v>
      </c>
      <c r="M1123" s="2" t="n"/>
      <c r="N1123" s="7" t="n">
        <v>0</v>
      </c>
      <c r="O1123" s="4" t="n"/>
      <c r="P1123" s="2" t="inlineStr">
        <is>
          <t>45233140; 45112710; 45316110; 45316000; 45233222; 45232150; 34928400; 44162500; 77310000</t>
        </is>
      </c>
      <c r="Q1123" s="8" t="inlineStr">
        <is>
          <t>Ver</t>
        </is>
      </c>
      <c r="R1123" s="8" t="inlineStr">
        <is>
          <t>PCAP</t>
        </is>
      </c>
      <c r="S1123" s="9" t="n">
        <v>46310</v>
      </c>
      <c r="T1123" s="3" t="n">
        <v>46315.35855324074</v>
      </c>
      <c r="U1123" s="2" t="n"/>
    </row>
    <row r="1124">
      <c r="A1124" s="2" t="inlineStr">
        <is>
          <t>Resuelta</t>
        </is>
      </c>
      <c r="B1124" s="3" t="n">
        <v>46323.99930555555</v>
      </c>
      <c r="C1124" s="5" t="n">
        <v>781690.8</v>
      </c>
      <c r="D1124" s="5" t="n">
        <v>781690.8</v>
      </c>
      <c r="E1124" s="2" t="inlineStr">
        <is>
          <t>Andalucía</t>
        </is>
      </c>
      <c r="F1124" s="2" t="inlineStr">
        <is>
          <t>Málaga</t>
        </is>
      </c>
      <c r="G1124" s="2" t="inlineStr">
        <is>
          <t>Alhaurín el Grande</t>
        </is>
      </c>
      <c r="H1124" s="2" t="inlineStr">
        <is>
          <t>Alcaldía del Ayuntamiento de Alhaurín el Grande</t>
        </is>
      </c>
      <c r="I1124" s="2" t="inlineStr">
        <is>
          <t>Mejora del acabado final mediante la aplicación de capa de mezcla bituminosa en caliente y mejora de la red de abastecimiento en el camino viejo de Málaga y aledaños de Alhaurín el Grande</t>
        </is>
      </c>
      <c r="J1124" s="2" t="inlineStr">
        <is>
          <t>23202/2026 CAMINO VIEJO DE MALAGA</t>
        </is>
      </c>
      <c r="K1124" s="2" t="inlineStr">
        <is>
          <t>Abierto</t>
        </is>
      </c>
      <c r="L1124" s="6" t="n">
        <v>6</v>
      </c>
      <c r="M1124" s="2" t="n"/>
      <c r="N1124" s="7" t="n">
        <v>0.3</v>
      </c>
      <c r="O1124" s="4" t="n"/>
      <c r="P1124" s="2" t="inlineStr">
        <is>
          <t>45233140</t>
        </is>
      </c>
      <c r="Q1124" s="8" t="inlineStr">
        <is>
          <t>Ver</t>
        </is>
      </c>
      <c r="R1124" s="8" t="inlineStr">
        <is>
          <t>PCAP</t>
        </is>
      </c>
      <c r="S1124" s="9" t="n">
        <v>46310</v>
      </c>
      <c r="T1124" s="3" t="n">
        <v>46315.35851851852</v>
      </c>
      <c r="U1124" s="2" t="inlineStr">
        <is>
          <t>2026-10-22: estado PUB → RES</t>
        </is>
      </c>
    </row>
    <row r="1125">
      <c r="A1125" s="2" t="inlineStr">
        <is>
          <t>En plazo</t>
        </is>
      </c>
      <c r="B1125" s="3" t="n">
        <v>46331.75</v>
      </c>
      <c r="C1125" s="5" t="n">
        <v>247933.88</v>
      </c>
      <c r="D1125" s="5" t="n">
        <v>247933.88</v>
      </c>
      <c r="E1125" s="2" t="inlineStr">
        <is>
          <t>Andalucía</t>
        </is>
      </c>
      <c r="F1125" s="2" t="inlineStr">
        <is>
          <t>Cádiz</t>
        </is>
      </c>
      <c r="G1125" s="2" t="inlineStr">
        <is>
          <t>Conil de la Frontera</t>
        </is>
      </c>
      <c r="H1125" s="2" t="inlineStr">
        <is>
          <t>Alcaldia del Ayuntamiento de Conil de la Frontera</t>
        </is>
      </c>
      <c r="I1125" s="2" t="inlineStr">
        <is>
          <t>Obras de rehabilitación estructural del firme de los caminos rurales municipales carril de Chana, carril de la Isleta y tramo carril Pilaito en Conil de la Frontera Plan más inversión Cádiz 2026, en Conil de la Frontera.</t>
        </is>
      </c>
      <c r="J1125" s="2" t="inlineStr">
        <is>
          <t>7716/2026</t>
        </is>
      </c>
      <c r="K1125" s="2" t="inlineStr">
        <is>
          <t>Abierto simplificado</t>
        </is>
      </c>
      <c r="L1125" s="6" t="n">
        <v>3</v>
      </c>
      <c r="M1125" s="2" t="n"/>
      <c r="N1125" s="7" t="n">
        <v>0</v>
      </c>
      <c r="O1125" s="4" t="n"/>
      <c r="P1125" s="2" t="inlineStr">
        <is>
          <t>45100000; 45232451; 45233222</t>
        </is>
      </c>
      <c r="Q1125" s="8" t="inlineStr">
        <is>
          <t>Ver</t>
        </is>
      </c>
      <c r="R1125" s="8" t="inlineStr">
        <is>
          <t>PCAP</t>
        </is>
      </c>
      <c r="S1125" s="9" t="n">
        <v>46314</v>
      </c>
      <c r="T1125" s="3" t="n">
        <v>46315.35768518518</v>
      </c>
      <c r="U1125" s="2" t="n"/>
    </row>
    <row r="1126">
      <c r="A1126" s="2" t="inlineStr">
        <is>
          <t>Pendiente de adjudicación</t>
        </is>
      </c>
      <c r="B1126" s="3" t="n">
        <v>46308.99930555555</v>
      </c>
      <c r="C1126" s="5" t="n">
        <v>157109.48</v>
      </c>
      <c r="D1126" s="5" t="n">
        <v>172820.42</v>
      </c>
      <c r="E1126" s="2" t="inlineStr">
        <is>
          <t>Andalucía</t>
        </is>
      </c>
      <c r="F1126" s="2" t="inlineStr">
        <is>
          <t>Sevilla</t>
        </is>
      </c>
      <c r="G1126" s="2" t="n"/>
      <c r="H1126" s="2" t="inlineStr">
        <is>
          <t>Gerencia de la Empresa Municipal de la Vivienda, Suelo y Equipamiento de Sevilla S.A. (EMVISESA)</t>
        </is>
      </c>
      <c r="I1126" s="2" t="inlineStr">
        <is>
          <t>obras con suministro de materiales de confinamiento de los recintos de ascensores de los bloques 2, 3 y 5 con carpintería metálica, en el edificio de 218 viviendas protegidas, aparcamientos y trasteros en régimen de alquiler cesión de uso en la parcela propiedad de EMVISESA R1 del SUS-DE-09 Hacienda el Rosario</t>
        </is>
      </c>
      <c r="J1126" s="2" t="inlineStr">
        <is>
          <t>EMVI/2026/0065/01</t>
        </is>
      </c>
      <c r="K1126" s="2" t="inlineStr">
        <is>
          <t>Abierto simplificado</t>
        </is>
      </c>
      <c r="L1126" s="6" t="n">
        <v>3.5</v>
      </c>
      <c r="M1126" s="2" t="n"/>
      <c r="N1126" s="7" t="n">
        <v>0.25</v>
      </c>
      <c r="O1126" s="4" t="n"/>
      <c r="P1126" s="2" t="inlineStr">
        <is>
          <t>45220000</t>
        </is>
      </c>
      <c r="Q1126" s="8" t="inlineStr">
        <is>
          <t>Ver</t>
        </is>
      </c>
      <c r="R1126" s="8" t="inlineStr">
        <is>
          <t>PCAP</t>
        </is>
      </c>
      <c r="S1126" s="9" t="n">
        <v>46317</v>
      </c>
      <c r="T1126" s="3" t="n">
        <v>46315.35299768519</v>
      </c>
      <c r="U1126" s="2" t="n"/>
    </row>
    <row r="1127">
      <c r="A1127" s="2" t="inlineStr">
        <is>
          <t>En plazo</t>
        </is>
      </c>
      <c r="B1127" s="3" t="n">
        <v>46335.99930555555</v>
      </c>
      <c r="C1127" s="5" t="n">
        <v>375087.88</v>
      </c>
      <c r="D1127" s="5" t="n">
        <v>412596.67</v>
      </c>
      <c r="E1127" s="2" t="inlineStr">
        <is>
          <t>Andalucía</t>
        </is>
      </c>
      <c r="F1127" s="2" t="inlineStr">
        <is>
          <t>Málaga</t>
        </is>
      </c>
      <c r="G1127" s="2" t="n"/>
      <c r="H1127" s="2" t="inlineStr">
        <is>
          <t>Teniente de Alcalde de Contratación del Ayuntamiento de Antequera</t>
        </is>
      </c>
      <c r="I1127" s="2" t="inlineStr">
        <is>
          <t>Obras de renovación superficial y el refuerzo de las capas superiores del firme en las calles afectadas, ajustándose a la dotación presupuestaria existente. Con ello se pretende mejorar de manera eficaz la funcionalidad y seguridad de los viales intervenidos, evitando la necesidad de operaciones de mantenimiento intensivas a medio plazo.</t>
        </is>
      </c>
      <c r="J1127" s="2" t="inlineStr">
        <is>
          <t>2026CONTRA000090</t>
        </is>
      </c>
      <c r="K1127" s="2" t="inlineStr">
        <is>
          <t>Abierto simplificado</t>
        </is>
      </c>
      <c r="L1127" s="6" t="n">
        <v>2</v>
      </c>
      <c r="M1127" s="2" t="n"/>
      <c r="N1127" s="7" t="n">
        <v>0.25</v>
      </c>
      <c r="O1127" s="4" t="n"/>
      <c r="P1127" s="2" t="inlineStr">
        <is>
          <t>45233222</t>
        </is>
      </c>
      <c r="Q1127" s="8" t="inlineStr">
        <is>
          <t>Ver</t>
        </is>
      </c>
      <c r="R1127" s="8" t="inlineStr">
        <is>
          <t>PCAP</t>
        </is>
      </c>
      <c r="S1127" s="9" t="n">
        <v>46315</v>
      </c>
      <c r="T1127" s="3" t="n">
        <v>46315.34978009259</v>
      </c>
      <c r="U1127" s="2" t="n"/>
    </row>
    <row r="1128">
      <c r="A1128" s="2" t="inlineStr">
        <is>
          <t>Pendiente de adjudicación</t>
        </is>
      </c>
      <c r="B1128" s="3" t="n">
        <v>46231.99930555555</v>
      </c>
      <c r="C1128" s="5" t="n">
        <v>227272.73</v>
      </c>
      <c r="D1128" s="5" t="n">
        <v>227272.73</v>
      </c>
      <c r="E1128" s="2" t="inlineStr">
        <is>
          <t>Andalucía</t>
        </is>
      </c>
      <c r="F1128" s="2" t="inlineStr">
        <is>
          <t>Sevilla</t>
        </is>
      </c>
      <c r="G1128" s="2" t="inlineStr">
        <is>
          <t>SANLÚCAR LA MAYOR</t>
        </is>
      </c>
      <c r="H1128" s="2" t="inlineStr">
        <is>
          <t>Alcaldía del Ayuntamiento de Sanlúcar la Mayor</t>
        </is>
      </c>
      <c r="I1128" s="2" t="inlineStr">
        <is>
          <t>Obras definidas en el Proyecto de mejora de asfaltado de calzada de viarios del Municipio.</t>
        </is>
      </c>
      <c r="J1128" s="2" t="inlineStr">
        <is>
          <t>2026/CTT_01/000022 - 31/26.-CTOS</t>
        </is>
      </c>
      <c r="K1128" s="2" t="inlineStr">
        <is>
          <t>Abierto simplificado</t>
        </is>
      </c>
      <c r="L1128" s="6" t="n">
        <v>2</v>
      </c>
      <c r="M1128" s="2" t="n"/>
      <c r="N1128" s="7" t="n">
        <v>0</v>
      </c>
      <c r="O1128" s="4" t="n"/>
      <c r="P1128" s="2" t="inlineStr">
        <is>
          <t>45233222</t>
        </is>
      </c>
      <c r="Q1128" s="8" t="inlineStr">
        <is>
          <t>Ver</t>
        </is>
      </c>
      <c r="R1128" s="8" t="inlineStr">
        <is>
          <t>PCAP</t>
        </is>
      </c>
      <c r="S1128" s="9" t="n">
        <v>46310</v>
      </c>
      <c r="T1128" s="3" t="n">
        <v>46315.34729166667</v>
      </c>
      <c r="U1128" s="2" t="n"/>
    </row>
    <row r="1129">
      <c r="A1129" s="2" t="inlineStr">
        <is>
          <t>Resuelta</t>
        </is>
      </c>
      <c r="B1129" s="3" t="n">
        <v>46295.5</v>
      </c>
      <c r="C1129" s="5" t="n">
        <v>289830.46</v>
      </c>
      <c r="D1129" s="5" t="n">
        <v>289830.46</v>
      </c>
      <c r="E1129" s="2" t="inlineStr">
        <is>
          <t>Andalucía</t>
        </is>
      </c>
      <c r="F1129" s="2" t="inlineStr">
        <is>
          <t>Sevilla</t>
        </is>
      </c>
      <c r="G1129" s="2" t="n"/>
      <c r="H1129" s="2" t="inlineStr">
        <is>
          <t>Consejería Delegada de la Empresa Metropolitana de Abastecimiento y Saneamiento de Aguas de Sevilla S.A. (EMASESA)</t>
        </is>
      </c>
      <c r="I1129" s="2" t="inlineStr">
        <is>
          <t>Contratación de redacción de proyecto y ejecución de las obras de renovación de las redes de abastecimiento y saneamiento en la Calle Virgen de la Estrella por necesidades de conservación. Distrito Los Remedios, Sevilla</t>
        </is>
      </c>
      <c r="J1129" s="2" t="inlineStr">
        <is>
          <t>0054/26</t>
        </is>
      </c>
      <c r="K1129" s="2" t="inlineStr">
        <is>
          <t>Restringido</t>
        </is>
      </c>
      <c r="L1129" s="6" t="n">
        <v>4.2</v>
      </c>
      <c r="M1129" s="2" t="n"/>
      <c r="N1129" s="7" t="n">
        <v>0</v>
      </c>
      <c r="O1129" s="4" t="n">
        <v>1</v>
      </c>
      <c r="P1129" s="2" t="inlineStr">
        <is>
          <t>45232440</t>
        </is>
      </c>
      <c r="Q1129" s="8" t="inlineStr">
        <is>
          <t>Ver</t>
        </is>
      </c>
      <c r="R1129" s="8" t="inlineStr">
        <is>
          <t>PCAP</t>
        </is>
      </c>
      <c r="S1129" s="9" t="n">
        <v>46317</v>
      </c>
      <c r="T1129" s="3" t="n">
        <v>46315.34646990741</v>
      </c>
      <c r="U1129" s="2" t="n"/>
    </row>
    <row r="1130">
      <c r="A1130" s="2" t="inlineStr">
        <is>
          <t>Adjudicada</t>
        </is>
      </c>
      <c r="B1130" s="3" t="n">
        <v>46119.58333333334</v>
      </c>
      <c r="C1130" s="5" t="n">
        <v>2988400</v>
      </c>
      <c r="D1130" s="5" t="n">
        <v>2988400</v>
      </c>
      <c r="E1130" s="2" t="inlineStr">
        <is>
          <t>Comunitat Valenciana</t>
        </is>
      </c>
      <c r="F1130" s="2" t="inlineStr">
        <is>
          <t>Valencia</t>
        </is>
      </c>
      <c r="G1130" s="2" t="n"/>
      <c r="H1130" s="2" t="inlineStr">
        <is>
          <t>Empresa de Transformación Agraria S.A.,S.M.E., M.P., (TRAGSA)</t>
        </is>
      </c>
      <c r="I1130" s="2" t="inlineStr">
        <is>
          <t>Alquiler de maquinaria con conductor en los municipios de Chiva y Quart de Poblet, para el proyecto "DANA 24 - emergencia DANA 2024: actuaciones en parcelas".</t>
        </is>
      </c>
      <c r="J1130" s="2" t="inlineStr">
        <is>
          <t>TSA0083004</t>
        </is>
      </c>
      <c r="K1130" s="2" t="inlineStr">
        <is>
          <t>Abierto simplificado</t>
        </is>
      </c>
      <c r="L1130" s="6" t="n">
        <v>5</v>
      </c>
      <c r="M1130" s="2" t="n"/>
      <c r="N1130" s="7" t="n">
        <v>0</v>
      </c>
      <c r="O1130" s="4" t="n"/>
      <c r="P1130" s="2" t="inlineStr">
        <is>
          <t>45520000</t>
        </is>
      </c>
      <c r="Q1130" s="8" t="inlineStr">
        <is>
          <t>Ver</t>
        </is>
      </c>
      <c r="R1130" s="8" t="inlineStr">
        <is>
          <t>PCAP</t>
        </is>
      </c>
      <c r="S1130" s="9" t="n">
        <v>46314</v>
      </c>
      <c r="T1130" s="3" t="n">
        <v>46315.34643518519</v>
      </c>
      <c r="U1130" s="2" t="n"/>
    </row>
    <row r="1131">
      <c r="A1131" s="2" t="inlineStr">
        <is>
          <t>Pendiente de adjudicación</t>
        </is>
      </c>
      <c r="B1131" s="3" t="n">
        <v>46176.99930555555</v>
      </c>
      <c r="C1131" s="5" t="n">
        <v>659392.26</v>
      </c>
      <c r="D1131" s="5" t="n">
        <v>791270.72</v>
      </c>
      <c r="E1131" s="2" t="inlineStr">
        <is>
          <t>Andalucía</t>
        </is>
      </c>
      <c r="F1131" s="2" t="inlineStr">
        <is>
          <t>Almería</t>
        </is>
      </c>
      <c r="G1131" s="2" t="n"/>
      <c r="H1131" s="2" t="inlineStr">
        <is>
          <t>Junta de Gobierno del Ayuntamiento de Almería</t>
        </is>
      </c>
      <c r="I1131" s="2" t="inlineStr">
        <is>
          <t>Contrato de Obras del Proyecto de obras de adecuación de las instalaciones de alumbrado público - Fase I.</t>
        </is>
      </c>
      <c r="J1131" s="2" t="inlineStr">
        <is>
          <t>AYAL-2026000098</t>
        </is>
      </c>
      <c r="K1131" s="2" t="inlineStr">
        <is>
          <t>Abierto simplificado</t>
        </is>
      </c>
      <c r="L1131" s="6" t="n">
        <v>6</v>
      </c>
      <c r="M1131" s="2" t="n"/>
      <c r="N1131" s="7" t="n">
        <v>0.238</v>
      </c>
      <c r="O1131" s="4" t="n">
        <v>2</v>
      </c>
      <c r="P1131" s="2" t="inlineStr">
        <is>
          <t>45310000; 45316000</t>
        </is>
      </c>
      <c r="Q1131" s="8" t="inlineStr">
        <is>
          <t>Ver</t>
        </is>
      </c>
      <c r="R1131" s="8" t="inlineStr">
        <is>
          <t>PCAP</t>
        </is>
      </c>
      <c r="S1131" s="9" t="n">
        <v>46317</v>
      </c>
      <c r="T1131" s="3" t="n">
        <v>46315.34622685185</v>
      </c>
      <c r="U1131" s="2" t="n"/>
    </row>
    <row r="1132">
      <c r="A1132" s="2" t="inlineStr">
        <is>
          <t>Resuelta</t>
        </is>
      </c>
      <c r="B1132" s="3" t="n">
        <v>46240.79166666666</v>
      </c>
      <c r="C1132" s="5" t="n">
        <v>72042.59</v>
      </c>
      <c r="D1132" s="5" t="n">
        <v>72042.59</v>
      </c>
      <c r="E1132" s="2" t="inlineStr">
        <is>
          <t>Andalucía</t>
        </is>
      </c>
      <c r="F1132" s="2" t="inlineStr">
        <is>
          <t>Cádiz</t>
        </is>
      </c>
      <c r="G1132" s="2" t="inlineStr">
        <is>
          <t>TARIFA</t>
        </is>
      </c>
      <c r="H1132" s="2" t="inlineStr">
        <is>
          <t>Alcaldía del Ayuntamiento de Tarifa</t>
        </is>
      </c>
      <c r="I1132" s="2" t="inlineStr">
        <is>
          <t>PBE reformado de obras de consolidación de la espadaña de la Iglesia de Santiago</t>
        </is>
      </c>
      <c r="J1132" s="2" t="inlineStr">
        <is>
          <t>2025/7514</t>
        </is>
      </c>
      <c r="K1132" s="2" t="inlineStr">
        <is>
          <t>Abierto simplificado</t>
        </is>
      </c>
      <c r="L1132" s="6" t="n">
        <v>2</v>
      </c>
      <c r="M1132" s="2" t="n"/>
      <c r="N1132" s="7" t="n">
        <v>0</v>
      </c>
      <c r="O1132" s="4" t="n"/>
      <c r="P1132" s="2" t="inlineStr">
        <is>
          <t>45000000</t>
        </is>
      </c>
      <c r="Q1132" s="8" t="inlineStr">
        <is>
          <t>Ver</t>
        </is>
      </c>
      <c r="R1132" s="8" t="inlineStr">
        <is>
          <t>PCAP</t>
        </is>
      </c>
      <c r="S1132" s="9" t="n">
        <v>46317</v>
      </c>
      <c r="T1132" s="3" t="n">
        <v>46315.34349537037</v>
      </c>
      <c r="U1132" s="2" t="n"/>
    </row>
    <row r="1133">
      <c r="A1133" s="2" t="inlineStr">
        <is>
          <t>Pendiente de adjudicación</t>
        </is>
      </c>
      <c r="B1133" s="3" t="n">
        <v>46300.99930555555</v>
      </c>
      <c r="C1133" s="5" t="n">
        <v>199449.23</v>
      </c>
      <c r="D1133" s="5" t="n">
        <v>199449.23</v>
      </c>
      <c r="E1133" s="2" t="inlineStr">
        <is>
          <t>Andalucía</t>
        </is>
      </c>
      <c r="F1133" s="2" t="inlineStr">
        <is>
          <t>Sevilla</t>
        </is>
      </c>
      <c r="G1133" s="2" t="inlineStr">
        <is>
          <t>Alcalá de Guadaíra</t>
        </is>
      </c>
      <c r="H1133" s="2" t="inlineStr">
        <is>
          <t>Junta de Gobierno Local del Ayuntamiento de Alcalá de Guadaíra</t>
        </is>
      </c>
      <c r="I1133" s="2" t="inlineStr">
        <is>
          <t>obras de instalación de sistema de alimentación ininterrumpida (SAI) en la Casa Consistorial (C-2025/089)</t>
        </is>
      </c>
      <c r="J1133" s="2" t="inlineStr">
        <is>
          <t>12936/2025</t>
        </is>
      </c>
      <c r="K1133" s="2" t="inlineStr">
        <is>
          <t>Abierto simplificado</t>
        </is>
      </c>
      <c r="L1133" s="6" t="n">
        <v>4</v>
      </c>
      <c r="M1133" s="2" t="n"/>
      <c r="N1133" s="7" t="n">
        <v>0.25</v>
      </c>
      <c r="O1133" s="4" t="n"/>
      <c r="P1133" s="2" t="inlineStr">
        <is>
          <t>45315300; 31682500; 31154000; 31682530; 31682510</t>
        </is>
      </c>
      <c r="Q1133" s="8" t="inlineStr">
        <is>
          <t>Ver</t>
        </is>
      </c>
      <c r="R1133" s="8" t="inlineStr">
        <is>
          <t>PCAP</t>
        </is>
      </c>
      <c r="S1133" s="9" t="n">
        <v>46310</v>
      </c>
      <c r="T1133" s="3" t="n">
        <v>46315.32987268519</v>
      </c>
      <c r="U1133" s="2" t="n"/>
    </row>
    <row r="1134">
      <c r="A1134" s="2" t="inlineStr">
        <is>
          <t>Pendiente de adjudicación</t>
        </is>
      </c>
      <c r="B1134" s="3" t="n">
        <v>46309.54166666666</v>
      </c>
      <c r="C1134" s="5" t="n">
        <v>50000</v>
      </c>
      <c r="D1134" s="5" t="n">
        <v>250000</v>
      </c>
      <c r="E1134" s="2" t="inlineStr">
        <is>
          <t>Andalucía</t>
        </is>
      </c>
      <c r="F1134" s="2" t="inlineStr">
        <is>
          <t>Sevilla</t>
        </is>
      </c>
      <c r="G1134" s="2" t="n"/>
      <c r="H1134" s="2" t="inlineStr">
        <is>
          <t>Autoridad Portuaria de Sevilla</t>
        </is>
      </c>
      <c r="I1134" s="2" t="inlineStr">
        <is>
          <t>Trabajos de bacheo y reasfaltado de los viales de la Autoridad Portuaria de Sevilla</t>
        </is>
      </c>
      <c r="J1134" s="2" t="inlineStr">
        <is>
          <t>CONT26079</t>
        </is>
      </c>
      <c r="K1134" s="2" t="inlineStr">
        <is>
          <t>Abierto</t>
        </is>
      </c>
      <c r="L1134" s="6" t="n">
        <v>12</v>
      </c>
      <c r="M1134" s="2" t="n"/>
      <c r="N1134" s="7" t="n">
        <v>0.51</v>
      </c>
      <c r="O1134" s="4" t="n"/>
      <c r="P1134" s="2" t="inlineStr">
        <is>
          <t>45233200</t>
        </is>
      </c>
      <c r="Q1134" s="8" t="inlineStr">
        <is>
          <t>Ver</t>
        </is>
      </c>
      <c r="R1134" s="8" t="inlineStr">
        <is>
          <t>PCAP</t>
        </is>
      </c>
      <c r="S1134" s="9" t="n">
        <v>46317</v>
      </c>
      <c r="T1134" s="3" t="n">
        <v>46315.32513888889</v>
      </c>
      <c r="U1134" s="2" t="n"/>
    </row>
    <row r="1135">
      <c r="A1135" s="2" t="inlineStr">
        <is>
          <t>En plazo</t>
        </is>
      </c>
      <c r="B1135" s="3" t="n">
        <v>46330.99930555555</v>
      </c>
      <c r="C1135" s="5" t="n">
        <v>434051.26</v>
      </c>
      <c r="D1135" s="5" t="n">
        <v>434051.26</v>
      </c>
      <c r="E1135" s="2" t="inlineStr">
        <is>
          <t>Comunitat Valenciana</t>
        </is>
      </c>
      <c r="F1135" s="2" t="inlineStr">
        <is>
          <t>Valencia</t>
        </is>
      </c>
      <c r="G1135" s="2" t="inlineStr">
        <is>
          <t>Bétera</t>
        </is>
      </c>
      <c r="H1135" s="2" t="inlineStr">
        <is>
          <t>Junta de Gobierno del Ayuntamiento de Bétera</t>
        </is>
      </c>
      <c r="I1135" s="2" t="inlineStr">
        <is>
          <t>Mejora de accesibilidad en vías públicas del municipio de Bétera</t>
        </is>
      </c>
      <c r="J1135" s="2" t="inlineStr">
        <is>
          <t>11601/2026</t>
        </is>
      </c>
      <c r="K1135" s="2" t="inlineStr">
        <is>
          <t>Abierto simplificado</t>
        </is>
      </c>
      <c r="L1135" s="6" t="n">
        <v>4</v>
      </c>
      <c r="M1135" s="2" t="inlineStr">
        <is>
          <t>G6-3</t>
        </is>
      </c>
      <c r="N1135" s="7" t="n">
        <v>0</v>
      </c>
      <c r="O1135" s="4" t="n"/>
      <c r="P1135" s="2" t="inlineStr">
        <is>
          <t>45233252; 45233260</t>
        </is>
      </c>
      <c r="Q1135" s="8" t="inlineStr">
        <is>
          <t>Ver</t>
        </is>
      </c>
      <c r="R1135" s="8" t="inlineStr">
        <is>
          <t>PCAP</t>
        </is>
      </c>
      <c r="S1135" s="9" t="n">
        <v>46311</v>
      </c>
      <c r="T1135" s="3" t="n">
        <v>46315.32414351852</v>
      </c>
      <c r="U1135" s="2" t="n"/>
    </row>
    <row r="1136">
      <c r="A1136" s="2" t="inlineStr">
        <is>
          <t>En plazo</t>
        </is>
      </c>
      <c r="B1136" s="3" t="n">
        <v>46331.99930555555</v>
      </c>
      <c r="C1136" s="5" t="n">
        <v>413223.14</v>
      </c>
      <c r="D1136" s="5" t="n">
        <v>413223.14</v>
      </c>
      <c r="E1136" s="2" t="inlineStr">
        <is>
          <t>Andalucía</t>
        </is>
      </c>
      <c r="F1136" s="2" t="inlineStr">
        <is>
          <t>Almería</t>
        </is>
      </c>
      <c r="G1136" s="2" t="inlineStr">
        <is>
          <t>Huércal de Almería</t>
        </is>
      </c>
      <c r="H1136" s="2" t="inlineStr">
        <is>
          <t>Junta de Gobierno Local del Ayuntamiento de Huércal de Almería</t>
        </is>
      </c>
      <c r="I1136" s="2" t="inlineStr">
        <is>
          <t>Obras de parques infantiles en El Potro y en calle Erasmo de Rotterdam</t>
        </is>
      </c>
      <c r="J1136" s="2" t="inlineStr">
        <is>
          <t>4163/2026</t>
        </is>
      </c>
      <c r="K1136" s="2" t="inlineStr">
        <is>
          <t>Abierto simplificado</t>
        </is>
      </c>
      <c r="L1136" s="6" t="n">
        <v>3</v>
      </c>
      <c r="M1136" s="2" t="n"/>
      <c r="N1136" s="7" t="n">
        <v>0.25</v>
      </c>
      <c r="O1136" s="4" t="n"/>
      <c r="P1136" s="2" t="inlineStr">
        <is>
          <t>45236290; 37535220; 37535210; 43325000; 37535200</t>
        </is>
      </c>
      <c r="Q1136" s="8" t="inlineStr">
        <is>
          <t>Ver</t>
        </is>
      </c>
      <c r="R1136" s="8" t="inlineStr">
        <is>
          <t>PCAP</t>
        </is>
      </c>
      <c r="S1136" s="9" t="n">
        <v>46314</v>
      </c>
      <c r="T1136" s="3" t="n">
        <v>46315.31986111111</v>
      </c>
      <c r="U1136" s="2" t="inlineStr">
        <is>
          <t>2026-10-22: plazo 2026-10-30 23:59 → 2026-11-05 23:59</t>
        </is>
      </c>
    </row>
    <row r="1137">
      <c r="A1137" s="2" t="inlineStr">
        <is>
          <t>En plazo</t>
        </is>
      </c>
      <c r="B1137" s="3" t="n">
        <v>46342.99930555555</v>
      </c>
      <c r="C1137" s="5" t="n">
        <v>661157.03</v>
      </c>
      <c r="D1137" s="5" t="n">
        <v>661157.03</v>
      </c>
      <c r="E1137" s="2" t="inlineStr">
        <is>
          <t>Andalucía</t>
        </is>
      </c>
      <c r="F1137" s="2" t="inlineStr">
        <is>
          <t>Córdoba</t>
        </is>
      </c>
      <c r="G1137" s="2" t="n"/>
      <c r="H1137" s="2" t="inlineStr">
        <is>
          <t>Junta de Gobierno de la Diputación Provincial de Córdoba</t>
        </is>
      </c>
      <c r="I1137" s="2" t="inlineStr">
        <is>
          <t>Obras de mejora del acceso a Priego de Córdoba, en un tramo de 1,64 Km semiurbanizados de la CO-8209 "de Priego de Córdoba a Luque por Fuente Alhama (Priego de Córdoba), Córdoba</t>
        </is>
      </c>
      <c r="J1137" s="2" t="inlineStr">
        <is>
          <t>776/26</t>
        </is>
      </c>
      <c r="K1137" s="2" t="inlineStr">
        <is>
          <t>Abierto</t>
        </is>
      </c>
      <c r="L1137" s="6" t="n">
        <v>6</v>
      </c>
      <c r="M1137" s="2" t="inlineStr">
        <is>
          <t>G4-3</t>
        </is>
      </c>
      <c r="N1137" s="7" t="n">
        <v>0.4</v>
      </c>
      <c r="O1137" s="4" t="n"/>
      <c r="P1137" s="2" t="inlineStr">
        <is>
          <t>45233000</t>
        </is>
      </c>
      <c r="Q1137" s="8" t="inlineStr">
        <is>
          <t>Ver</t>
        </is>
      </c>
      <c r="R1137" s="8" t="inlineStr">
        <is>
          <t>PCAP</t>
        </is>
      </c>
      <c r="S1137" s="9" t="n">
        <v>46317</v>
      </c>
      <c r="T1137" s="3" t="n">
        <v>46315.30284722222</v>
      </c>
      <c r="U1137" s="2" t="n"/>
    </row>
    <row r="1138">
      <c r="A1138" s="2" t="inlineStr">
        <is>
          <t>En plazo</t>
        </is>
      </c>
      <c r="B1138" s="3" t="n">
        <v>46332.54166666666</v>
      </c>
      <c r="C1138" s="5" t="n">
        <v>3949255.46</v>
      </c>
      <c r="D1138" s="5" t="n">
        <v>4344181.01</v>
      </c>
      <c r="E1138" s="2" t="inlineStr">
        <is>
          <t>Comunitat Valenciana</t>
        </is>
      </c>
      <c r="F1138" s="2" t="inlineStr">
        <is>
          <t>Valencia</t>
        </is>
      </c>
      <c r="G1138" s="2" t="n"/>
      <c r="H1138" s="2" t="inlineStr">
        <is>
          <t>Presidencia de la Diputación Provincial de Valencia</t>
        </is>
      </c>
      <c r="I1138" s="2" t="inlineStr">
        <is>
          <t>Ac-576A/O. Ampliación de plataforma y mejora del drenaje de la carretera CV-598 de Autovía A35 a Canals en los términos municipales de Montesa y Canals.</t>
        </is>
      </c>
      <c r="J1138" s="2" t="inlineStr">
        <is>
          <t>59/19/CAR</t>
        </is>
      </c>
      <c r="K1138" s="2" t="inlineStr">
        <is>
          <t>Abierto</t>
        </is>
      </c>
      <c r="L1138" s="6" t="n">
        <v>15</v>
      </c>
      <c r="M1138" s="2" t="inlineStr">
        <is>
          <t>G4-5</t>
        </is>
      </c>
      <c r="N1138" s="7" t="n">
        <v>0.46</v>
      </c>
      <c r="O1138" s="4" t="n"/>
      <c r="P1138" s="2" t="inlineStr">
        <is>
          <t>45233120</t>
        </is>
      </c>
      <c r="Q1138" s="8" t="inlineStr">
        <is>
          <t>Ver</t>
        </is>
      </c>
      <c r="R1138" s="8" t="inlineStr">
        <is>
          <t>PCAP</t>
        </is>
      </c>
      <c r="S1138" s="9" t="n">
        <v>46317</v>
      </c>
      <c r="T1138" s="3" t="n">
        <v>46314.91854166667</v>
      </c>
      <c r="U1138" s="2" t="n"/>
    </row>
    <row r="1139">
      <c r="A1139" s="2" t="inlineStr">
        <is>
          <t>Adjudicada</t>
        </is>
      </c>
      <c r="B1139" s="3" t="n">
        <v>46289.99930555555</v>
      </c>
      <c r="C1139" s="5" t="n">
        <v>96015.91</v>
      </c>
      <c r="D1139" s="5" t="n">
        <v>96015.91</v>
      </c>
      <c r="E1139" s="2" t="inlineStr">
        <is>
          <t>Andalucía</t>
        </is>
      </c>
      <c r="F1139" s="2" t="inlineStr">
        <is>
          <t>Córdoba</t>
        </is>
      </c>
      <c r="G1139" s="2" t="n"/>
      <c r="H1139" s="2" t="inlineStr">
        <is>
          <t>Alcaldía del Ayuntamiento de Rute</t>
        </is>
      </c>
      <c r="I1139" s="2" t="inlineStr">
        <is>
          <t>Ejecución del Proyecto de Construcción de Depósito Metálico de Almacenamiento de Agua para Uso Agrícola en el Término Municipal de Rute (Córdoba).</t>
        </is>
      </c>
      <c r="J1139" s="2" t="inlineStr">
        <is>
          <t>8017_26 OBRAS DEPOSITO AGUA AGRICOLA</t>
        </is>
      </c>
      <c r="K1139" s="2" t="inlineStr">
        <is>
          <t>Abierto simplificado</t>
        </is>
      </c>
      <c r="L1139" s="6" t="n">
        <v>2.5</v>
      </c>
      <c r="M1139" s="2" t="n"/>
      <c r="N1139" s="7" t="n">
        <v>0</v>
      </c>
      <c r="O1139" s="4" t="n"/>
      <c r="P1139" s="2" t="inlineStr">
        <is>
          <t>45000000; 45247270</t>
        </is>
      </c>
      <c r="Q1139" s="8" t="inlineStr">
        <is>
          <t>Ver</t>
        </is>
      </c>
      <c r="R1139" s="8" t="inlineStr">
        <is>
          <t>PCAP</t>
        </is>
      </c>
      <c r="S1139" s="9" t="n">
        <v>46310</v>
      </c>
      <c r="T1139" s="3" t="n">
        <v>46314.791875</v>
      </c>
      <c r="U1139" s="2" t="inlineStr">
        <is>
          <t>2026-10-20: estado EV → ADJ</t>
        </is>
      </c>
    </row>
    <row r="1140">
      <c r="A1140" s="2" t="inlineStr">
        <is>
          <t>Plazo vencido</t>
        </is>
      </c>
      <c r="B1140" s="3" t="n">
        <v>46323.99930555555</v>
      </c>
      <c r="C1140" s="5" t="n">
        <v>255023.39</v>
      </c>
      <c r="D1140" s="5" t="n">
        <v>255023.39</v>
      </c>
      <c r="E1140" s="2" t="inlineStr">
        <is>
          <t>Andalucía</t>
        </is>
      </c>
      <c r="F1140" s="2" t="inlineStr">
        <is>
          <t>Granada</t>
        </is>
      </c>
      <c r="G1140" s="2" t="inlineStr">
        <is>
          <t>POLOPOS MAMOLA</t>
        </is>
      </c>
      <c r="H1140" s="2" t="inlineStr">
        <is>
          <t>Alcaldía del Ayuntamiento de Polopos - La Mamola</t>
        </is>
      </c>
      <c r="I1140" s="2" t="inlineStr">
        <is>
          <t>Ejecución de las obras del Proyecto de Pavimentación y alumbrado público del Camino de Acceso al Haza del Trigo, T.M. Polopos-La Mamola (Granada).</t>
        </is>
      </c>
      <c r="J1140" s="2" t="inlineStr">
        <is>
          <t>267/2025</t>
        </is>
      </c>
      <c r="K1140" s="2" t="inlineStr">
        <is>
          <t>Abierto simplificado</t>
        </is>
      </c>
      <c r="L1140" s="6" t="n">
        <v>4</v>
      </c>
      <c r="M1140" s="2" t="n"/>
      <c r="N1140" s="7" t="n">
        <v>0.1</v>
      </c>
      <c r="O1140" s="4" t="n"/>
      <c r="P1140" s="2" t="inlineStr">
        <is>
          <t>45233222; 45316110</t>
        </is>
      </c>
      <c r="Q1140" s="8" t="inlineStr">
        <is>
          <t>Ver</t>
        </is>
      </c>
      <c r="R1140" s="8" t="inlineStr">
        <is>
          <t>PCAP</t>
        </is>
      </c>
      <c r="S1140" s="9" t="n">
        <v>46310</v>
      </c>
      <c r="T1140" s="3" t="n">
        <v>46314.79087962963</v>
      </c>
      <c r="U1140" s="2" t="n"/>
    </row>
    <row r="1141">
      <c r="A1141" s="2" t="inlineStr">
        <is>
          <t>Plazo vencido</t>
        </is>
      </c>
      <c r="B1141" s="3" t="n">
        <v>46316.54166666666</v>
      </c>
      <c r="C1141" s="5" t="n">
        <v>79337.55</v>
      </c>
      <c r="D1141" s="5" t="n">
        <v>79337.55</v>
      </c>
      <c r="E1141" s="2" t="inlineStr">
        <is>
          <t>Andalucía</t>
        </is>
      </c>
      <c r="F1141" s="2" t="inlineStr">
        <is>
          <t>Málaga</t>
        </is>
      </c>
      <c r="G1141" s="2" t="n"/>
      <c r="H1141" s="2" t="inlineStr">
        <is>
          <t>Concejala Delegada de Sostenibilidad Medioambiental del Excmo. Ayuntamiento de Málaga</t>
        </is>
      </c>
      <c r="I1141" s="2" t="inlineStr">
        <is>
          <t>Obras de construcción de jardineras en Puente de Tetuán</t>
        </is>
      </c>
      <c r="J1141" s="2" t="inlineStr">
        <is>
          <t>PASA 26/21/1112</t>
        </is>
      </c>
      <c r="K1141" s="2" t="inlineStr">
        <is>
          <t>Abierto simplificado</t>
        </is>
      </c>
      <c r="L1141" s="6" t="n">
        <v>2</v>
      </c>
      <c r="M1141" s="2" t="n"/>
      <c r="N1141" s="7" t="n">
        <v>0</v>
      </c>
      <c r="O1141" s="4" t="n"/>
      <c r="P1141" s="2" t="inlineStr">
        <is>
          <t>45112712</t>
        </is>
      </c>
      <c r="Q1141" s="8" t="inlineStr">
        <is>
          <t>Ver</t>
        </is>
      </c>
      <c r="R1141" s="8" t="inlineStr">
        <is>
          <t>PCAP</t>
        </is>
      </c>
      <c r="S1141" s="9" t="n">
        <v>46310</v>
      </c>
      <c r="T1141" s="3" t="n">
        <v>46314.73990740741</v>
      </c>
      <c r="U1141" s="2" t="n"/>
    </row>
    <row r="1142">
      <c r="A1142" s="2" t="inlineStr">
        <is>
          <t>Pendiente de adjudicación</t>
        </is>
      </c>
      <c r="B1142" s="3" t="n">
        <v>46300.99930555555</v>
      </c>
      <c r="C1142" s="5" t="n">
        <v>167914.51</v>
      </c>
      <c r="D1142" s="5" t="n">
        <v>167914.51</v>
      </c>
      <c r="E1142" s="2" t="inlineStr">
        <is>
          <t>Andalucía</t>
        </is>
      </c>
      <c r="F1142" s="2" t="inlineStr">
        <is>
          <t>Málaga</t>
        </is>
      </c>
      <c r="G1142" s="2" t="n"/>
      <c r="H1142" s="2" t="inlineStr">
        <is>
          <t>Empresa de Transformación Agraria S.A.,S.M.E., M.P., (TRAGSA)</t>
        </is>
      </c>
      <c r="I1142" s="2" t="inlineStr">
        <is>
          <t>Suministro e instalación de nuevos elementos de carpintería metálica para la actuación denominada "Servicio de Actuaciones Prioritarias en Materia de Seguridad y Salud de las Presas Competencia de la Comunidad Autónoma de Andalucía"</t>
        </is>
      </c>
      <c r="J1142" s="2" t="inlineStr">
        <is>
          <t>TSA0083839</t>
        </is>
      </c>
      <c r="K1142" s="2" t="inlineStr">
        <is>
          <t>Abierto simplificado</t>
        </is>
      </c>
      <c r="L1142" s="6" t="n">
        <v>3</v>
      </c>
      <c r="M1142" s="2" t="inlineStr">
        <is>
          <t>C9-2</t>
        </is>
      </c>
      <c r="N1142" s="7" t="n">
        <v>0</v>
      </c>
      <c r="O1142" s="4" t="n"/>
      <c r="P1142" s="2" t="inlineStr">
        <is>
          <t>45421140; 45340000</t>
        </is>
      </c>
      <c r="Q1142" s="8" t="inlineStr">
        <is>
          <t>Ver</t>
        </is>
      </c>
      <c r="R1142" s="8" t="inlineStr">
        <is>
          <t>PCAP</t>
        </is>
      </c>
      <c r="S1142" s="9" t="n">
        <v>46310</v>
      </c>
      <c r="T1142" s="3" t="n">
        <v>46314.72856481482</v>
      </c>
      <c r="U1142" s="2" t="n"/>
    </row>
    <row r="1143">
      <c r="A1143" s="2" t="inlineStr">
        <is>
          <t>Pendiente de adjudicación</t>
        </is>
      </c>
      <c r="B1143" s="3" t="n">
        <v>46146.41666666666</v>
      </c>
      <c r="C1143" s="5" t="n">
        <v>121655.76</v>
      </c>
      <c r="D1143" s="5" t="n">
        <v>121655.76</v>
      </c>
      <c r="E1143" s="2" t="inlineStr">
        <is>
          <t>Andalucía</t>
        </is>
      </c>
      <c r="F1143" s="2" t="inlineStr">
        <is>
          <t>Sevilla</t>
        </is>
      </c>
      <c r="G1143" s="2" t="n"/>
      <c r="H1143" s="2" t="inlineStr">
        <is>
          <t>Empresa de Transformación Agraria S.A.,S.M.E., M.P., (TRAGSA)</t>
        </is>
      </c>
      <c r="I1143"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1143" s="2" t="inlineStr">
        <is>
          <t>TSA0083257</t>
        </is>
      </c>
      <c r="K1143" s="2" t="inlineStr">
        <is>
          <t>Abierto simplificado</t>
        </is>
      </c>
      <c r="L1143" s="6" t="n">
        <v>2</v>
      </c>
      <c r="M1143" s="2" t="n"/>
      <c r="N1143" s="7" t="n">
        <v>0</v>
      </c>
      <c r="O1143" s="4" t="n"/>
      <c r="P1143" s="2" t="inlineStr">
        <is>
          <t>45240000</t>
        </is>
      </c>
      <c r="Q1143" s="8" t="inlineStr">
        <is>
          <t>Ver</t>
        </is>
      </c>
      <c r="R1143" s="8" t="inlineStr">
        <is>
          <t>PCAP</t>
        </is>
      </c>
      <c r="S1143" s="9" t="n">
        <v>46310</v>
      </c>
      <c r="T1143" s="3" t="n">
        <v>46314.7145949074</v>
      </c>
      <c r="U1143" s="2" t="n"/>
    </row>
    <row r="1144">
      <c r="A1144" s="2" t="inlineStr">
        <is>
          <t>En plazo</t>
        </is>
      </c>
      <c r="B1144" s="3" t="n">
        <v>46342.54166666666</v>
      </c>
      <c r="C1144" s="5" t="n">
        <v>420785.03</v>
      </c>
      <c r="D1144" s="5" t="n">
        <v>420785.03</v>
      </c>
      <c r="E1144" s="2" t="inlineStr">
        <is>
          <t>Comunitat Valenciana</t>
        </is>
      </c>
      <c r="F1144" s="2" t="inlineStr">
        <is>
          <t>Alicante</t>
        </is>
      </c>
      <c r="G1144" s="2" t="n"/>
      <c r="H1144" s="2" t="inlineStr">
        <is>
          <t>Consejo de Administración de Aigües i Sanejament d'Elx S.A.</t>
        </is>
      </c>
      <c r="I1144" s="2" t="inlineStr">
        <is>
          <t>Obras de la Red de Abastecimiento de Agua Potable a la Paritda de Llano de San José, Fase II</t>
        </is>
      </c>
      <c r="J1144" s="2" t="inlineStr">
        <is>
          <t>2026/0022/OB</t>
        </is>
      </c>
      <c r="K1144" s="2" t="inlineStr">
        <is>
          <t>Abierto</t>
        </is>
      </c>
      <c r="L1144" s="6" t="n">
        <v>5</v>
      </c>
      <c r="M1144" s="2" t="n"/>
      <c r="N1144" s="7" t="n">
        <v>0.45</v>
      </c>
      <c r="O1144" s="4" t="n"/>
      <c r="P1144" s="2" t="inlineStr">
        <is>
          <t>45231300</t>
        </is>
      </c>
      <c r="Q1144" s="8" t="inlineStr">
        <is>
          <t>Ver</t>
        </is>
      </c>
      <c r="R1144" s="8" t="inlineStr">
        <is>
          <t>PCAP</t>
        </is>
      </c>
      <c r="S1144" s="9" t="n">
        <v>46315</v>
      </c>
      <c r="T1144" s="3" t="n">
        <v>46314.67834490741</v>
      </c>
      <c r="U1144" s="2" t="n"/>
    </row>
    <row r="1145">
      <c r="A1145" s="2" t="inlineStr">
        <is>
          <t>Resuelta</t>
        </is>
      </c>
      <c r="B1145" s="3" t="n"/>
      <c r="C1145" s="5" t="n">
        <v>3422575.24</v>
      </c>
      <c r="D1145" s="5" t="n">
        <v>4141316.05</v>
      </c>
      <c r="E1145" s="2" t="inlineStr">
        <is>
          <t>Andalucía</t>
        </is>
      </c>
      <c r="F1145" s="2" t="inlineStr">
        <is>
          <t>Granada</t>
        </is>
      </c>
      <c r="G1145" s="2" t="n"/>
      <c r="H1145" s="2" t="inlineStr">
        <is>
          <t>Demarcación de Carreteras del Estado en Andalucía Oriental</t>
        </is>
      </c>
      <c r="I1145" s="2" t="inlineStr">
        <is>
          <t>Reparación de firme en la autovía A-45 entre los PP.KK. 81+260 límite con la provincia de Córdoba y 120+000, provincia de Málaga. LOTE 3</t>
        </is>
      </c>
      <c r="J1145" s="2" t="inlineStr">
        <is>
          <t>EM32-MA-260001.L3</t>
        </is>
      </c>
      <c r="K1145" s="2" t="inlineStr">
        <is>
          <t>Negociado sin publicidad</t>
        </is>
      </c>
      <c r="L1145" s="6" t="n">
        <v>5</v>
      </c>
      <c r="M1145" s="2" t="n"/>
      <c r="N1145" s="7" t="n"/>
      <c r="O1145" s="4" t="n"/>
      <c r="P1145" s="2" t="inlineStr">
        <is>
          <t>45000000</t>
        </is>
      </c>
      <c r="Q1145" s="8" t="inlineStr">
        <is>
          <t>Ver</t>
        </is>
      </c>
      <c r="R1145" s="2" t="n"/>
      <c r="S1145" s="9" t="n">
        <v>46315</v>
      </c>
      <c r="T1145" s="3" t="n">
        <v>46314.66555555556</v>
      </c>
      <c r="U1145" s="2" t="n"/>
    </row>
    <row r="1146">
      <c r="A1146" s="2" t="inlineStr">
        <is>
          <t>Resuelta</t>
        </is>
      </c>
      <c r="B1146" s="3" t="n">
        <v>46269.41666666666</v>
      </c>
      <c r="C1146" s="5" t="n">
        <v>191958.54</v>
      </c>
      <c r="D1146" s="5" t="n">
        <v>191958.54</v>
      </c>
      <c r="E1146" s="2" t="inlineStr">
        <is>
          <t>Andalucía</t>
        </is>
      </c>
      <c r="F1146" s="2" t="inlineStr">
        <is>
          <t>Huelva</t>
        </is>
      </c>
      <c r="G1146" s="2" t="n"/>
      <c r="H1146" s="2" t="inlineStr">
        <is>
          <t>Empresa de Transformación Agraria S.A.,S.M.E., M.P., (TRAGSA)</t>
        </is>
      </c>
      <c r="I1146" s="2" t="inlineStr">
        <is>
          <t>Ejecución de asfaltado y triple tratamiento superficial para la obra: Proyecto de mejora de los caminos de acceso a la presa del Andévalo, en los TTMM de El Almendro, El Granado y Puebla de Guzmán (Huelva)</t>
        </is>
      </c>
      <c r="J1146" s="2" t="inlineStr">
        <is>
          <t>TSA0083941</t>
        </is>
      </c>
      <c r="K1146" s="2" t="inlineStr">
        <is>
          <t>Abierto simplificado</t>
        </is>
      </c>
      <c r="L1146" s="6" t="n">
        <v>4</v>
      </c>
      <c r="M1146" s="2" t="n"/>
      <c r="N1146" s="7" t="n">
        <v>0</v>
      </c>
      <c r="O1146" s="4" t="n">
        <v>2</v>
      </c>
      <c r="P1146" s="2" t="inlineStr">
        <is>
          <t>45233222</t>
        </is>
      </c>
      <c r="Q1146" s="8" t="inlineStr">
        <is>
          <t>Ver</t>
        </is>
      </c>
      <c r="R1146" s="8" t="inlineStr">
        <is>
          <t>PCAP</t>
        </is>
      </c>
      <c r="S1146" s="9" t="n">
        <v>46315</v>
      </c>
      <c r="T1146" s="3" t="n">
        <v>46314.66417824074</v>
      </c>
      <c r="U1146" s="2" t="n"/>
    </row>
    <row r="1147">
      <c r="A1147" s="2" t="inlineStr">
        <is>
          <t>Resuelta</t>
        </is>
      </c>
      <c r="B1147" s="3" t="n"/>
      <c r="C1147" s="5" t="n">
        <v>2921121.84</v>
      </c>
      <c r="D1147" s="5" t="n">
        <v>3534557.43</v>
      </c>
      <c r="E1147" s="2" t="inlineStr">
        <is>
          <t>Andalucía</t>
        </is>
      </c>
      <c r="F1147" s="2" t="inlineStr">
        <is>
          <t>Granada</t>
        </is>
      </c>
      <c r="G1147" s="2" t="n"/>
      <c r="H1147" s="2" t="inlineStr">
        <is>
          <t>Demarcación de Carreteras del Estado en Andalucía Oriental</t>
        </is>
      </c>
      <c r="I1147" s="2" t="inlineStr">
        <is>
          <t>Reparación de firme en la autovía A-7 entre los PP.KK. 1067+000 (inicio variante Estepona) y 1087+300 (límite con la provincia de Cádiz), provincia de Málaga. LOTE 2, subsanando la situación de grave peligro existente</t>
        </is>
      </c>
      <c r="J1147" s="2" t="inlineStr">
        <is>
          <t>EM32-MA-260001.L2</t>
        </is>
      </c>
      <c r="K1147" s="2" t="inlineStr">
        <is>
          <t>Negociado sin publicidad</t>
        </is>
      </c>
      <c r="L1147" s="6" t="n">
        <v>5</v>
      </c>
      <c r="M1147" s="2" t="n"/>
      <c r="N1147" s="7" t="n"/>
      <c r="O1147" s="4" t="n"/>
      <c r="P1147" s="2" t="inlineStr">
        <is>
          <t>45000000</t>
        </is>
      </c>
      <c r="Q1147" s="8" t="inlineStr">
        <is>
          <t>Ver</t>
        </is>
      </c>
      <c r="R1147" s="2" t="n"/>
      <c r="S1147" s="9" t="n">
        <v>46315</v>
      </c>
      <c r="T1147" s="3" t="n">
        <v>46314.66262731481</v>
      </c>
      <c r="U1147" s="2" t="n"/>
    </row>
    <row r="1148">
      <c r="A1148" s="2" t="inlineStr">
        <is>
          <t>Resuelta</t>
        </is>
      </c>
      <c r="B1148" s="3" t="n"/>
      <c r="C1148" s="5" t="n">
        <v>3574126.27</v>
      </c>
      <c r="D1148" s="5" t="n">
        <v>4324692.79</v>
      </c>
      <c r="E1148" s="2" t="inlineStr">
        <is>
          <t>Andalucía</t>
        </is>
      </c>
      <c r="F1148" s="2" t="inlineStr">
        <is>
          <t>Granada</t>
        </is>
      </c>
      <c r="G1148" s="2" t="n"/>
      <c r="H1148" s="2" t="inlineStr">
        <is>
          <t>Demarcación de Carreteras del Estado en Andalucía Oriental</t>
        </is>
      </c>
      <c r="I1148" s="2" t="inlineStr">
        <is>
          <t>Reparación de firme en la autovía A-7 entre los PP.KK. 1049+479 ,final de la variante de Marbella, y 1067+000 ,inicio variante Estepona ,provincia de Málaga. LOTE 1</t>
        </is>
      </c>
      <c r="J1148" s="2" t="inlineStr">
        <is>
          <t>EM32-MA-260001.L1</t>
        </is>
      </c>
      <c r="K1148" s="2" t="inlineStr">
        <is>
          <t>Negociado sin publicidad</t>
        </is>
      </c>
      <c r="L1148" s="6" t="n">
        <v>5</v>
      </c>
      <c r="M1148" s="2" t="n"/>
      <c r="N1148" s="7" t="n"/>
      <c r="O1148" s="4" t="n"/>
      <c r="P1148" s="2" t="inlineStr">
        <is>
          <t>45000000</t>
        </is>
      </c>
      <c r="Q1148" s="8" t="inlineStr">
        <is>
          <t>Ver</t>
        </is>
      </c>
      <c r="R1148" s="2" t="n"/>
      <c r="S1148" s="9" t="n">
        <v>46315</v>
      </c>
      <c r="T1148" s="3" t="n">
        <v>46314.65951388889</v>
      </c>
      <c r="U1148" s="2" t="n"/>
    </row>
    <row r="1149">
      <c r="A1149" s="2" t="inlineStr">
        <is>
          <t>Resuelta</t>
        </is>
      </c>
      <c r="B1149" s="3" t="n">
        <v>45951.41666666666</v>
      </c>
      <c r="C1149" s="5" t="n">
        <v>85000</v>
      </c>
      <c r="D1149" s="5" t="n">
        <v>85000</v>
      </c>
      <c r="E1149" s="2" t="inlineStr">
        <is>
          <t>Andalucía</t>
        </is>
      </c>
      <c r="F1149" s="2" t="inlineStr">
        <is>
          <t>Sevilla</t>
        </is>
      </c>
      <c r="G1149" s="2" t="n"/>
      <c r="H1149" s="2" t="inlineStr">
        <is>
          <t>Empresa de Transformación Agraria S.A.,S.M.E., M.P., (TRAGSA)</t>
        </is>
      </c>
      <c r="I1149"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1149" s="2" t="inlineStr">
        <is>
          <t>TSA0076787-121</t>
        </is>
      </c>
      <c r="K1149" s="2" t="inlineStr">
        <is>
          <t>Abierto</t>
        </is>
      </c>
      <c r="L1149" s="6" t="n">
        <v>12</v>
      </c>
      <c r="M1149" s="2" t="n"/>
      <c r="N1149" s="7" t="n">
        <v>0</v>
      </c>
      <c r="O1149" s="4" t="n"/>
      <c r="P1149" s="2" t="inlineStr">
        <is>
          <t>45500000</t>
        </is>
      </c>
      <c r="Q1149" s="8" t="inlineStr">
        <is>
          <t>Ver</t>
        </is>
      </c>
      <c r="R1149" s="8" t="inlineStr">
        <is>
          <t>PCAP</t>
        </is>
      </c>
      <c r="S1149" s="9" t="n">
        <v>46315</v>
      </c>
      <c r="T1149" s="3" t="n">
        <v>46314.65902777778</v>
      </c>
      <c r="U1149" s="2" t="n"/>
    </row>
    <row r="1150">
      <c r="A1150" s="2" t="inlineStr">
        <is>
          <t>Resuelta</t>
        </is>
      </c>
      <c r="B1150" s="3" t="n"/>
      <c r="C1150" s="5" t="n">
        <v>2057959.08</v>
      </c>
      <c r="D1150" s="5" t="n">
        <v>2490130.49</v>
      </c>
      <c r="E1150" s="2" t="inlineStr">
        <is>
          <t>Andalucía</t>
        </is>
      </c>
      <c r="F1150" s="2" t="inlineStr">
        <is>
          <t>Granada</t>
        </is>
      </c>
      <c r="G1150" s="2" t="n"/>
      <c r="H1150" s="2" t="inlineStr">
        <is>
          <t>Demarcación de Carreteras del Estado en Andalucía Oriental</t>
        </is>
      </c>
      <c r="I1150" s="2" t="inlineStr">
        <is>
          <t>Reparación de firme En la provincia de Jaén, Autovía A-44 desde el P.K. 0+000 al 78+000 para garantizar la seguridad viaria, subsanando la situación de grave peligro existente Lote4-Clave 260004</t>
        </is>
      </c>
      <c r="J1150" s="2" t="inlineStr">
        <is>
          <t>EM32-J-260004.L4</t>
        </is>
      </c>
      <c r="K1150" s="2" t="inlineStr">
        <is>
          <t>Negociado sin publicidad</t>
        </is>
      </c>
      <c r="L1150" s="6" t="n">
        <v>60</v>
      </c>
      <c r="M1150" s="2" t="n"/>
      <c r="N1150" s="7" t="n"/>
      <c r="O1150" s="4" t="n"/>
      <c r="P1150" s="2" t="inlineStr">
        <is>
          <t>45000000</t>
        </is>
      </c>
      <c r="Q1150" s="8" t="inlineStr">
        <is>
          <t>Ver</t>
        </is>
      </c>
      <c r="R1150" s="2" t="n"/>
      <c r="S1150" s="9" t="n">
        <v>46315</v>
      </c>
      <c r="T1150" s="3" t="n">
        <v>46314.64761574074</v>
      </c>
      <c r="U1150" s="2" t="n"/>
    </row>
    <row r="1151">
      <c r="A1151" s="2" t="inlineStr">
        <is>
          <t>En plazo</t>
        </is>
      </c>
      <c r="B1151" s="3" t="n">
        <v>46335.99930555555</v>
      </c>
      <c r="C1151" s="5" t="n">
        <v>709293.76</v>
      </c>
      <c r="D1151" s="5" t="n">
        <v>709293.76</v>
      </c>
      <c r="E1151" s="2" t="inlineStr">
        <is>
          <t>Comunitat Valenciana</t>
        </is>
      </c>
      <c r="F1151" s="2" t="inlineStr">
        <is>
          <t>Valencia</t>
        </is>
      </c>
      <c r="G1151" s="2" t="n"/>
      <c r="H1151" s="2" t="inlineStr">
        <is>
          <t>Alcaldía del Ayuntamiento de Quart de Poblet</t>
        </is>
      </c>
      <c r="I1151" s="2" t="inlineStr">
        <is>
          <t>Obra Proyecto de Mejora de la accesibilidad y de parte de las infraestructuras de la calle Jaume Balmes de Quart de Poblet, actuación incluida dentro del Plan Obert d´Inversions 24-27 de la Diputación Provincial de Valencia</t>
        </is>
      </c>
      <c r="J1151" s="2" t="inlineStr">
        <is>
          <t>2287483K</t>
        </is>
      </c>
      <c r="K1151" s="2" t="inlineStr">
        <is>
          <t>Abierto simplificado</t>
        </is>
      </c>
      <c r="L1151" s="6" t="n">
        <v>6</v>
      </c>
      <c r="M1151" s="2" t="inlineStr">
        <is>
          <t>G6-2</t>
        </is>
      </c>
      <c r="N1151" s="7" t="n">
        <v>0.25</v>
      </c>
      <c r="O1151" s="4" t="n"/>
      <c r="P1151" s="2" t="inlineStr">
        <is>
          <t>45233140</t>
        </is>
      </c>
      <c r="Q1151" s="8" t="inlineStr">
        <is>
          <t>Ver</t>
        </is>
      </c>
      <c r="R1151" s="8" t="inlineStr">
        <is>
          <t>PCAP</t>
        </is>
      </c>
      <c r="S1151" s="9" t="n">
        <v>46315</v>
      </c>
      <c r="T1151" s="3" t="n">
        <v>46314.64677083334</v>
      </c>
      <c r="U1151" s="2" t="n"/>
    </row>
    <row r="1152">
      <c r="A1152" s="2" t="inlineStr">
        <is>
          <t>Anulada</t>
        </is>
      </c>
      <c r="B1152" s="3" t="n">
        <v>46321.79166666666</v>
      </c>
      <c r="C1152" s="5" t="n">
        <v>826265.8100000001</v>
      </c>
      <c r="D1152" s="5" t="n">
        <v>826265.8100000001</v>
      </c>
      <c r="E1152" s="2" t="inlineStr">
        <is>
          <t>Comunitat Valenciana</t>
        </is>
      </c>
      <c r="F1152" s="2" t="inlineStr">
        <is>
          <t>Valencia</t>
        </is>
      </c>
      <c r="G1152" s="2" t="n"/>
      <c r="H1152" s="2" t="inlineStr">
        <is>
          <t>Conselleria de Servicios Sociales, Familia e Infancia</t>
        </is>
      </c>
      <c r="I1152" s="2" t="inlineStr">
        <is>
          <t>Obras de reparación y mantenimiento del Centro de Envejecimiento Activo (CEA) de Crevillent.</t>
        </is>
      </c>
      <c r="J1152" s="2" t="inlineStr">
        <is>
          <t>CMAYOR/2026/30Y09/0121</t>
        </is>
      </c>
      <c r="K1152" s="2" t="inlineStr">
        <is>
          <t>Abierto simplificado</t>
        </is>
      </c>
      <c r="L1152" s="6" t="n">
        <v>6</v>
      </c>
      <c r="M1152" s="2" t="n"/>
      <c r="N1152" s="7" t="n">
        <v>0.222</v>
      </c>
      <c r="O1152" s="4" t="n"/>
      <c r="P1152" s="2" t="inlineStr">
        <is>
          <t>45450000</t>
        </is>
      </c>
      <c r="Q1152" s="8" t="inlineStr">
        <is>
          <t>Ver</t>
        </is>
      </c>
      <c r="R1152" s="8" t="inlineStr">
        <is>
          <t>PCAP</t>
        </is>
      </c>
      <c r="S1152" s="9" t="n">
        <v>46315</v>
      </c>
      <c r="T1152" s="3" t="n">
        <v>46314.64394675926</v>
      </c>
      <c r="U1152" s="2" t="inlineStr">
        <is>
          <t>2026-10-20: anulada en la Plataforma</t>
        </is>
      </c>
    </row>
    <row r="1153">
      <c r="A1153" s="2" t="inlineStr">
        <is>
          <t>Adjudicada</t>
        </is>
      </c>
      <c r="B1153" s="3" t="n"/>
      <c r="C1153" s="5" t="n">
        <v>25923.78</v>
      </c>
      <c r="D1153" s="5" t="n">
        <v>25923.78</v>
      </c>
      <c r="E1153" s="2" t="inlineStr">
        <is>
          <t>Comunitat Valenciana</t>
        </is>
      </c>
      <c r="F1153" s="2" t="inlineStr">
        <is>
          <t>Alicante</t>
        </is>
      </c>
      <c r="G1153" s="2" t="n"/>
      <c r="H1153" s="2" t="inlineStr">
        <is>
          <t>Consejo de Administración de Promociones e Iniciativas Municipales de Elche, S.A. (PIMESA)</t>
        </is>
      </c>
      <c r="I1153" s="2" t="inlineStr">
        <is>
          <t>Obras para dotar de suministro eléctrico al Edificio El Araceli, de 76 viviendas, 2 locales comerciales y garaje para 75 aparcamientos en la calle Maestro Ángel Llorca, nº 6 de Elche.</t>
        </is>
      </c>
      <c r="J1153" s="2" t="inlineStr">
        <is>
          <t>2025/NSP/026</t>
        </is>
      </c>
      <c r="K1153" s="2" t="inlineStr">
        <is>
          <t>Negociado sin publicidad</t>
        </is>
      </c>
      <c r="L1153" s="6" t="n">
        <v>3.5</v>
      </c>
      <c r="M1153" s="2" t="n"/>
      <c r="N1153" s="7" t="n"/>
      <c r="O1153" s="4" t="n"/>
      <c r="P1153" s="2" t="inlineStr">
        <is>
          <t>45310000</t>
        </is>
      </c>
      <c r="Q1153" s="8" t="inlineStr">
        <is>
          <t>Ver</t>
        </is>
      </c>
      <c r="R1153" s="2" t="n"/>
      <c r="S1153" s="9" t="n">
        <v>46315</v>
      </c>
      <c r="T1153" s="3" t="n">
        <v>46314.63226851852</v>
      </c>
      <c r="U1153" s="2" t="n"/>
    </row>
    <row r="1154">
      <c r="A1154" s="2" t="inlineStr">
        <is>
          <t>Pendiente de adjudicación</t>
        </is>
      </c>
      <c r="B1154" s="3" t="n">
        <v>46268.99930555555</v>
      </c>
      <c r="C1154" s="5" t="n">
        <v>796831.67</v>
      </c>
      <c r="D1154" s="5" t="n">
        <v>796831.67</v>
      </c>
      <c r="E1154" s="2" t="inlineStr">
        <is>
          <t>Comunitat Valenciana</t>
        </is>
      </c>
      <c r="F1154" s="2" t="inlineStr">
        <is>
          <t>Alicante</t>
        </is>
      </c>
      <c r="G1154" s="2" t="n"/>
      <c r="H1154" s="2" t="inlineStr">
        <is>
          <t>Presidencia de la Diputación Provincial de Alicante</t>
        </is>
      </c>
      <c r="I1154" s="2" t="inlineStr">
        <is>
          <t>Obra de reforma de las instalaciones de detección y extinción de incendios del Museo Arqueológico MARQ</t>
        </is>
      </c>
      <c r="J1154" s="2" t="inlineStr">
        <is>
          <t>O4S-137/2026</t>
        </is>
      </c>
      <c r="K1154" s="2" t="inlineStr">
        <is>
          <t>Abierto simplificado</t>
        </is>
      </c>
      <c r="L1154" s="6" t="n">
        <v>3</v>
      </c>
      <c r="M1154" s="2" t="n"/>
      <c r="N1154" s="7" t="n">
        <v>0.25</v>
      </c>
      <c r="O1154" s="4" t="n"/>
      <c r="P1154" s="2" t="inlineStr">
        <is>
          <t>45312100; 45343000</t>
        </is>
      </c>
      <c r="Q1154" s="8" t="inlineStr">
        <is>
          <t>Ver</t>
        </is>
      </c>
      <c r="R1154" s="8" t="inlineStr">
        <is>
          <t>PCAP</t>
        </is>
      </c>
      <c r="S1154" s="9" t="n">
        <v>46315</v>
      </c>
      <c r="T1154" s="3" t="n">
        <v>46314.62560185185</v>
      </c>
      <c r="U1154" s="2" t="n"/>
    </row>
    <row r="1155">
      <c r="A1155" s="2" t="inlineStr">
        <is>
          <t>En plazo</t>
        </is>
      </c>
      <c r="B1155" s="3" t="n">
        <v>46339.58333333334</v>
      </c>
      <c r="C1155" s="5" t="n">
        <v>392087954.71</v>
      </c>
      <c r="D1155" s="5" t="n">
        <v>431296750.18</v>
      </c>
      <c r="E1155" s="2" t="inlineStr">
        <is>
          <t>Comunitat Valenciana</t>
        </is>
      </c>
      <c r="F1155" s="2" t="inlineStr">
        <is>
          <t>Castellón</t>
        </is>
      </c>
      <c r="G1155" s="2" t="inlineStr">
        <is>
          <t>Castelló de la Plana</t>
        </is>
      </c>
      <c r="H1155" s="2" t="inlineStr">
        <is>
          <t>Dirección General de Gestión Económica, Contratación e Infraestructuras de la Conselleria de Sanidad</t>
        </is>
      </c>
      <c r="I1155" s="2" t="inlineStr">
        <is>
          <t>Obras del Nuevo Hospital General Universitario de Castellón.</t>
        </is>
      </c>
      <c r="J1155" s="2" t="inlineStr">
        <is>
          <t>31/2027</t>
        </is>
      </c>
      <c r="K1155" s="2" t="inlineStr">
        <is>
          <t>Abierto</t>
        </is>
      </c>
      <c r="L1155" s="6" t="n">
        <v>60</v>
      </c>
      <c r="M1155" s="2" t="inlineStr">
        <is>
          <t>C*-6</t>
        </is>
      </c>
      <c r="N1155" s="7" t="n">
        <v>0.3</v>
      </c>
      <c r="O1155" s="4" t="n"/>
      <c r="P1155" s="2" t="inlineStr">
        <is>
          <t>45215100</t>
        </is>
      </c>
      <c r="Q1155" s="8" t="inlineStr">
        <is>
          <t>Ver</t>
        </is>
      </c>
      <c r="R1155" s="8" t="inlineStr">
        <is>
          <t>PCAP</t>
        </is>
      </c>
      <c r="S1155" s="9" t="n">
        <v>46310</v>
      </c>
      <c r="T1155" s="3" t="n">
        <v>46314.62078703703</v>
      </c>
      <c r="U1155" s="2" t="inlineStr">
        <is>
          <t>2026-10-20: plazo 2026-11-03 14:00 → 2026-11-13 14:00</t>
        </is>
      </c>
    </row>
    <row r="1156">
      <c r="A1156" s="2" t="inlineStr">
        <is>
          <t>Resuelta</t>
        </is>
      </c>
      <c r="B1156" s="3" t="n"/>
      <c r="C1156" s="5" t="n">
        <v>3568913.46</v>
      </c>
      <c r="D1156" s="5" t="n">
        <v>4318385.29</v>
      </c>
      <c r="E1156" s="2" t="inlineStr">
        <is>
          <t>Andalucía</t>
        </is>
      </c>
      <c r="F1156" s="2" t="inlineStr">
        <is>
          <t>Granada</t>
        </is>
      </c>
      <c r="G1156" s="2" t="n"/>
      <c r="H1156" s="2" t="inlineStr">
        <is>
          <t>Demarcación de Carreteras del Estado en Andalucía Oriental</t>
        </is>
      </c>
      <c r="I1156" s="2" t="inlineStr">
        <is>
          <t>Reparación de firme EN LA provincia de Jaén, Autovía A-4 desde el P.K. 300+000 al 347+500 para garantizar la seguridad viaria, subsanando la situación de grave peligro existente Lote2-Clave 260004</t>
        </is>
      </c>
      <c r="J1156" s="2" t="inlineStr">
        <is>
          <t>EM32-J-260004.L2</t>
        </is>
      </c>
      <c r="K1156" s="2" t="inlineStr">
        <is>
          <t>Negociado sin publicidad</t>
        </is>
      </c>
      <c r="L1156" s="6" t="n">
        <v>5</v>
      </c>
      <c r="M1156" s="2" t="n"/>
      <c r="N1156" s="7" t="n"/>
      <c r="O1156" s="4" t="n"/>
      <c r="P1156" s="2" t="inlineStr">
        <is>
          <t>45000000</t>
        </is>
      </c>
      <c r="Q1156" s="8" t="inlineStr">
        <is>
          <t>Ver</t>
        </is>
      </c>
      <c r="R1156" s="2" t="n"/>
      <c r="S1156" s="9" t="n">
        <v>46315</v>
      </c>
      <c r="T1156" s="3" t="n">
        <v>46314.62056712963</v>
      </c>
      <c r="U1156" s="2" t="n"/>
    </row>
    <row r="1157">
      <c r="A1157" s="2" t="inlineStr">
        <is>
          <t>En plazo</t>
        </is>
      </c>
      <c r="B1157" s="3" t="n">
        <v>46334.99930555555</v>
      </c>
      <c r="C1157" s="5" t="n">
        <v>85303.67999999999</v>
      </c>
      <c r="D1157" s="5" t="n">
        <v>85303.67999999999</v>
      </c>
      <c r="E1157" s="2" t="inlineStr">
        <is>
          <t>Andalucía</t>
        </is>
      </c>
      <c r="F1157" s="2" t="inlineStr">
        <is>
          <t>Córdoba</t>
        </is>
      </c>
      <c r="G1157" s="2" t="inlineStr">
        <is>
          <t>Montalbán de Córdoba</t>
        </is>
      </c>
      <c r="H1157" s="2" t="inlineStr">
        <is>
          <t>Alcaldía de Ayuntamiento de Montalban de Cordoba</t>
        </is>
      </c>
      <c r="I1157" s="2" t="inlineStr">
        <is>
          <t>Expediente para la contratación de obras de mejora de la transabilidad en caminos varios, en el término municipal de Montalbán de Córdoba, financiados con el PLAN DE HUMANIZACIÓN DE ENTORNOS URBANOS Y AGENDA RURAL 2024-2027</t>
        </is>
      </c>
      <c r="J1157" s="2" t="inlineStr">
        <is>
          <t>GEX 2026/3815 Montalban</t>
        </is>
      </c>
      <c r="K1157" s="2" t="inlineStr">
        <is>
          <t>Abierto simplificado</t>
        </is>
      </c>
      <c r="L1157" s="6" t="n">
        <v>2</v>
      </c>
      <c r="M1157" s="2" t="n"/>
      <c r="N1157" s="7" t="n">
        <v>0</v>
      </c>
      <c r="O1157" s="4" t="n"/>
      <c r="P1157" s="2" t="inlineStr">
        <is>
          <t>45000000; 45233250; 45233160</t>
        </is>
      </c>
      <c r="Q1157" s="8" t="inlineStr">
        <is>
          <t>Ver</t>
        </is>
      </c>
      <c r="R1157" s="8" t="inlineStr">
        <is>
          <t>PCAP</t>
        </is>
      </c>
      <c r="S1157" s="9" t="n">
        <v>46315</v>
      </c>
      <c r="T1157" s="3" t="n">
        <v>46314.61763888889</v>
      </c>
      <c r="U1157" s="2" t="n"/>
    </row>
    <row r="1158">
      <c r="A1158" s="2" t="inlineStr">
        <is>
          <t>Resuelta</t>
        </is>
      </c>
      <c r="B1158" s="3" t="n"/>
      <c r="C1158" s="5" t="n">
        <v>3150042.06</v>
      </c>
      <c r="D1158" s="5" t="n">
        <v>3811550.9</v>
      </c>
      <c r="E1158" s="2" t="inlineStr">
        <is>
          <t>Andalucía</t>
        </is>
      </c>
      <c r="F1158" s="2" t="inlineStr">
        <is>
          <t>Granada</t>
        </is>
      </c>
      <c r="G1158" s="2" t="n"/>
      <c r="H1158" s="2" t="inlineStr">
        <is>
          <t>Demarcación de Carreteras del Estado en Andalucía Oriental</t>
        </is>
      </c>
      <c r="I1158" s="2" t="inlineStr">
        <is>
          <t>Reparación de firme EN LA provincia de Jaén, Autovía A-4 desde el P.K. 245+000 al 300+000 para garantizar la seguridad viaria, subsanando la situación de grave peligro existente Lote1-Clave 260004</t>
        </is>
      </c>
      <c r="J1158" s="2" t="inlineStr">
        <is>
          <t>EM32-J-260004.L1</t>
        </is>
      </c>
      <c r="K1158" s="2" t="inlineStr">
        <is>
          <t>Negociado sin publicidad</t>
        </is>
      </c>
      <c r="L1158" s="6" t="n">
        <v>5</v>
      </c>
      <c r="M1158" s="2" t="n"/>
      <c r="N1158" s="7" t="n"/>
      <c r="O1158" s="4" t="n"/>
      <c r="P1158" s="2" t="inlineStr">
        <is>
          <t>45000000</t>
        </is>
      </c>
      <c r="Q1158" s="8" t="inlineStr">
        <is>
          <t>Ver</t>
        </is>
      </c>
      <c r="R1158" s="2" t="n"/>
      <c r="S1158" s="9" t="n">
        <v>46315</v>
      </c>
      <c r="T1158" s="3" t="n">
        <v>46314.61746527778</v>
      </c>
      <c r="U1158" s="2" t="n"/>
    </row>
    <row r="1159">
      <c r="A1159" s="2" t="inlineStr">
        <is>
          <t>Resuelta</t>
        </is>
      </c>
      <c r="B1159" s="3" t="n">
        <v>46293.41666666666</v>
      </c>
      <c r="C1159" s="5" t="n">
        <v>3277323.33</v>
      </c>
      <c r="D1159" s="5" t="n">
        <v>3277323.33</v>
      </c>
      <c r="E1159" s="2" t="inlineStr">
        <is>
          <t>Comunitat Valenciana</t>
        </is>
      </c>
      <c r="F1159" s="2" t="inlineStr">
        <is>
          <t>Valencia</t>
        </is>
      </c>
      <c r="G1159" s="2" t="inlineStr">
        <is>
          <t>Término municipal de Massanassa (Valencia).</t>
        </is>
      </c>
      <c r="H1159" s="2" t="inlineStr">
        <is>
          <t>Empresa de Transformación Agraria S.A.,S.M.E., M.P., (TRAGSA)</t>
        </is>
      </c>
      <c r="I1159"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1159" s="2" t="inlineStr">
        <is>
          <t>TSA0079986-074</t>
        </is>
      </c>
      <c r="K1159" s="2" t="inlineStr">
        <is>
          <t>Abierto</t>
        </is>
      </c>
      <c r="L1159" s="6" t="n">
        <v>2</v>
      </c>
      <c r="M1159" s="2" t="n"/>
      <c r="N1159" s="7" t="n">
        <v>0</v>
      </c>
      <c r="O1159" s="4" t="n"/>
      <c r="P1159" s="2" t="inlineStr">
        <is>
          <t>45111200</t>
        </is>
      </c>
      <c r="Q1159" s="8" t="inlineStr">
        <is>
          <t>Ver</t>
        </is>
      </c>
      <c r="R1159" s="8" t="inlineStr">
        <is>
          <t>PCAP</t>
        </is>
      </c>
      <c r="S1159" s="9" t="n">
        <v>46310</v>
      </c>
      <c r="T1159" s="3" t="n">
        <v>46314.61278935185</v>
      </c>
      <c r="U1159" s="2" t="n"/>
    </row>
    <row r="1160">
      <c r="A1160" s="2" t="inlineStr">
        <is>
          <t>En plazo</t>
        </is>
      </c>
      <c r="B1160" s="3" t="n">
        <v>46337.625</v>
      </c>
      <c r="C1160" s="5" t="n">
        <v>243455.16</v>
      </c>
      <c r="D1160" s="5" t="n">
        <v>243455.16</v>
      </c>
      <c r="E1160" s="2" t="inlineStr">
        <is>
          <t>Andalucía</t>
        </is>
      </c>
      <c r="F1160" s="2" t="inlineStr">
        <is>
          <t>Cádiz</t>
        </is>
      </c>
      <c r="G1160" s="2" t="inlineStr">
        <is>
          <t>Cádiz</t>
        </is>
      </c>
      <c r="H1160" s="2" t="inlineStr">
        <is>
          <t>Junta de Gobierno del Ayuntamiento de Cádiz</t>
        </is>
      </c>
      <c r="I1160" s="2" t="inlineStr">
        <is>
          <t>Proyecto de sustitución de carpinterías exteriores de las fachadas sur y oeste del colegio público San Rafael</t>
        </is>
      </c>
      <c r="J1160" s="2" t="inlineStr">
        <is>
          <t>2026/160</t>
        </is>
      </c>
      <c r="K1160" s="2" t="inlineStr">
        <is>
          <t>Abierto simplificado</t>
        </is>
      </c>
      <c r="L1160" s="6" t="n">
        <v>4</v>
      </c>
      <c r="M1160" s="2" t="n"/>
      <c r="N1160" s="7" t="n">
        <v>0</v>
      </c>
      <c r="O1160" s="4" t="n"/>
      <c r="P1160" s="2" t="inlineStr">
        <is>
          <t>45000000; 45421130; 45420000</t>
        </is>
      </c>
      <c r="Q1160" s="8" t="inlineStr">
        <is>
          <t>Ver</t>
        </is>
      </c>
      <c r="R1160" s="8" t="inlineStr">
        <is>
          <t>PCAP</t>
        </is>
      </c>
      <c r="S1160" s="9" t="n">
        <v>46315</v>
      </c>
      <c r="T1160" s="3" t="n">
        <v>46314.60429398148</v>
      </c>
      <c r="U1160" s="2" t="n"/>
    </row>
    <row r="1161">
      <c r="A1161" s="2" t="inlineStr">
        <is>
          <t>Resuelta</t>
        </is>
      </c>
      <c r="B1161" s="3" t="n">
        <v>46269.99930555555</v>
      </c>
      <c r="C1161" s="5" t="n">
        <v>98192.49000000001</v>
      </c>
      <c r="D1161" s="5" t="n">
        <v>127650.24</v>
      </c>
      <c r="E1161" s="2" t="inlineStr">
        <is>
          <t>Comunitat Valenciana</t>
        </is>
      </c>
      <c r="F1161" s="2" t="inlineStr">
        <is>
          <t>Valencia</t>
        </is>
      </c>
      <c r="G1161" s="2" t="n"/>
      <c r="H1161" s="2" t="inlineStr">
        <is>
          <t>Departamento de Salud de Manises. Dirección Económica-Gerencia</t>
        </is>
      </c>
      <c r="I1161" s="2" t="inlineStr">
        <is>
          <t>Obra e instalaciones de nuevas consultas en el Centro de Salud de Aldaia, perteneciente al Departamento de Salud de Manises.</t>
        </is>
      </c>
      <c r="J1161" s="2" t="inlineStr">
        <is>
          <t>PA OB 1385/2026</t>
        </is>
      </c>
      <c r="K1161" s="2" t="inlineStr">
        <is>
          <t>Abierto</t>
        </is>
      </c>
      <c r="L1161" s="6" t="n">
        <v>6</v>
      </c>
      <c r="M1161" s="2" t="n"/>
      <c r="N1161" s="7" t="n">
        <v>0.45</v>
      </c>
      <c r="O1161" s="4" t="n"/>
      <c r="P1161" s="2" t="inlineStr">
        <is>
          <t>45215100; 45200000; 45450000</t>
        </is>
      </c>
      <c r="Q1161" s="8" t="inlineStr">
        <is>
          <t>Ver</t>
        </is>
      </c>
      <c r="R1161" s="8" t="inlineStr">
        <is>
          <t>PCAP</t>
        </is>
      </c>
      <c r="S1161" s="9" t="n">
        <v>46310</v>
      </c>
      <c r="T1161" s="3" t="n">
        <v>46314.6025</v>
      </c>
      <c r="U1161" s="2" t="inlineStr">
        <is>
          <t>2026-10-20: estado ADJ → RES</t>
        </is>
      </c>
    </row>
    <row r="1162">
      <c r="A1162" s="2" t="inlineStr">
        <is>
          <t>Pendiente de adjudicación</t>
        </is>
      </c>
      <c r="B1162" s="3" t="n">
        <v>46296.54166666666</v>
      </c>
      <c r="C1162" s="5" t="n">
        <v>123966.94</v>
      </c>
      <c r="D1162" s="5" t="n">
        <v>123966.94</v>
      </c>
      <c r="E1162" s="2" t="inlineStr">
        <is>
          <t>Andalucía</t>
        </is>
      </c>
      <c r="F1162" s="2" t="inlineStr">
        <is>
          <t>Cádiz</t>
        </is>
      </c>
      <c r="G1162" s="2" t="n"/>
      <c r="H1162" s="2" t="inlineStr">
        <is>
          <t>Alcaldía del Ayuntamiento de Algeciras</t>
        </is>
      </c>
      <c r="I1162" s="2" t="inlineStr">
        <is>
          <t>Obras de reparación de la pista deportiva juan arrabal del Ceip Santa Teresa.</t>
        </is>
      </c>
      <c r="J1162" s="2" t="inlineStr">
        <is>
          <t>40955/2026</t>
        </is>
      </c>
      <c r="K1162" s="2" t="inlineStr">
        <is>
          <t>Negociado sin publicidad</t>
        </is>
      </c>
      <c r="L1162" s="6" t="n">
        <v>3</v>
      </c>
      <c r="M1162" s="2" t="n"/>
      <c r="N1162" s="7" t="n">
        <v>0</v>
      </c>
      <c r="O1162" s="4" t="n"/>
      <c r="P1162" s="2" t="inlineStr">
        <is>
          <t>45000000</t>
        </is>
      </c>
      <c r="Q1162" s="8" t="inlineStr">
        <is>
          <t>Ver</t>
        </is>
      </c>
      <c r="R1162" s="8" t="inlineStr">
        <is>
          <t>PCAP</t>
        </is>
      </c>
      <c r="S1162" s="9" t="n">
        <v>46315</v>
      </c>
      <c r="T1162" s="3" t="n">
        <v>46314.59998842593</v>
      </c>
      <c r="U1162" s="2" t="n"/>
    </row>
    <row r="1163">
      <c r="A1163" s="2" t="inlineStr">
        <is>
          <t>En plazo</t>
        </is>
      </c>
      <c r="B1163" s="3" t="n">
        <v>46329.99930555555</v>
      </c>
      <c r="C1163" s="5" t="n">
        <v>176395.44</v>
      </c>
      <c r="D1163" s="5" t="n">
        <v>176395.44</v>
      </c>
      <c r="E1163" s="2" t="inlineStr">
        <is>
          <t>Comunitat Valenciana</t>
        </is>
      </c>
      <c r="F1163" s="2" t="inlineStr">
        <is>
          <t>Valencia</t>
        </is>
      </c>
      <c r="G1163" s="2" t="inlineStr">
        <is>
          <t>La Font de la Figuera</t>
        </is>
      </c>
      <c r="H1163" s="2" t="inlineStr">
        <is>
          <t>Alcaldía del Ayuntamiento de La Font de la Figuera</t>
        </is>
      </c>
      <c r="I1163" s="2" t="inlineStr">
        <is>
          <t>Obras de ampliación del pabellón municipal de La Font de la Figuera</t>
        </is>
      </c>
      <c r="J1163" s="2" t="inlineStr">
        <is>
          <t>458/2026</t>
        </is>
      </c>
      <c r="K1163" s="2" t="inlineStr">
        <is>
          <t>Abierto simplificado</t>
        </is>
      </c>
      <c r="L1163" s="6" t="n">
        <v>4</v>
      </c>
      <c r="M1163" s="2" t="n"/>
      <c r="N1163" s="7" t="n">
        <v>0</v>
      </c>
      <c r="O1163" s="4" t="n"/>
      <c r="P1163" s="2" t="inlineStr">
        <is>
          <t>45212600; 45212200</t>
        </is>
      </c>
      <c r="Q1163" s="8" t="inlineStr">
        <is>
          <t>Ver</t>
        </is>
      </c>
      <c r="R1163" s="8" t="inlineStr">
        <is>
          <t>PCAP</t>
        </is>
      </c>
      <c r="S1163" s="9" t="n">
        <v>46310</v>
      </c>
      <c r="T1163" s="3" t="n">
        <v>46314.59311342592</v>
      </c>
      <c r="U1163" s="2" t="n"/>
    </row>
    <row r="1164">
      <c r="A1164" s="2" t="inlineStr">
        <is>
          <t>Resuelta</t>
        </is>
      </c>
      <c r="B1164" s="3" t="n">
        <v>46239.99930555555</v>
      </c>
      <c r="C1164" s="5" t="n">
        <v>76564.00999999999</v>
      </c>
      <c r="D1164" s="5" t="n">
        <v>76564.00999999999</v>
      </c>
      <c r="E1164" s="2" t="inlineStr">
        <is>
          <t>Andalucía</t>
        </is>
      </c>
      <c r="F1164" s="2" t="inlineStr">
        <is>
          <t>Cádiz</t>
        </is>
      </c>
      <c r="G1164" s="2" t="inlineStr">
        <is>
          <t>MEDINA SIDONIA</t>
        </is>
      </c>
      <c r="H1164" s="2" t="inlineStr">
        <is>
          <t>Junta de Gobierno Local del Ayuntamiento de Medina Sidonia</t>
        </is>
      </c>
      <c r="I1164" s="2" t="inlineStr">
        <is>
          <t>Reparaciones en el CEIP Santiago el Mayor (Medina Sidonia) como consecuencia de daños relacionados con el enjambre de borrascas durante el 2026</t>
        </is>
      </c>
      <c r="J1164" s="2" t="inlineStr">
        <is>
          <t>2026_11023_CCOAS_00002</t>
        </is>
      </c>
      <c r="K1164" s="2" t="inlineStr">
        <is>
          <t>Abierto simplificado</t>
        </is>
      </c>
      <c r="L1164" s="6" t="n">
        <v>2</v>
      </c>
      <c r="M1164" s="2" t="n"/>
      <c r="N1164" s="7" t="n">
        <v>0</v>
      </c>
      <c r="O1164" s="4" t="n"/>
      <c r="P1164" s="2" t="inlineStr">
        <is>
          <t>45453000</t>
        </is>
      </c>
      <c r="Q1164" s="8" t="inlineStr">
        <is>
          <t>Ver</t>
        </is>
      </c>
      <c r="R1164" s="8" t="inlineStr">
        <is>
          <t>PCAP</t>
        </is>
      </c>
      <c r="S1164" s="9" t="n">
        <v>46315</v>
      </c>
      <c r="T1164" s="3" t="n">
        <v>46314.5896412037</v>
      </c>
      <c r="U1164" s="2" t="n"/>
    </row>
    <row r="1165">
      <c r="A1165" s="2" t="inlineStr">
        <is>
          <t>Resuelta</t>
        </is>
      </c>
      <c r="B1165" s="3" t="n">
        <v>46133.99930555555</v>
      </c>
      <c r="C1165" s="5" t="n">
        <v>400823.14</v>
      </c>
      <c r="D1165" s="5" t="n">
        <v>400823.14</v>
      </c>
      <c r="E1165" s="2" t="inlineStr">
        <is>
          <t>Comunitat Valenciana</t>
        </is>
      </c>
      <c r="F1165" s="2" t="inlineStr">
        <is>
          <t>Alicante</t>
        </is>
      </c>
      <c r="G1165" s="2" t="n"/>
      <c r="H1165" s="2" t="inlineStr">
        <is>
          <t>Junta de Gobierno del Ayuntamiento de Orihuela</t>
        </is>
      </c>
      <c r="I1165" s="2" t="inlineStr">
        <is>
          <t>Renovación de parque ingeniero Juan Garcia en Orihuela</t>
        </is>
      </c>
      <c r="J1165" s="2" t="inlineStr">
        <is>
          <t>47379/2025</t>
        </is>
      </c>
      <c r="K1165" s="2" t="inlineStr">
        <is>
          <t>Abierto simplificado</t>
        </is>
      </c>
      <c r="L1165" s="6" t="n">
        <v>6</v>
      </c>
      <c r="M1165" s="2" t="n"/>
      <c r="N1165" s="7" t="n">
        <v>0.25</v>
      </c>
      <c r="O1165" s="4" t="n"/>
      <c r="P1165" s="2" t="inlineStr">
        <is>
          <t>45000000; 45232000; 45310000; 45220000; 39000000</t>
        </is>
      </c>
      <c r="Q1165" s="8" t="inlineStr">
        <is>
          <t>Ver</t>
        </is>
      </c>
      <c r="R1165" s="8" t="inlineStr">
        <is>
          <t>PCAP</t>
        </is>
      </c>
      <c r="S1165" s="9" t="n">
        <v>46310</v>
      </c>
      <c r="T1165" s="3" t="n">
        <v>46314.58662037037</v>
      </c>
      <c r="U1165" s="2" t="inlineStr">
        <is>
          <t>2026-10-20: estado ADJ → RES</t>
        </is>
      </c>
    </row>
    <row r="1166">
      <c r="A1166" s="2" t="inlineStr">
        <is>
          <t>En plazo</t>
        </is>
      </c>
      <c r="B1166" s="3" t="n">
        <v>46329.99930555555</v>
      </c>
      <c r="C1166" s="5" t="n">
        <v>79897.78</v>
      </c>
      <c r="D1166" s="5" t="n">
        <v>79897.78</v>
      </c>
      <c r="E1166" s="2" t="inlineStr">
        <is>
          <t>Comunitat Valenciana</t>
        </is>
      </c>
      <c r="F1166" s="2" t="inlineStr">
        <is>
          <t>Valencia</t>
        </is>
      </c>
      <c r="G1166" s="2" t="inlineStr">
        <is>
          <t>Utiel</t>
        </is>
      </c>
      <c r="H1166" s="2" t="inlineStr">
        <is>
          <t>Alcaldía del Ayuntamiento de Utiel</t>
        </is>
      </c>
      <c r="I1166" s="2" t="inlineStr">
        <is>
          <t>Rehabilitación parcial de la Plaza de Toros de Utiel.</t>
        </is>
      </c>
      <c r="J1166" s="2" t="inlineStr">
        <is>
          <t>5355/2026</t>
        </is>
      </c>
      <c r="K1166" s="2" t="inlineStr">
        <is>
          <t>Abierto simplificado</t>
        </is>
      </c>
      <c r="L1166" s="6" t="n">
        <v>2</v>
      </c>
      <c r="M1166" s="2" t="n"/>
      <c r="N1166" s="7" t="n">
        <v>0</v>
      </c>
      <c r="O1166" s="4" t="n"/>
      <c r="P1166" s="2" t="inlineStr">
        <is>
          <t>45210000</t>
        </is>
      </c>
      <c r="Q1166" s="8" t="inlineStr">
        <is>
          <t>Ver</t>
        </is>
      </c>
      <c r="R1166" s="8" t="inlineStr">
        <is>
          <t>PCAP</t>
        </is>
      </c>
      <c r="S1166" s="9" t="n">
        <v>46314</v>
      </c>
      <c r="T1166" s="3" t="n">
        <v>46314.58297453704</v>
      </c>
      <c r="U1166" s="2" t="inlineStr">
        <is>
          <t>2026-10-20: estado PRE → PUB; plazo 2026-10-30 23:59 → 2026-11-03 23:59</t>
        </is>
      </c>
    </row>
    <row r="1167">
      <c r="A1167" s="2" t="inlineStr">
        <is>
          <t>Resuelta</t>
        </is>
      </c>
      <c r="B1167" s="3" t="n">
        <v>46244.99930555555</v>
      </c>
      <c r="C1167" s="5" t="n">
        <v>2010610.57</v>
      </c>
      <c r="D1167" s="5" t="n">
        <v>2010610.57</v>
      </c>
      <c r="E1167" s="2" t="inlineStr">
        <is>
          <t>Andalucía</t>
        </is>
      </c>
      <c r="F1167" s="2" t="inlineStr">
        <is>
          <t>Cádiz</t>
        </is>
      </c>
      <c r="G1167" s="2" t="n"/>
      <c r="H1167" s="2" t="inlineStr">
        <is>
          <t>Junta de Gobierno Local del Ayuntamiento de Jerez</t>
        </is>
      </c>
      <c r="I1167" s="2" t="inlineStr">
        <is>
          <t>Reasfaltado de diversas calles de Jerez Urbano, zona - 2.</t>
        </is>
      </c>
      <c r="J1167" s="2" t="inlineStr">
        <is>
          <t>48/2026</t>
        </is>
      </c>
      <c r="K1167" s="2" t="inlineStr">
        <is>
          <t>Abierto</t>
        </is>
      </c>
      <c r="L1167" s="6" t="n">
        <v>5</v>
      </c>
      <c r="M1167" s="2" t="inlineStr">
        <is>
          <t>A*-1</t>
        </is>
      </c>
      <c r="N1167" s="7" t="n">
        <v>0</v>
      </c>
      <c r="O1167" s="4" t="n"/>
      <c r="P1167" s="2" t="inlineStr">
        <is>
          <t>45220000</t>
        </is>
      </c>
      <c r="Q1167" s="8" t="inlineStr">
        <is>
          <t>Ver</t>
        </is>
      </c>
      <c r="R1167" s="8" t="inlineStr">
        <is>
          <t>PCAP</t>
        </is>
      </c>
      <c r="S1167" s="9" t="n">
        <v>46310</v>
      </c>
      <c r="T1167" s="3" t="n">
        <v>46314.58011574074</v>
      </c>
      <c r="U1167" s="2" t="inlineStr">
        <is>
          <t>2026-10-20: estado ADJ → RES</t>
        </is>
      </c>
    </row>
    <row r="1168">
      <c r="A1168" s="2" t="inlineStr">
        <is>
          <t>Resuelta</t>
        </is>
      </c>
      <c r="B1168" s="3" t="n">
        <v>46238.99930555555</v>
      </c>
      <c r="C1168" s="5" t="n">
        <v>41322.31</v>
      </c>
      <c r="D1168" s="5" t="n">
        <v>41322.31</v>
      </c>
      <c r="E1168" s="2" t="inlineStr">
        <is>
          <t>Andalucía</t>
        </is>
      </c>
      <c r="F1168" s="2" t="inlineStr">
        <is>
          <t>Granada</t>
        </is>
      </c>
      <c r="G1168" s="2" t="inlineStr">
        <is>
          <t>Armilla (Granada)</t>
        </is>
      </c>
      <c r="H1168" s="2" t="inlineStr">
        <is>
          <t>Alcaldía del Ayuntamiento de Armilla</t>
        </is>
      </c>
      <c r="I1168" s="2" t="inlineStr">
        <is>
          <t>Obra con redacción de proyecto, estudio de seguridad y salud y estudio de gestión de residuos para la ejecución de estructura artificial de escala deportiva con colchonetas de autoprotección (Boulder) en el edificio Reina Sofía de Armilla.</t>
        </is>
      </c>
      <c r="J1168" s="2" t="inlineStr">
        <is>
          <t>2026-7625</t>
        </is>
      </c>
      <c r="K1168" s="2" t="inlineStr">
        <is>
          <t>Abierto simplificado</t>
        </is>
      </c>
      <c r="L1168" s="6" t="n">
        <v>3.1</v>
      </c>
      <c r="M1168" s="2" t="n"/>
      <c r="N1168" s="7" t="n">
        <v>0.25</v>
      </c>
      <c r="O1168" s="4" t="n"/>
      <c r="P1168" s="2" t="inlineStr">
        <is>
          <t>45212100; 71240000; 45212140; 71000000</t>
        </is>
      </c>
      <c r="Q1168" s="8" t="inlineStr">
        <is>
          <t>Ver</t>
        </is>
      </c>
      <c r="R1168" s="8" t="inlineStr">
        <is>
          <t>PCAP</t>
        </is>
      </c>
      <c r="S1168" s="9" t="n">
        <v>46315</v>
      </c>
      <c r="T1168" s="3" t="n">
        <v>46314.57910879629</v>
      </c>
      <c r="U1168" s="2" t="n"/>
    </row>
    <row r="1169">
      <c r="A1169" s="2" t="inlineStr">
        <is>
          <t>Pendiente de adjudicación</t>
        </is>
      </c>
      <c r="B1169" s="3" t="n">
        <v>46279.99930555555</v>
      </c>
      <c r="C1169" s="5" t="n">
        <v>2067028.57</v>
      </c>
      <c r="D1169" s="5" t="n">
        <v>2067028.57</v>
      </c>
      <c r="E1169" s="2" t="inlineStr">
        <is>
          <t>Andalucía</t>
        </is>
      </c>
      <c r="F1169" s="2" t="inlineStr">
        <is>
          <t>Almería</t>
        </is>
      </c>
      <c r="G1169" s="2" t="inlineStr">
        <is>
          <t>CAMPOHERMOSO</t>
        </is>
      </c>
      <c r="H1169" s="2" t="inlineStr">
        <is>
          <t>Alcaldía del Ayuntamiento de Níjar</t>
        </is>
      </c>
      <c r="I1169" s="2" t="inlineStr">
        <is>
          <t>Obras de mejora de equipamientos deportivos para la integración social en Campohermoso, T.M. de Níjar, Almería, con cargo al FEDER, en el marco de los PAI (NÍJAR PARA CONVIVIR), FASE 1.</t>
        </is>
      </c>
      <c r="J1169" s="2" t="inlineStr">
        <is>
          <t>6477/2026</t>
        </is>
      </c>
      <c r="K1169" s="2" t="inlineStr">
        <is>
          <t>Abierto</t>
        </is>
      </c>
      <c r="L1169" s="6" t="n">
        <v>12</v>
      </c>
      <c r="M1169" s="2" t="inlineStr">
        <is>
          <t>G6-2; C2-3</t>
        </is>
      </c>
      <c r="N1169" s="7" t="n">
        <v>0.45</v>
      </c>
      <c r="O1169" s="4" t="n"/>
      <c r="P1169" s="2" t="inlineStr">
        <is>
          <t>45212200; 45212220</t>
        </is>
      </c>
      <c r="Q1169" s="8" t="inlineStr">
        <is>
          <t>Ver</t>
        </is>
      </c>
      <c r="R1169" s="8" t="inlineStr">
        <is>
          <t>PCAP</t>
        </is>
      </c>
      <c r="S1169" s="9" t="n">
        <v>46315</v>
      </c>
      <c r="T1169" s="3" t="n">
        <v>46314.57818287037</v>
      </c>
      <c r="U1169" s="2" t="n"/>
    </row>
    <row r="1170">
      <c r="A1170" s="2" t="inlineStr">
        <is>
          <t>Pendiente de adjudicación</t>
        </is>
      </c>
      <c r="B1170" s="3" t="n">
        <v>46303.99930555555</v>
      </c>
      <c r="C1170" s="5" t="n">
        <v>74380.16</v>
      </c>
      <c r="D1170" s="5" t="n">
        <v>74380.16</v>
      </c>
      <c r="E1170" s="2" t="inlineStr">
        <is>
          <t>Andalucía</t>
        </is>
      </c>
      <c r="F1170" s="2" t="inlineStr">
        <is>
          <t>Granada</t>
        </is>
      </c>
      <c r="G1170" s="2" t="n"/>
      <c r="H1170" s="2" t="inlineStr">
        <is>
          <t>Alcaldía del Ayuntamiento de Padul</t>
        </is>
      </c>
      <c r="I1170" s="2" t="inlineStr">
        <is>
          <t>Mejora de la pavimentación de varias calles del casco urbano de Padul</t>
        </is>
      </c>
      <c r="J1170" s="2" t="inlineStr">
        <is>
          <t>1406/2026</t>
        </is>
      </c>
      <c r="K1170" s="2" t="inlineStr">
        <is>
          <t>Abierto simplificado</t>
        </is>
      </c>
      <c r="L1170" s="6" t="n">
        <v>1</v>
      </c>
      <c r="M1170" s="2" t="n"/>
      <c r="N1170" s="7" t="n">
        <v>0</v>
      </c>
      <c r="O1170" s="4" t="n"/>
      <c r="P1170" s="2" t="inlineStr">
        <is>
          <t>45233222</t>
        </is>
      </c>
      <c r="Q1170" s="8" t="inlineStr">
        <is>
          <t>Ver</t>
        </is>
      </c>
      <c r="R1170" s="8" t="inlineStr">
        <is>
          <t>PCAP</t>
        </is>
      </c>
      <c r="S1170" s="9" t="n">
        <v>46315</v>
      </c>
      <c r="T1170" s="3" t="n">
        <v>46314.57697916667</v>
      </c>
      <c r="U1170" s="2" t="n"/>
    </row>
    <row r="1171">
      <c r="A1171" s="2" t="inlineStr">
        <is>
          <t>Pendiente de adjudicación</t>
        </is>
      </c>
      <c r="B1171" s="3" t="n">
        <v>46267.99930555555</v>
      </c>
      <c r="C1171" s="5" t="n">
        <v>129040.61</v>
      </c>
      <c r="D1171" s="5" t="n">
        <v>129040.61</v>
      </c>
      <c r="E1171" s="2" t="inlineStr">
        <is>
          <t>Andalucía</t>
        </is>
      </c>
      <c r="F1171" s="2" t="inlineStr">
        <is>
          <t>Almería</t>
        </is>
      </c>
      <c r="G1171" s="2" t="n"/>
      <c r="H1171" s="2" t="inlineStr">
        <is>
          <t>Alcaldía del Ayuntamiento de Níjar</t>
        </is>
      </c>
      <c r="I1171" s="2" t="inlineStr">
        <is>
          <t>Obras de regeneración urbana y puesta en valor turístico - cultural del acceso al casco histórico y artesano de la Villa de Níjar (Almería). Financiado con cargo a la subvención MUNITUR de la Consejería de Turismo y Andalucía Exterior de la Junta de Andalucía.</t>
        </is>
      </c>
      <c r="J1171" s="2" t="inlineStr">
        <is>
          <t>2923/2026</t>
        </is>
      </c>
      <c r="K1171" s="2" t="inlineStr">
        <is>
          <t>Abierto simplificado</t>
        </is>
      </c>
      <c r="L1171" s="6" t="n">
        <v>4</v>
      </c>
      <c r="M1171" s="2" t="n"/>
      <c r="N1171" s="7" t="n">
        <v>0.25</v>
      </c>
      <c r="O1171" s="4" t="n"/>
      <c r="P1171" s="2" t="inlineStr">
        <is>
          <t>45233140</t>
        </is>
      </c>
      <c r="Q1171" s="8" t="inlineStr">
        <is>
          <t>Ver</t>
        </is>
      </c>
      <c r="R1171" s="8" t="inlineStr">
        <is>
          <t>PCAP</t>
        </is>
      </c>
      <c r="S1171" s="9" t="n">
        <v>46315</v>
      </c>
      <c r="T1171" s="3" t="n">
        <v>46314.57577546296</v>
      </c>
      <c r="U1171" s="2" t="n"/>
    </row>
    <row r="1172">
      <c r="A1172" s="2" t="inlineStr">
        <is>
          <t>Adjudicada</t>
        </is>
      </c>
      <c r="B1172" s="3" t="n">
        <v>46272.99930555555</v>
      </c>
      <c r="C1172" s="5" t="n">
        <v>347107.44</v>
      </c>
      <c r="D1172" s="5" t="n">
        <v>347107.44</v>
      </c>
      <c r="E1172" s="2" t="inlineStr">
        <is>
          <t>Andalucía</t>
        </is>
      </c>
      <c r="F1172" s="2" t="inlineStr">
        <is>
          <t>Córdoba</t>
        </is>
      </c>
      <c r="G1172" s="2" t="n"/>
      <c r="H1172" s="2" t="inlineStr">
        <is>
          <t>Junta de Gobierno de la Diputación Provincial de Córdoba</t>
        </is>
      </c>
      <c r="I1172" s="2" t="inlineStr">
        <is>
          <t>Contratación de las obras de mejora de los accesos a Zuheros desde la carretera CO-6203, en Córdoba</t>
        </is>
      </c>
      <c r="J1172" s="2" t="inlineStr">
        <is>
          <t>544/26</t>
        </is>
      </c>
      <c r="K1172" s="2" t="inlineStr">
        <is>
          <t>Abierto</t>
        </is>
      </c>
      <c r="L1172" s="6" t="n">
        <v>5</v>
      </c>
      <c r="M1172" s="2" t="n"/>
      <c r="N1172" s="7" t="n">
        <v>0</v>
      </c>
      <c r="O1172" s="4" t="n"/>
      <c r="P1172" s="2" t="inlineStr">
        <is>
          <t>45233000</t>
        </is>
      </c>
      <c r="Q1172" s="8" t="inlineStr">
        <is>
          <t>Ver</t>
        </is>
      </c>
      <c r="R1172" s="8" t="inlineStr">
        <is>
          <t>PCAP</t>
        </is>
      </c>
      <c r="S1172" s="9" t="n">
        <v>46315</v>
      </c>
      <c r="T1172" s="3" t="n">
        <v>46314.56965277778</v>
      </c>
      <c r="U1172" s="2" t="n"/>
    </row>
    <row r="1173">
      <c r="A1173" s="2" t="inlineStr">
        <is>
          <t>Pendiente de adjudicación</t>
        </is>
      </c>
      <c r="B1173" s="3" t="n">
        <v>46255.41666666666</v>
      </c>
      <c r="C1173" s="5" t="n">
        <v>289645.7</v>
      </c>
      <c r="D1173" s="5" t="n">
        <v>289645.7</v>
      </c>
      <c r="E1173" s="2" t="inlineStr">
        <is>
          <t>Andalucía</t>
        </is>
      </c>
      <c r="F1173" s="2" t="inlineStr">
        <is>
          <t>Huelva</t>
        </is>
      </c>
      <c r="G1173" s="2" t="n"/>
      <c r="H1173" s="2" t="inlineStr">
        <is>
          <t>Empresa de Transformación Agraria S.A.,S.M.E., M.P., (TRAGSA)</t>
        </is>
      </c>
      <c r="I1173" s="2" t="inlineStr">
        <is>
          <t>Suministro, instalación y puesta en marcha de cuadros eléctricos, acometidas, sistemas de tierra, iluminación, automatización, control e instrumentación en la EDAR de Matalascañas T.M. Almonte (Huelva), financiado con fondos FEDER</t>
        </is>
      </c>
      <c r="J1173" s="2" t="inlineStr">
        <is>
          <t>TSA0083732</t>
        </is>
      </c>
      <c r="K1173" s="2" t="inlineStr">
        <is>
          <t>Abierto simplificado</t>
        </is>
      </c>
      <c r="L1173" s="6" t="n">
        <v>4</v>
      </c>
      <c r="M1173" s="2" t="inlineStr">
        <is>
          <t>I6-2</t>
        </is>
      </c>
      <c r="N1173" s="7" t="n">
        <v>0</v>
      </c>
      <c r="O1173" s="4" t="n"/>
      <c r="P1173" s="2" t="inlineStr">
        <is>
          <t>45315600</t>
        </is>
      </c>
      <c r="Q1173" s="8" t="inlineStr">
        <is>
          <t>Ver</t>
        </is>
      </c>
      <c r="R1173" s="8" t="inlineStr">
        <is>
          <t>PCAP</t>
        </is>
      </c>
      <c r="S1173" s="9" t="n">
        <v>46315</v>
      </c>
      <c r="T1173" s="3" t="n">
        <v>46314.56795138889</v>
      </c>
      <c r="U1173" s="2" t="n"/>
    </row>
    <row r="1174">
      <c r="A1174" s="2" t="inlineStr">
        <is>
          <t>En plazo</t>
        </is>
      </c>
      <c r="B1174" s="3" t="n">
        <v>46335.99930555555</v>
      </c>
      <c r="C1174" s="5" t="n">
        <v>56961.09</v>
      </c>
      <c r="D1174" s="5" t="n">
        <v>56961.09</v>
      </c>
      <c r="E1174" s="2" t="inlineStr">
        <is>
          <t>Andalucía</t>
        </is>
      </c>
      <c r="F1174" s="2" t="inlineStr">
        <is>
          <t>Granada</t>
        </is>
      </c>
      <c r="G1174" s="2" t="n"/>
      <c r="H1174" s="2" t="inlineStr">
        <is>
          <t>Junta de Gobierno del Ayuntamiento de Moraleda de Zafayona</t>
        </is>
      </c>
      <c r="I1174" s="2" t="inlineStr">
        <is>
          <t>Reparación de cubierta y apertura de espacios interiores en casa del guarda del agua, dentro del conjunto de las edificaciones de la casa del ingeniero</t>
        </is>
      </c>
      <c r="J1174" s="2" t="inlineStr">
        <is>
          <t>946/2026</t>
        </is>
      </c>
      <c r="K1174" s="2" t="inlineStr">
        <is>
          <t>Abierto simplificado</t>
        </is>
      </c>
      <c r="L1174" s="6" t="n"/>
      <c r="M1174" s="2" t="inlineStr">
        <is>
          <t>C*-1</t>
        </is>
      </c>
      <c r="N1174" s="7" t="n">
        <v>0</v>
      </c>
      <c r="O1174" s="4" t="n"/>
      <c r="P1174" s="2" t="inlineStr">
        <is>
          <t>45450000</t>
        </is>
      </c>
      <c r="Q1174" s="8" t="inlineStr">
        <is>
          <t>Ver</t>
        </is>
      </c>
      <c r="R1174" s="8" t="inlineStr">
        <is>
          <t>PCAP</t>
        </is>
      </c>
      <c r="S1174" s="9" t="n">
        <v>46315</v>
      </c>
      <c r="T1174" s="3" t="n">
        <v>46314.56710648148</v>
      </c>
      <c r="U1174" s="2" t="n"/>
    </row>
    <row r="1175">
      <c r="A1175" s="2" t="inlineStr">
        <is>
          <t>Resuelta</t>
        </is>
      </c>
      <c r="B1175" s="3" t="n">
        <v>46286.79166666666</v>
      </c>
      <c r="C1175" s="5" t="n">
        <v>4484474.32</v>
      </c>
      <c r="D1175" s="5" t="n">
        <v>4484474.32</v>
      </c>
      <c r="E1175" s="2" t="inlineStr">
        <is>
          <t>Andalucía</t>
        </is>
      </c>
      <c r="F1175" s="2" t="inlineStr">
        <is>
          <t>Cádiz</t>
        </is>
      </c>
      <c r="G1175" s="2" t="inlineStr">
        <is>
          <t>TARIFA</t>
        </is>
      </c>
      <c r="H1175" s="2" t="inlineStr">
        <is>
          <t>Pleno del Ayuntamiento de Tarifa</t>
        </is>
      </c>
      <c r="I1175" s="2" t="inlineStr">
        <is>
          <t>construcción de 59 viviendas en alquiler social en edificios energéticamente eficientes</t>
        </is>
      </c>
      <c r="J1175" s="2" t="inlineStr">
        <is>
          <t>2026/7384</t>
        </is>
      </c>
      <c r="K1175" s="2" t="inlineStr">
        <is>
          <t>Abierto simplificado</t>
        </is>
      </c>
      <c r="L1175" s="6" t="n">
        <v>18</v>
      </c>
      <c r="M1175" s="2" t="inlineStr">
        <is>
          <t>C*-5</t>
        </is>
      </c>
      <c r="N1175" s="7" t="n">
        <v>0</v>
      </c>
      <c r="O1175" s="4" t="n"/>
      <c r="P1175" s="2" t="inlineStr">
        <is>
          <t>45211000</t>
        </is>
      </c>
      <c r="Q1175" s="8" t="inlineStr">
        <is>
          <t>Ver</t>
        </is>
      </c>
      <c r="R1175" s="8" t="inlineStr">
        <is>
          <t>PCAP</t>
        </is>
      </c>
      <c r="S1175" s="9" t="n">
        <v>46315</v>
      </c>
      <c r="T1175" s="3" t="n">
        <v>46314.56415509259</v>
      </c>
      <c r="U1175" s="2" t="n"/>
    </row>
    <row r="1176">
      <c r="A1176" s="2" t="inlineStr">
        <is>
          <t>Resuelta</t>
        </is>
      </c>
      <c r="B1176" s="3" t="n">
        <v>46272.99930555555</v>
      </c>
      <c r="C1176" s="5" t="n">
        <v>1359506.51</v>
      </c>
      <c r="D1176" s="5" t="n">
        <v>1359506.51</v>
      </c>
      <c r="E1176" s="2" t="inlineStr">
        <is>
          <t>Andalucía</t>
        </is>
      </c>
      <c r="F1176" s="2" t="inlineStr">
        <is>
          <t>Málaga</t>
        </is>
      </c>
      <c r="G1176" s="2" t="n"/>
      <c r="H1176" s="2" t="inlineStr">
        <is>
          <t>Alcaldía del Ayuntamiento de Estepona</t>
        </is>
      </c>
      <c r="I1176" s="2" t="inlineStr">
        <is>
          <t>Obras de remodelación calle Independencia y jardinería, mobiliario urbano, iluminación y fuentes ornamentales de plaza Fuerzas Armadas y su entorno, en Estepona.</t>
        </is>
      </c>
      <c r="J1176" s="2" t="inlineStr">
        <is>
          <t>29881/2026</t>
        </is>
      </c>
      <c r="K1176" s="2" t="inlineStr">
        <is>
          <t>Abierto</t>
        </is>
      </c>
      <c r="L1176" s="6" t="n">
        <v>4</v>
      </c>
      <c r="M1176" s="2" t="inlineStr">
        <is>
          <t>G6-4</t>
        </is>
      </c>
      <c r="N1176" s="7" t="n">
        <v>0</v>
      </c>
      <c r="O1176" s="4" t="n"/>
      <c r="P1176" s="2" t="inlineStr">
        <is>
          <t>45233200; 45112710; 45316110</t>
        </is>
      </c>
      <c r="Q1176" s="8" t="inlineStr">
        <is>
          <t>Ver</t>
        </is>
      </c>
      <c r="R1176" s="8" t="inlineStr">
        <is>
          <t>PCAP</t>
        </is>
      </c>
      <c r="S1176" s="9" t="n">
        <v>46310</v>
      </c>
      <c r="T1176" s="3" t="n">
        <v>46314.56390046296</v>
      </c>
      <c r="U1176" s="2" t="inlineStr">
        <is>
          <t>2026-10-20: estado ADJ → RES</t>
        </is>
      </c>
    </row>
    <row r="1177">
      <c r="A1177" s="2" t="inlineStr">
        <is>
          <t>Pendiente de adjudicación</t>
        </is>
      </c>
      <c r="B1177" s="3" t="n">
        <v>46281.58333333334</v>
      </c>
      <c r="C1177" s="5" t="n">
        <v>1267156.31</v>
      </c>
      <c r="D1177" s="5" t="n">
        <v>1393871.94</v>
      </c>
      <c r="E1177" s="2" t="inlineStr">
        <is>
          <t>Comunitat Valenciana</t>
        </is>
      </c>
      <c r="F1177" s="2" t="inlineStr">
        <is>
          <t>Alicante</t>
        </is>
      </c>
      <c r="G1177" s="2" t="n"/>
      <c r="H1177" s="2" t="inlineStr">
        <is>
          <t>Autoridad Portuaria de Alicante</t>
        </is>
      </c>
      <c r="I1177" s="2" t="inlineStr">
        <is>
          <t>Urbanización de zona de poniente (Fase I)</t>
        </is>
      </c>
      <c r="J1177" s="2" t="inlineStr">
        <is>
          <t>352/2026</t>
        </is>
      </c>
      <c r="K1177" s="2" t="inlineStr">
        <is>
          <t>Abierto</t>
        </is>
      </c>
      <c r="L1177" s="6" t="n">
        <v>5</v>
      </c>
      <c r="M1177" s="2" t="inlineStr">
        <is>
          <t>C1-4</t>
        </is>
      </c>
      <c r="N1177" s="7" t="n">
        <v>0.4</v>
      </c>
      <c r="O1177" s="4" t="n"/>
      <c r="P1177" s="2" t="inlineStr">
        <is>
          <t>45262660; 45111000; 45233222; 45110000</t>
        </is>
      </c>
      <c r="Q1177" s="8" t="inlineStr">
        <is>
          <t>Ver</t>
        </is>
      </c>
      <c r="R1177" s="8" t="inlineStr">
        <is>
          <t>PCAP</t>
        </is>
      </c>
      <c r="S1177" s="9" t="n">
        <v>46315</v>
      </c>
      <c r="T1177" s="3" t="n">
        <v>46314.56388888889</v>
      </c>
      <c r="U1177" s="2" t="n"/>
    </row>
    <row r="1178">
      <c r="A1178" s="2" t="inlineStr">
        <is>
          <t>Resuelta</t>
        </is>
      </c>
      <c r="B1178" s="3" t="n">
        <v>46202.99930555555</v>
      </c>
      <c r="C1178" s="5" t="n">
        <v>2892469.99</v>
      </c>
      <c r="D1178" s="5" t="n">
        <v>2892469.99</v>
      </c>
      <c r="E1178" s="2" t="inlineStr">
        <is>
          <t>Andalucía</t>
        </is>
      </c>
      <c r="F1178" s="2" t="inlineStr">
        <is>
          <t>Sevilla</t>
        </is>
      </c>
      <c r="G1178" s="2" t="inlineStr">
        <is>
          <t>La Algaba</t>
        </is>
      </c>
      <c r="H1178" s="2" t="inlineStr">
        <is>
          <t>Alcaldía del Ayuntamiento de La Algaba</t>
        </is>
      </c>
      <c r="I1178" s="2" t="inlineStr">
        <is>
          <t>Contrato de obras de construcción y terminación del "teatro municipal, en avenida de la libertad, 7 de La Algaba (Sevilla)", financiado por la Diputación de Sevilla y el Ayuntamiento de La Algaba.</t>
        </is>
      </c>
      <c r="J1178" s="2" t="inlineStr">
        <is>
          <t>966/2026</t>
        </is>
      </c>
      <c r="K1178" s="2" t="inlineStr">
        <is>
          <t>Abierto</t>
        </is>
      </c>
      <c r="L1178" s="6" t="n">
        <v>12</v>
      </c>
      <c r="M1178" s="2" t="inlineStr">
        <is>
          <t>C4-5</t>
        </is>
      </c>
      <c r="N1178" s="7" t="n">
        <v>0</v>
      </c>
      <c r="O1178" s="4" t="n"/>
      <c r="P1178" s="2" t="inlineStr">
        <is>
          <t>45200000; 45300000; 45400000; 45212322</t>
        </is>
      </c>
      <c r="Q1178" s="8" t="inlineStr">
        <is>
          <t>Ver</t>
        </is>
      </c>
      <c r="R1178" s="8" t="inlineStr">
        <is>
          <t>PCAP</t>
        </is>
      </c>
      <c r="S1178" s="9" t="n">
        <v>46315</v>
      </c>
      <c r="T1178" s="3" t="n">
        <v>46314.55871527778</v>
      </c>
      <c r="U1178" s="2" t="n"/>
    </row>
    <row r="1179">
      <c r="A1179" s="2" t="inlineStr">
        <is>
          <t>Pendiente de adjudicación</t>
        </is>
      </c>
      <c r="B1179" s="3" t="n">
        <v>46302.99930555555</v>
      </c>
      <c r="C1179" s="5" t="n">
        <v>74380.16</v>
      </c>
      <c r="D1179" s="5" t="n">
        <v>74380.16</v>
      </c>
      <c r="E1179" s="2" t="inlineStr">
        <is>
          <t>Andalucía</t>
        </is>
      </c>
      <c r="F1179" s="2" t="inlineStr">
        <is>
          <t>Sevilla</t>
        </is>
      </c>
      <c r="G1179" s="2" t="inlineStr">
        <is>
          <t>MAIRENA DEL ALCOR</t>
        </is>
      </c>
      <c r="H1179"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179" s="2" t="inlineStr">
        <is>
          <t>Obras de Mejora de Eficiencia Energética en la Villa del Conocimiento y Las Artes de Mairena del Alcor para la Instalación de Planta Solar Fotovoltaica-Plan +Sevilla</t>
        </is>
      </c>
      <c r="J1179" s="2" t="inlineStr">
        <is>
          <t>1280/2026</t>
        </is>
      </c>
      <c r="K1179" s="2" t="inlineStr">
        <is>
          <t>Abierto simplificado</t>
        </is>
      </c>
      <c r="L1179" s="6" t="n">
        <v>3</v>
      </c>
      <c r="M1179" s="2" t="n"/>
      <c r="N1179" s="7" t="n">
        <v>0</v>
      </c>
      <c r="O1179" s="4" t="n"/>
      <c r="P1179" s="2" t="inlineStr">
        <is>
          <t>45261215</t>
        </is>
      </c>
      <c r="Q1179" s="8" t="inlineStr">
        <is>
          <t>Ver</t>
        </is>
      </c>
      <c r="R1179" s="8" t="inlineStr">
        <is>
          <t>PCAP</t>
        </is>
      </c>
      <c r="S1179" s="9" t="n">
        <v>46310</v>
      </c>
      <c r="T1179" s="3" t="n">
        <v>46314.55811342593</v>
      </c>
      <c r="U1179" s="2" t="n"/>
    </row>
    <row r="1180">
      <c r="A1180" s="2" t="inlineStr">
        <is>
          <t>En plazo</t>
        </is>
      </c>
      <c r="B1180" s="3" t="n">
        <v>46335.99930555555</v>
      </c>
      <c r="C1180" s="5" t="n">
        <v>169587.54</v>
      </c>
      <c r="D1180" s="5" t="n">
        <v>169587.54</v>
      </c>
      <c r="E1180" s="2" t="inlineStr">
        <is>
          <t>Andalucía</t>
        </is>
      </c>
      <c r="F1180" s="2" t="inlineStr">
        <is>
          <t>Almería</t>
        </is>
      </c>
      <c r="G1180" s="2" t="n"/>
      <c r="H1180" s="2" t="inlineStr">
        <is>
          <t>Junta de Gobierno de la Diputación Provincial de Almería</t>
        </is>
      </c>
      <c r="I1180" s="2" t="inlineStr">
        <is>
          <t>Finalización Plaza Mirador De La Cruz En Canjáyar 15PPOS24-27BI</t>
        </is>
      </c>
      <c r="J1180" s="2" t="inlineStr">
        <is>
          <t>2026/D31000/006-013/00116</t>
        </is>
      </c>
      <c r="K1180" s="2" t="inlineStr">
        <is>
          <t>Abierto simplificado</t>
        </is>
      </c>
      <c r="L1180" s="6" t="n">
        <v>6</v>
      </c>
      <c r="M1180" s="2" t="n"/>
      <c r="N1180" s="7" t="n">
        <v>0.25</v>
      </c>
      <c r="O1180" s="4" t="n"/>
      <c r="P1180" s="2" t="inlineStr">
        <is>
          <t>45233262</t>
        </is>
      </c>
      <c r="Q1180" s="8" t="inlineStr">
        <is>
          <t>Ver</t>
        </is>
      </c>
      <c r="R1180" s="8" t="inlineStr">
        <is>
          <t>PCAP</t>
        </is>
      </c>
      <c r="S1180" s="9" t="n">
        <v>46315</v>
      </c>
      <c r="T1180" s="3" t="n">
        <v>46314.5555787037</v>
      </c>
      <c r="U1180" s="2" t="n"/>
    </row>
    <row r="1181">
      <c r="A1181" s="2" t="inlineStr">
        <is>
          <t>En plazo</t>
        </is>
      </c>
      <c r="B1181" s="3" t="n">
        <v>46335.99930555555</v>
      </c>
      <c r="C1181" s="5" t="n">
        <v>115702.48</v>
      </c>
      <c r="D1181" s="5" t="n">
        <v>115702.48</v>
      </c>
      <c r="E1181" s="2" t="inlineStr">
        <is>
          <t>Andalucía</t>
        </is>
      </c>
      <c r="F1181" s="2" t="inlineStr">
        <is>
          <t>Jaén</t>
        </is>
      </c>
      <c r="G1181" s="2" t="inlineStr">
        <is>
          <t>Santisteban del Puerto</t>
        </is>
      </c>
      <c r="H1181" s="2" t="inlineStr">
        <is>
          <t>Alcaldía del Ayuntamiento de Santisteban del Puerto</t>
        </is>
      </c>
      <c r="I1181" s="2" t="inlineStr">
        <is>
          <t>IV fase construcción sala de usos múltiples - polideportivo C/ la Vega s/n en el municipio de Santisteban del Puerto (Jaén)</t>
        </is>
      </c>
      <c r="J1181" s="2" t="inlineStr">
        <is>
          <t>546/2026</t>
        </is>
      </c>
      <c r="K1181" s="2" t="inlineStr">
        <is>
          <t>Abierto simplificado</t>
        </is>
      </c>
      <c r="L1181" s="6" t="n">
        <v>4</v>
      </c>
      <c r="M1181" s="2" t="inlineStr">
        <is>
          <t>C4-1; C7-1</t>
        </is>
      </c>
      <c r="N1181" s="7" t="n">
        <v>0</v>
      </c>
      <c r="O1181" s="4" t="n"/>
      <c r="P1181" s="2" t="inlineStr">
        <is>
          <t>45212300</t>
        </is>
      </c>
      <c r="Q1181" s="8" t="inlineStr">
        <is>
          <t>Ver</t>
        </is>
      </c>
      <c r="R1181" s="8" t="inlineStr">
        <is>
          <t>PCAP</t>
        </is>
      </c>
      <c r="S1181" s="9" t="n">
        <v>46315</v>
      </c>
      <c r="T1181" s="3" t="n">
        <v>46314.55494212963</v>
      </c>
      <c r="U1181" s="2" t="n"/>
    </row>
    <row r="1182">
      <c r="A1182" s="2" t="inlineStr">
        <is>
          <t>En plazo</t>
        </is>
      </c>
      <c r="B1182" s="3" t="n">
        <v>46335.99930555555</v>
      </c>
      <c r="C1182" s="5" t="n">
        <v>527483.73</v>
      </c>
      <c r="D1182" s="5" t="n">
        <v>527483.73</v>
      </c>
      <c r="E1182" s="2" t="inlineStr">
        <is>
          <t>Andalucía</t>
        </is>
      </c>
      <c r="F1182" s="2" t="inlineStr">
        <is>
          <t>Jaén</t>
        </is>
      </c>
      <c r="G1182" s="2" t="inlineStr">
        <is>
          <t>Santisteban del Puerto</t>
        </is>
      </c>
      <c r="H1182" s="2" t="inlineStr">
        <is>
          <t>Pleno del Ayuntamiento de Santisteban del Puerto</t>
        </is>
      </c>
      <c r="I1182" s="2" t="inlineStr">
        <is>
          <t>Actuaciones de estabilización en el cerro de la Guaría en Santisteban del Puerto (Jaén).</t>
        </is>
      </c>
      <c r="J1182" s="2" t="inlineStr">
        <is>
          <t>611/2026</t>
        </is>
      </c>
      <c r="K1182" s="2" t="inlineStr">
        <is>
          <t>Abierto simplificado</t>
        </is>
      </c>
      <c r="L1182" s="6" t="n">
        <v>6</v>
      </c>
      <c r="M1182" s="2" t="inlineStr">
        <is>
          <t>K3-3; K2-3</t>
        </is>
      </c>
      <c r="N1182" s="7" t="n">
        <v>0</v>
      </c>
      <c r="O1182" s="4" t="n"/>
      <c r="P1182" s="2" t="inlineStr">
        <is>
          <t>45111230; 45222000</t>
        </is>
      </c>
      <c r="Q1182" s="8" t="inlineStr">
        <is>
          <t>Ver</t>
        </is>
      </c>
      <c r="R1182" s="8" t="inlineStr">
        <is>
          <t>PCAP</t>
        </is>
      </c>
      <c r="S1182" s="9" t="n">
        <v>46315</v>
      </c>
      <c r="T1182" s="3" t="n">
        <v>46314.55214120371</v>
      </c>
      <c r="U1182" s="2" t="n"/>
    </row>
    <row r="1183">
      <c r="A1183" s="2" t="inlineStr">
        <is>
          <t>Resuelta</t>
        </is>
      </c>
      <c r="B1183" s="3" t="n">
        <v>46164.99930555555</v>
      </c>
      <c r="C1183" s="5" t="n">
        <v>54854.63</v>
      </c>
      <c r="D1183" s="5" t="n">
        <v>54854.63</v>
      </c>
      <c r="E1183" s="2" t="inlineStr">
        <is>
          <t>Comunitat Valenciana</t>
        </is>
      </c>
      <c r="F1183" s="2" t="inlineStr">
        <is>
          <t>Alicante</t>
        </is>
      </c>
      <c r="G1183" s="2" t="n"/>
      <c r="H1183" s="2" t="inlineStr">
        <is>
          <t>Presidencia de la Diputación Provincial de Alicante</t>
        </is>
      </c>
      <c r="I1183" s="2" t="inlineStr">
        <is>
          <t>Obras de instalaciones deportivas, en el municipio de Quatretondeta (2024.PLA.219)</t>
        </is>
      </c>
      <c r="J1183" s="2" t="inlineStr">
        <is>
          <t>O4SS-070/2026</t>
        </is>
      </c>
      <c r="K1183" s="2" t="inlineStr">
        <is>
          <t>Abierto simplificado</t>
        </is>
      </c>
      <c r="L1183" s="6" t="n">
        <v>3</v>
      </c>
      <c r="M1183" s="2" t="n"/>
      <c r="N1183" s="7" t="n">
        <v>0</v>
      </c>
      <c r="O1183" s="4" t="n"/>
      <c r="P1183" s="2" t="inlineStr">
        <is>
          <t>45200000</t>
        </is>
      </c>
      <c r="Q1183" s="8" t="inlineStr">
        <is>
          <t>Ver</t>
        </is>
      </c>
      <c r="R1183" s="8" t="inlineStr">
        <is>
          <t>PCAP</t>
        </is>
      </c>
      <c r="S1183" s="9" t="n">
        <v>46315</v>
      </c>
      <c r="T1183" s="3" t="n">
        <v>46314.55076388889</v>
      </c>
      <c r="U1183" s="2" t="n"/>
    </row>
    <row r="1184">
      <c r="A1184" s="2" t="inlineStr">
        <is>
          <t>En plazo</t>
        </is>
      </c>
      <c r="B1184" s="3" t="n">
        <v>46335.79166666666</v>
      </c>
      <c r="C1184" s="5" t="n">
        <v>96355.37</v>
      </c>
      <c r="D1184" s="5" t="n">
        <v>96355.37</v>
      </c>
      <c r="E1184" s="2" t="inlineStr">
        <is>
          <t>Andalucía</t>
        </is>
      </c>
      <c r="F1184" s="2" t="inlineStr">
        <is>
          <t>Granada</t>
        </is>
      </c>
      <c r="G1184" s="2" t="n"/>
      <c r="H1184" s="2" t="inlineStr">
        <is>
          <t>Junta de Gobierno Local del Ayuntamiento de La Zubia</t>
        </is>
      </c>
      <c r="I1184" s="2" t="inlineStr">
        <is>
          <t>Obras de actuaciones en Camino de los Agramazones y Barranco Hondo del municipio de La Zubia, subvencionada por la Diputación Provincial de Granada. Subvención para inversiones de reparación de daños producidos por el temporal e inversiones de carácter preventivo. Línea 1.</t>
        </is>
      </c>
      <c r="J1184" s="2" t="inlineStr">
        <is>
          <t>5943/2026</t>
        </is>
      </c>
      <c r="K1184" s="2" t="inlineStr">
        <is>
          <t>Abierto simplificado</t>
        </is>
      </c>
      <c r="L1184" s="6" t="n">
        <v>1</v>
      </c>
      <c r="M1184" s="2" t="n"/>
      <c r="N1184" s="7" t="n">
        <v>0.25</v>
      </c>
      <c r="O1184" s="4" t="n"/>
      <c r="P1184" s="2" t="inlineStr">
        <is>
          <t>45233222; 45233223; 45247230</t>
        </is>
      </c>
      <c r="Q1184" s="8" t="inlineStr">
        <is>
          <t>Ver</t>
        </is>
      </c>
      <c r="R1184" s="8" t="inlineStr">
        <is>
          <t>PCAP</t>
        </is>
      </c>
      <c r="S1184" s="9" t="n">
        <v>46315</v>
      </c>
      <c r="T1184" s="3" t="n">
        <v>46314.55054398148</v>
      </c>
      <c r="U1184" s="2" t="n"/>
    </row>
    <row r="1185">
      <c r="A1185" s="2" t="inlineStr">
        <is>
          <t>En plazo</t>
        </is>
      </c>
      <c r="B1185" s="3" t="n">
        <v>46335.99930555555</v>
      </c>
      <c r="C1185" s="5" t="n">
        <v>394031.69</v>
      </c>
      <c r="D1185" s="5" t="n">
        <v>433434.86</v>
      </c>
      <c r="E1185" s="2" t="inlineStr">
        <is>
          <t>Comunitat Valenciana</t>
        </is>
      </c>
      <c r="F1185" s="2" t="inlineStr">
        <is>
          <t>Valencia</t>
        </is>
      </c>
      <c r="G1185" s="2" t="n"/>
      <c r="H1185" s="2" t="inlineStr">
        <is>
          <t>Junta de Gobierno del Ajuntament de València</t>
        </is>
      </c>
      <c r="I1185" s="2" t="inlineStr">
        <is>
          <t>Obras de modificación del carril bici del Paseo Alameda, en el tramo Puente del Reino Puente de Monteolivete, en el distrito Camins al Grau.-</t>
        </is>
      </c>
      <c r="J1185" s="2" t="inlineStr">
        <is>
          <t>04101/2026/198-O</t>
        </is>
      </c>
      <c r="K1185" s="2" t="inlineStr">
        <is>
          <t>Abierto simplificado</t>
        </is>
      </c>
      <c r="L1185" s="6" t="n">
        <v>3</v>
      </c>
      <c r="M1185" s="2" t="n"/>
      <c r="N1185" s="7" t="n">
        <v>0</v>
      </c>
      <c r="O1185" s="4" t="n"/>
      <c r="P1185" s="2" t="inlineStr">
        <is>
          <t>45200000</t>
        </is>
      </c>
      <c r="Q1185" s="8" t="inlineStr">
        <is>
          <t>Ver</t>
        </is>
      </c>
      <c r="R1185" s="8" t="inlineStr">
        <is>
          <t>PCAP</t>
        </is>
      </c>
      <c r="S1185" s="9" t="n">
        <v>46315</v>
      </c>
      <c r="T1185" s="3" t="n">
        <v>46314.54459490741</v>
      </c>
      <c r="U1185" s="2" t="n"/>
    </row>
    <row r="1186">
      <c r="A1186" s="2" t="inlineStr">
        <is>
          <t>Resuelta</t>
        </is>
      </c>
      <c r="B1186" s="3" t="n">
        <v>46274.99930555555</v>
      </c>
      <c r="C1186" s="5" t="n">
        <v>142338.54</v>
      </c>
      <c r="D1186" s="5" t="n">
        <v>117635.16</v>
      </c>
      <c r="E1186" s="2" t="inlineStr">
        <is>
          <t>Andalucía</t>
        </is>
      </c>
      <c r="F1186" s="2" t="inlineStr">
        <is>
          <t>Cádiz</t>
        </is>
      </c>
      <c r="G1186" s="2" t="inlineStr">
        <is>
          <t>MEDINA SIDONIA</t>
        </is>
      </c>
      <c r="H1186" s="2" t="inlineStr">
        <is>
          <t>Junta de Gobierno Local del Ayuntamiento de Medina Sidonia</t>
        </is>
      </c>
      <c r="I1186"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1186" s="2" t="inlineStr">
        <is>
          <t>2026_11023_CCOAS_00004</t>
        </is>
      </c>
      <c r="K1186" s="2" t="inlineStr">
        <is>
          <t>Abierto simplificado</t>
        </is>
      </c>
      <c r="L1186" s="6" t="n">
        <v>4</v>
      </c>
      <c r="M1186" s="2" t="n"/>
      <c r="N1186" s="7" t="n">
        <v>0</v>
      </c>
      <c r="O1186" s="4" t="n"/>
      <c r="P1186" s="2" t="inlineStr">
        <is>
          <t>45261400; 45261420; 45261900</t>
        </is>
      </c>
      <c r="Q1186" s="8" t="inlineStr">
        <is>
          <t>Ver</t>
        </is>
      </c>
      <c r="R1186" s="8" t="inlineStr">
        <is>
          <t>PCAP</t>
        </is>
      </c>
      <c r="S1186" s="9" t="n">
        <v>46310</v>
      </c>
      <c r="T1186" s="3" t="n">
        <v>46314.54126157407</v>
      </c>
      <c r="U1186" s="2" t="n"/>
    </row>
    <row r="1187">
      <c r="A1187" s="2" t="inlineStr">
        <is>
          <t>Pendiente de adjudicación</t>
        </is>
      </c>
      <c r="B1187" s="3" t="n">
        <v>46295.99930555555</v>
      </c>
      <c r="C1187" s="5" t="n">
        <v>102618.36</v>
      </c>
      <c r="D1187" s="5" t="n">
        <v>102618.36</v>
      </c>
      <c r="E1187" s="2" t="inlineStr">
        <is>
          <t>Andalucía</t>
        </is>
      </c>
      <c r="F1187" s="2" t="inlineStr">
        <is>
          <t>Granada</t>
        </is>
      </c>
      <c r="G1187" s="2" t="n"/>
      <c r="H1187" s="2" t="inlineStr">
        <is>
          <t>Dirección de la Empresa Municipal de Cementerios y Servicios Funerarios de Granada SA (EMUCESA)</t>
        </is>
      </c>
      <c r="I1187" s="2" t="inlineStr">
        <is>
          <t>Suministro, montaje, instalación, legalización y mantenimiento de producción eléctrica fotovoltaica para autoconsumo con vertido de excedentes en EMUCESA.</t>
        </is>
      </c>
      <c r="J1187" s="2" t="inlineStr">
        <is>
          <t>03/2026</t>
        </is>
      </c>
      <c r="K1187" s="2" t="inlineStr">
        <is>
          <t>Abierto simplificado</t>
        </is>
      </c>
      <c r="L1187" s="6" t="n">
        <v>3</v>
      </c>
      <c r="M1187" s="2" t="n"/>
      <c r="N1187" s="7" t="n">
        <v>0.15</v>
      </c>
      <c r="O1187" s="4" t="n"/>
      <c r="P1187" s="2" t="inlineStr">
        <is>
          <t>45315300; 09330000; 09331200; 09332000; 45261215</t>
        </is>
      </c>
      <c r="Q1187" s="8" t="inlineStr">
        <is>
          <t>Ver</t>
        </is>
      </c>
      <c r="R1187" s="8" t="inlineStr">
        <is>
          <t>PCAP</t>
        </is>
      </c>
      <c r="S1187" s="9" t="n">
        <v>46315</v>
      </c>
      <c r="T1187" s="3" t="n">
        <v>46314.53931712963</v>
      </c>
      <c r="U1187" s="2" t="n"/>
    </row>
    <row r="1188">
      <c r="A1188" s="2" t="inlineStr">
        <is>
          <t>Adjudicada</t>
        </is>
      </c>
      <c r="B1188" s="3" t="n">
        <v>46202.5</v>
      </c>
      <c r="C1188" s="5" t="n">
        <v>400000</v>
      </c>
      <c r="D1188" s="5" t="n">
        <v>400000</v>
      </c>
      <c r="E1188" s="2" t="inlineStr">
        <is>
          <t>Comunitat Valenciana</t>
        </is>
      </c>
      <c r="F1188" s="2" t="inlineStr">
        <is>
          <t>Valencia</t>
        </is>
      </c>
      <c r="G1188" s="2" t="n"/>
      <c r="H1188" s="2" t="inlineStr">
        <is>
          <t>Dirección General de Renfe Ingeniería y Mantenimiento Sociedad Mercantil Estatal, S.A.</t>
        </is>
      </c>
      <c r="I1188" s="2" t="inlineStr">
        <is>
          <t>Obras de renovacion de fachadas y de adecuacion interior de edificio auxiliar implantacion nuevo comedor laboral bm valencia</t>
        </is>
      </c>
      <c r="J1188" s="2" t="inlineStr">
        <is>
          <t>2026-01648</t>
        </is>
      </c>
      <c r="K1188" s="2" t="inlineStr">
        <is>
          <t>Normas internas</t>
        </is>
      </c>
      <c r="L1188" s="6" t="n">
        <v>4</v>
      </c>
      <c r="M1188" s="2" t="n"/>
      <c r="N1188" s="7" t="n">
        <v>0.4</v>
      </c>
      <c r="O1188" s="4" t="n"/>
      <c r="P1188" s="2" t="inlineStr">
        <is>
          <t>45213200</t>
        </is>
      </c>
      <c r="Q1188" s="8" t="inlineStr">
        <is>
          <t>Ver</t>
        </is>
      </c>
      <c r="R1188" s="8" t="inlineStr">
        <is>
          <t>PCAP</t>
        </is>
      </c>
      <c r="S1188" s="9" t="n">
        <v>46315</v>
      </c>
      <c r="T1188" s="3" t="n">
        <v>46314.53753472222</v>
      </c>
      <c r="U1188" s="2" t="n"/>
    </row>
    <row r="1189">
      <c r="A1189" s="2" t="inlineStr">
        <is>
          <t>En plazo</t>
        </is>
      </c>
      <c r="B1189" s="3" t="n">
        <v>46342.99930555555</v>
      </c>
      <c r="C1189" s="5" t="n">
        <v>171764.85</v>
      </c>
      <c r="D1189" s="5" t="n">
        <v>171764.85</v>
      </c>
      <c r="E1189" s="2" t="inlineStr">
        <is>
          <t>Andalucía</t>
        </is>
      </c>
      <c r="F1189" s="2" t="inlineStr">
        <is>
          <t>Córdoba</t>
        </is>
      </c>
      <c r="G1189" s="2" t="inlineStr">
        <is>
          <t>Villaralto</t>
        </is>
      </c>
      <c r="H1189" s="2" t="inlineStr">
        <is>
          <t>Diputado delegado de Infraestructuras, Sostenibilidad y Agricultura</t>
        </is>
      </c>
      <c r="I1189" s="2" t="inlineStr">
        <is>
          <t>Contratación de la obra Rehabilitación Casa Peñas, 1ª fase, Villaralto (Córdoba). Obra incluida en los planes provinciales de obras y servicios 2024-2027 (bienio 2026-2027).</t>
        </is>
      </c>
      <c r="J1189" s="2" t="inlineStr">
        <is>
          <t>859/26</t>
        </is>
      </c>
      <c r="K1189" s="2" t="inlineStr">
        <is>
          <t>Abierto</t>
        </is>
      </c>
      <c r="L1189" s="6" t="n">
        <v>7</v>
      </c>
      <c r="M1189" s="2" t="n"/>
      <c r="N1189" s="7" t="n">
        <v>0.25</v>
      </c>
      <c r="O1189" s="4" t="n"/>
      <c r="P1189" s="2" t="inlineStr">
        <is>
          <t>45210000</t>
        </is>
      </c>
      <c r="Q1189" s="8" t="inlineStr">
        <is>
          <t>Ver</t>
        </is>
      </c>
      <c r="R1189" s="8" t="inlineStr">
        <is>
          <t>PCAP</t>
        </is>
      </c>
      <c r="S1189" s="9" t="n">
        <v>46315</v>
      </c>
      <c r="T1189" s="3" t="n">
        <v>46314.53605324074</v>
      </c>
      <c r="U1189" s="2" t="n"/>
    </row>
    <row r="1190">
      <c r="A1190" s="2" t="inlineStr">
        <is>
          <t>Resuelta</t>
        </is>
      </c>
      <c r="B1190" s="3" t="n">
        <v>46269.99930555555</v>
      </c>
      <c r="C1190" s="5" t="n">
        <v>160284.85</v>
      </c>
      <c r="D1190" s="5" t="n">
        <v>160284.85</v>
      </c>
      <c r="E1190" s="2" t="inlineStr">
        <is>
          <t>Comunitat Valenciana</t>
        </is>
      </c>
      <c r="F1190" s="2" t="inlineStr">
        <is>
          <t>Alicante</t>
        </is>
      </c>
      <c r="G1190" s="2" t="inlineStr">
        <is>
          <t>Redován</t>
        </is>
      </c>
      <c r="H1190" s="2" t="inlineStr">
        <is>
          <t>Junta de Gobierno de Redován</t>
        </is>
      </c>
      <c r="I1190" s="2" t="inlineStr">
        <is>
          <t>Ejecución de las obras de reconstrucción de muro perimetral y ampliación y renovación de aseos del campo de fútbol municipal de Redován.</t>
        </is>
      </c>
      <c r="J1190" s="2" t="inlineStr">
        <is>
          <t>267/2026</t>
        </is>
      </c>
      <c r="K1190" s="2" t="inlineStr">
        <is>
          <t>Abierto simplificado</t>
        </is>
      </c>
      <c r="L1190" s="6" t="n">
        <v>4</v>
      </c>
      <c r="M1190" s="2" t="inlineStr">
        <is>
          <t>C*-2</t>
        </is>
      </c>
      <c r="N1190" s="7" t="n">
        <v>0</v>
      </c>
      <c r="O1190" s="4" t="n"/>
      <c r="P1190" s="2" t="inlineStr">
        <is>
          <t>45212220; 45212290</t>
        </is>
      </c>
      <c r="Q1190" s="8" t="inlineStr">
        <is>
          <t>Ver</t>
        </is>
      </c>
      <c r="R1190" s="8" t="inlineStr">
        <is>
          <t>PCAP</t>
        </is>
      </c>
      <c r="S1190" s="9" t="n">
        <v>46315</v>
      </c>
      <c r="T1190" s="3" t="n">
        <v>46314.53583333334</v>
      </c>
      <c r="U1190" s="2" t="n"/>
    </row>
    <row r="1191">
      <c r="A1191" s="2" t="inlineStr">
        <is>
          <t>Adjudicada</t>
        </is>
      </c>
      <c r="B1191" s="3" t="n">
        <v>46260.99930555555</v>
      </c>
      <c r="C1191" s="5" t="n">
        <v>463937.62</v>
      </c>
      <c r="D1191" s="5" t="n">
        <v>472311.43</v>
      </c>
      <c r="E1191" s="2" t="inlineStr">
        <is>
          <t>Andalucía</t>
        </is>
      </c>
      <c r="F1191" s="2" t="inlineStr">
        <is>
          <t>Sevilla</t>
        </is>
      </c>
      <c r="G1191" s="2" t="inlineStr">
        <is>
          <t>Utrera (Sevilla)</t>
        </is>
      </c>
      <c r="H1191" s="2" t="inlineStr">
        <is>
          <t>Alcaldía del Ayuntamiento de Utrera</t>
        </is>
      </c>
      <c r="I1191" s="2" t="inlineStr">
        <is>
          <t>Ejecución de las obras del proyecto básico y de ejecución de ampliación y renovación del horno crematorio municipal de Utrera (Sevilla) -OP49/25-, financiado por la Diputación Provincial de Sevilla con cargo a la línea de inversiones del Programa de Cooperación General del Plan Provincial Más Sevilla.</t>
        </is>
      </c>
      <c r="J1191" s="2" t="inlineStr">
        <is>
          <t>OB39/2026</t>
        </is>
      </c>
      <c r="K1191" s="2" t="inlineStr">
        <is>
          <t>Abierto simplificado</t>
        </is>
      </c>
      <c r="L1191" s="6" t="n">
        <v>7</v>
      </c>
      <c r="M1191" s="2" t="n"/>
      <c r="N1191" s="7" t="n">
        <v>0</v>
      </c>
      <c r="O1191" s="4" t="n"/>
      <c r="P1191" s="2" t="inlineStr">
        <is>
          <t>45215300; 45223100; 45111100; 45223500; 45000000; 51135000</t>
        </is>
      </c>
      <c r="Q1191" s="8" t="inlineStr">
        <is>
          <t>Ver</t>
        </is>
      </c>
      <c r="R1191" s="8" t="inlineStr">
        <is>
          <t>PCAP</t>
        </is>
      </c>
      <c r="S1191" s="9" t="n">
        <v>46315</v>
      </c>
      <c r="T1191" s="3" t="n">
        <v>46314.53320601852</v>
      </c>
      <c r="U1191" s="2" t="n"/>
    </row>
    <row r="1192">
      <c r="A1192" s="2" t="inlineStr">
        <is>
          <t>Adjudicada</t>
        </is>
      </c>
      <c r="B1192" s="3" t="n">
        <v>46295.99930555555</v>
      </c>
      <c r="C1192" s="5" t="n">
        <v>62850.11</v>
      </c>
      <c r="D1192" s="5" t="n">
        <v>76048.63</v>
      </c>
      <c r="E1192" s="2" t="inlineStr">
        <is>
          <t>Comunitat Valenciana</t>
        </is>
      </c>
      <c r="F1192" s="2" t="inlineStr">
        <is>
          <t>Valencia</t>
        </is>
      </c>
      <c r="G1192" s="2" t="n"/>
      <c r="H1192" s="2" t="inlineStr">
        <is>
          <t>Presidencia de la Mancomunitat de Municipis La Costera - Canal</t>
        </is>
      </c>
      <c r="I1192" s="2" t="inlineStr">
        <is>
          <t>Restauración del muro de la capilla gótica que limita al este el núcleo de comunicación vertical de las oficinas sede de la Mancomunidad.</t>
        </is>
      </c>
      <c r="J1192" s="2" t="inlineStr">
        <is>
          <t>3028323E</t>
        </is>
      </c>
      <c r="K1192" s="2" t="inlineStr">
        <is>
          <t>Abierto simplificado</t>
        </is>
      </c>
      <c r="L1192" s="6" t="n">
        <v>3</v>
      </c>
      <c r="M1192" s="2" t="inlineStr">
        <is>
          <t>K7-1</t>
        </is>
      </c>
      <c r="N1192" s="7" t="n">
        <v>0</v>
      </c>
      <c r="O1192" s="4" t="n"/>
      <c r="P1192" s="2" t="inlineStr">
        <is>
          <t>45400000; 45350000; 45410000; 45450000; 45430000; 45320000; 45340000; 45420000; 45310000; 45330000; 45440000</t>
        </is>
      </c>
      <c r="Q1192" s="8" t="inlineStr">
        <is>
          <t>Ver</t>
        </is>
      </c>
      <c r="R1192" s="8" t="inlineStr">
        <is>
          <t>PCAP</t>
        </is>
      </c>
      <c r="S1192" s="9" t="n">
        <v>46315</v>
      </c>
      <c r="T1192" s="3" t="n">
        <v>46314.53061342592</v>
      </c>
      <c r="U1192" s="2" t="n"/>
    </row>
    <row r="1193">
      <c r="A1193" s="2" t="inlineStr">
        <is>
          <t>Pendiente de adjudicación</t>
        </is>
      </c>
      <c r="B1193" s="3" t="n">
        <v>46308.33333333334</v>
      </c>
      <c r="C1193" s="5" t="n">
        <v>124712.35</v>
      </c>
      <c r="D1193" s="5" t="n">
        <v>137183.58</v>
      </c>
      <c r="E1193" s="2" t="inlineStr">
        <is>
          <t>Andalucía</t>
        </is>
      </c>
      <c r="F1193" s="2" t="inlineStr">
        <is>
          <t>Sevilla</t>
        </is>
      </c>
      <c r="G1193" s="2" t="n"/>
      <c r="H1193" s="2" t="inlineStr">
        <is>
          <t>Instituto de Vivienda, Infraestructura y Equipamiento de la Defensa</t>
        </is>
      </c>
      <c r="I1193" s="2" t="inlineStr">
        <is>
          <t>Obras de reforma del desdoblamiento de una vivienda en edificio plurifamiliar situado en Calle Brasil 25, Bajo Izquierda, Sevilla</t>
        </is>
      </c>
      <c r="J1193" s="2" t="inlineStr">
        <is>
          <t>202600000226</t>
        </is>
      </c>
      <c r="K1193" s="2" t="inlineStr">
        <is>
          <t>Abierto simplificado</t>
        </is>
      </c>
      <c r="L1193" s="6" t="n">
        <v>4</v>
      </c>
      <c r="M1193" s="2" t="n"/>
      <c r="N1193" s="7" t="n">
        <v>0</v>
      </c>
      <c r="O1193" s="4" t="n"/>
      <c r="P1193" s="2" t="inlineStr">
        <is>
          <t>45259900; 45262520; 45300000</t>
        </is>
      </c>
      <c r="Q1193" s="8" t="inlineStr">
        <is>
          <t>Ver</t>
        </is>
      </c>
      <c r="R1193" s="8" t="inlineStr">
        <is>
          <t>PCAP</t>
        </is>
      </c>
      <c r="S1193" s="9" t="n">
        <v>46315</v>
      </c>
      <c r="T1193" s="3" t="n">
        <v>46314.52949074074</v>
      </c>
      <c r="U1193" s="2" t="n"/>
    </row>
    <row r="1194">
      <c r="A1194" s="2" t="inlineStr">
        <is>
          <t>Pendiente de adjudicación</t>
        </is>
      </c>
      <c r="B1194" s="3" t="n">
        <v>46308.33333333334</v>
      </c>
      <c r="C1194" s="5" t="n">
        <v>158819.26</v>
      </c>
      <c r="D1194" s="5" t="n">
        <v>174701.18</v>
      </c>
      <c r="E1194" s="2" t="inlineStr">
        <is>
          <t>Andalucía</t>
        </is>
      </c>
      <c r="F1194" s="2" t="inlineStr">
        <is>
          <t>Sevilla</t>
        </is>
      </c>
      <c r="G1194" s="2" t="n"/>
      <c r="H1194" s="2" t="inlineStr">
        <is>
          <t>Instituto de Vivienda, Infraestructura y Equipamiento de la Defensa</t>
        </is>
      </c>
      <c r="I1194" s="2" t="inlineStr">
        <is>
          <t>Obras de reforma del desdoblamiento de una vivienda en edificio plurifamiliar situado en Avenida de la Borbolla 13, 2º, Sevilla</t>
        </is>
      </c>
      <c r="J1194" s="2" t="inlineStr">
        <is>
          <t>202600000217</t>
        </is>
      </c>
      <c r="K1194" s="2" t="inlineStr">
        <is>
          <t>Abierto simplificado</t>
        </is>
      </c>
      <c r="L1194" s="6" t="n">
        <v>4</v>
      </c>
      <c r="M1194" s="2" t="n"/>
      <c r="N1194" s="7" t="n">
        <v>0</v>
      </c>
      <c r="O1194" s="4" t="n"/>
      <c r="P1194" s="2" t="inlineStr">
        <is>
          <t>45259900; 45262520; 45300000</t>
        </is>
      </c>
      <c r="Q1194" s="8" t="inlineStr">
        <is>
          <t>Ver</t>
        </is>
      </c>
      <c r="R1194" s="8" t="inlineStr">
        <is>
          <t>PCAP</t>
        </is>
      </c>
      <c r="S1194" s="9" t="n">
        <v>46315</v>
      </c>
      <c r="T1194" s="3" t="n">
        <v>46314.52885416667</v>
      </c>
      <c r="U1194" s="2" t="n"/>
    </row>
    <row r="1195">
      <c r="A1195" s="2" t="inlineStr">
        <is>
          <t>Resuelta</t>
        </is>
      </c>
      <c r="B1195" s="3" t="n">
        <v>46240.99930555555</v>
      </c>
      <c r="C1195" s="5" t="n">
        <v>1403184.29</v>
      </c>
      <c r="D1195" s="5" t="n">
        <v>1403184.29</v>
      </c>
      <c r="E1195" s="2" t="inlineStr">
        <is>
          <t>Andalucía</t>
        </is>
      </c>
      <c r="F1195" s="2" t="inlineStr">
        <is>
          <t>Málaga</t>
        </is>
      </c>
      <c r="G1195" s="2" t="inlineStr">
        <is>
          <t>Coín</t>
        </is>
      </c>
      <c r="H1195" s="2" t="inlineStr">
        <is>
          <t>Alcaldía del Ayuntamiento de Coín</t>
        </is>
      </c>
      <c r="I1195" s="2" t="inlineStr">
        <is>
          <t>Contrato de obras del Parque S.G.A.L.-5 "Cuartel de la Guardia Civil"</t>
        </is>
      </c>
      <c r="J1195" s="2" t="inlineStr">
        <is>
          <t>968/2026</t>
        </is>
      </c>
      <c r="K1195" s="2" t="inlineStr">
        <is>
          <t>Abierto simplificado</t>
        </is>
      </c>
      <c r="L1195" s="6" t="n">
        <v>6</v>
      </c>
      <c r="M1195" s="2" t="inlineStr">
        <is>
          <t>A1-4</t>
        </is>
      </c>
      <c r="N1195" s="7" t="n">
        <v>0.25</v>
      </c>
      <c r="O1195" s="4" t="n"/>
      <c r="P1195" s="2" t="inlineStr">
        <is>
          <t>45231300; 45232150; 45232440; 45232130; 45432112; 45233253; 45232410</t>
        </is>
      </c>
      <c r="Q1195" s="8" t="inlineStr">
        <is>
          <t>Ver</t>
        </is>
      </c>
      <c r="R1195" s="8" t="inlineStr">
        <is>
          <t>PCAP</t>
        </is>
      </c>
      <c r="S1195" s="9" t="n">
        <v>46310</v>
      </c>
      <c r="T1195" s="3" t="n">
        <v>46314.52258101852</v>
      </c>
      <c r="U1195" s="2" t="inlineStr">
        <is>
          <t>2026-10-20: estado ADJ → RES</t>
        </is>
      </c>
    </row>
    <row r="1196">
      <c r="A1196" s="2" t="inlineStr">
        <is>
          <t>Pendiente de adjudicación</t>
        </is>
      </c>
      <c r="B1196" s="3" t="n">
        <v>46308.5</v>
      </c>
      <c r="C1196" s="5" t="n">
        <v>232207.42</v>
      </c>
      <c r="D1196" s="5" t="n">
        <v>232207.42</v>
      </c>
      <c r="E1196" s="2" t="inlineStr">
        <is>
          <t>Comunitat Valenciana</t>
        </is>
      </c>
      <c r="F1196" s="2" t="inlineStr">
        <is>
          <t>Valencia</t>
        </is>
      </c>
      <c r="G1196" s="2" t="inlineStr">
        <is>
          <t>Montaverner</t>
        </is>
      </c>
      <c r="H1196" s="2" t="inlineStr">
        <is>
          <t>Alcaldía del Ayuntamiento de Montaverner</t>
        </is>
      </c>
      <c r="I1196" s="2" t="inlineStr">
        <is>
          <t>reforma del paque primero de mayo: pavimentación, jardinería, instalaciones, mobiliario y área de juegos.</t>
        </is>
      </c>
      <c r="J1196" s="2" t="inlineStr">
        <is>
          <t>387/2026</t>
        </is>
      </c>
      <c r="K1196" s="2" t="inlineStr">
        <is>
          <t>Abierto simplificado</t>
        </is>
      </c>
      <c r="L1196" s="6" t="n">
        <v>6</v>
      </c>
      <c r="M1196" s="2" t="n"/>
      <c r="N1196" s="7" t="n">
        <v>0</v>
      </c>
      <c r="O1196" s="4" t="n"/>
      <c r="P1196" s="2" t="inlineStr">
        <is>
          <t>45112700; 45233200; 45316100; 43325000</t>
        </is>
      </c>
      <c r="Q1196" s="8" t="inlineStr">
        <is>
          <t>Ver</t>
        </is>
      </c>
      <c r="R1196" s="8" t="inlineStr">
        <is>
          <t>PCAP</t>
        </is>
      </c>
      <c r="S1196" s="9" t="n">
        <v>46315</v>
      </c>
      <c r="T1196" s="3" t="n">
        <v>46314.51909722222</v>
      </c>
      <c r="U1196" s="2" t="n"/>
    </row>
    <row r="1197">
      <c r="A1197" s="2" t="inlineStr">
        <is>
          <t>Plazo vencido</t>
        </is>
      </c>
      <c r="B1197" s="3" t="n">
        <v>46321.58333333334</v>
      </c>
      <c r="C1197" s="5" t="n">
        <v>297520.66</v>
      </c>
      <c r="D1197" s="5" t="n">
        <v>297520.66</v>
      </c>
      <c r="E1197" s="2" t="inlineStr">
        <is>
          <t>Andalucía</t>
        </is>
      </c>
      <c r="F1197" s="2" t="inlineStr">
        <is>
          <t>Cádiz</t>
        </is>
      </c>
      <c r="G1197" s="2" t="inlineStr">
        <is>
          <t>Castellar de la Frontera</t>
        </is>
      </c>
      <c r="H1197" s="2" t="inlineStr">
        <is>
          <t>Alcaldía del Ayuntamiento de Castellar de la Frontera</t>
        </is>
      </c>
      <c r="I1197" s="2" t="inlineStr">
        <is>
          <t>El objeto del contrato es la ejecución de obras correspondientes al proyecto OBRAS DE CONSTRUCCIÓN DE UN NUEVO EDIFICIO MUNICIPAL PARA LA PRESTACIÓN DE SERVICIOS DE COMPETENCIA MUNICIPAL, financiado a cargo del Plan Extraordinario de Inversiones de la Excma. Diputación Provincial de Cádiz (Plan Cádiz-Marcha 2024).</t>
        </is>
      </c>
      <c r="J1197" s="2" t="inlineStr">
        <is>
          <t>757/2026</t>
        </is>
      </c>
      <c r="K1197" s="2" t="inlineStr">
        <is>
          <t>Abierto simplificado</t>
        </is>
      </c>
      <c r="L1197" s="6" t="n">
        <v>12</v>
      </c>
      <c r="M1197" s="2" t="n"/>
      <c r="N1197" s="7" t="n">
        <v>0</v>
      </c>
      <c r="O1197" s="4" t="n"/>
      <c r="P1197" s="2" t="inlineStr">
        <is>
          <t>45211350</t>
        </is>
      </c>
      <c r="Q1197" s="8" t="inlineStr">
        <is>
          <t>Ver</t>
        </is>
      </c>
      <c r="R1197" s="8" t="inlineStr">
        <is>
          <t>PCAP</t>
        </is>
      </c>
      <c r="S1197" s="9" t="n">
        <v>46315</v>
      </c>
      <c r="T1197" s="3" t="n">
        <v>46314.51297453704</v>
      </c>
      <c r="U1197" s="2" t="n"/>
    </row>
    <row r="1198">
      <c r="A1198" s="2" t="inlineStr">
        <is>
          <t>Resuelta</t>
        </is>
      </c>
      <c r="B1198" s="3" t="n">
        <v>45698.58333333334</v>
      </c>
      <c r="C1198" s="5" t="n">
        <v>5501407.79</v>
      </c>
      <c r="D1198" s="5" t="n">
        <v>6656703.43</v>
      </c>
      <c r="E1198" s="2" t="inlineStr">
        <is>
          <t>Andalucía</t>
        </is>
      </c>
      <c r="F1198" s="2" t="inlineStr">
        <is>
          <t>Córdoba</t>
        </is>
      </c>
      <c r="G1198" s="2" t="inlineStr">
        <is>
          <t>Córdoba</t>
        </is>
      </c>
      <c r="H1198" s="2" t="inlineStr">
        <is>
          <t>Consejo de Administración de la Empresa Municipal de Aguas de Córdoba, S.A. (EMACSA)</t>
        </is>
      </c>
      <c r="I1198" s="2" t="inlineStr">
        <is>
          <t>Obra de modernización y mejora de la primera conducción de abastecimiento a Córdoba. Fase 2</t>
        </is>
      </c>
      <c r="J1198" s="2" t="inlineStr">
        <is>
          <t>73/2024</t>
        </is>
      </c>
      <c r="K1198" s="2" t="inlineStr">
        <is>
          <t>Abierto</t>
        </is>
      </c>
      <c r="L1198" s="6" t="n">
        <v>20</v>
      </c>
      <c r="M1198" s="2" t="inlineStr">
        <is>
          <t>E6-5</t>
        </is>
      </c>
      <c r="N1198" s="7" t="n">
        <v>0.4</v>
      </c>
      <c r="O1198" s="4" t="n"/>
      <c r="P1198" s="2" t="inlineStr">
        <is>
          <t>45231100</t>
        </is>
      </c>
      <c r="Q1198" s="8" t="inlineStr">
        <is>
          <t>Ver</t>
        </is>
      </c>
      <c r="R1198" s="2" t="n"/>
      <c r="S1198" s="9" t="n">
        <v>46315</v>
      </c>
      <c r="T1198" s="3" t="n">
        <v>46314.51269675926</v>
      </c>
      <c r="U1198" s="2" t="n"/>
    </row>
    <row r="1199">
      <c r="A1199" s="2" t="inlineStr">
        <is>
          <t>Resuelta</t>
        </is>
      </c>
      <c r="B1199" s="3" t="n">
        <v>46204.60416666666</v>
      </c>
      <c r="C1199" s="5" t="n">
        <v>79611.06</v>
      </c>
      <c r="D1199" s="5" t="n">
        <v>79611.06</v>
      </c>
      <c r="E1199" s="2" t="inlineStr">
        <is>
          <t>Andalucía</t>
        </is>
      </c>
      <c r="F1199" s="2" t="inlineStr">
        <is>
          <t>Cádiz</t>
        </is>
      </c>
      <c r="G1199" s="2" t="n"/>
      <c r="H1199" s="2" t="inlineStr">
        <is>
          <t>Dirección de Chiclana Natural S.A.</t>
        </is>
      </c>
      <c r="I1199" s="2" t="inlineStr">
        <is>
          <t>Ejecución de las obras de instalación de encamisado en el pozo de La Espartosa, en el término municipal de Chiclana de la Frontera (Cádiz).</t>
        </is>
      </c>
      <c r="J1199" s="2" t="inlineStr">
        <is>
          <t>DEA-CON 18/2026</t>
        </is>
      </c>
      <c r="K1199" s="2" t="inlineStr">
        <is>
          <t>Abierto simplificado</t>
        </is>
      </c>
      <c r="L1199" s="6" t="n">
        <v>0.7</v>
      </c>
      <c r="M1199" s="2" t="n"/>
      <c r="N1199" s="7" t="n">
        <v>0</v>
      </c>
      <c r="O1199" s="4" t="n"/>
      <c r="P1199" s="2" t="inlineStr">
        <is>
          <t>45262220</t>
        </is>
      </c>
      <c r="Q1199" s="8" t="inlineStr">
        <is>
          <t>Ver</t>
        </is>
      </c>
      <c r="R1199" s="8" t="inlineStr">
        <is>
          <t>PCAP</t>
        </is>
      </c>
      <c r="S1199" s="9" t="n">
        <v>46315</v>
      </c>
      <c r="T1199" s="3" t="n">
        <v>46314.51199074074</v>
      </c>
      <c r="U1199" s="2" t="n"/>
    </row>
    <row r="1200">
      <c r="A1200" s="2" t="inlineStr">
        <is>
          <t>Resuelta</t>
        </is>
      </c>
      <c r="B1200" s="3" t="n">
        <v>46272.99930555555</v>
      </c>
      <c r="C1200" s="5" t="n">
        <v>1488218.63</v>
      </c>
      <c r="D1200" s="5" t="n">
        <v>1488218.63</v>
      </c>
      <c r="E1200" s="2" t="inlineStr">
        <is>
          <t>Andalucía</t>
        </is>
      </c>
      <c r="F1200" s="2" t="inlineStr">
        <is>
          <t>Huelva</t>
        </is>
      </c>
      <c r="G1200" s="2" t="n"/>
      <c r="H1200" s="2" t="inlineStr">
        <is>
          <t>Junta de Gobierno de la Diputación Provincial de Huelva</t>
        </is>
      </c>
      <c r="I1200" s="2" t="inlineStr">
        <is>
          <t>El presente contrato tiene por objeto la ejecución de las obras consistentes en la reposición de firmes en viales de carreteras pertenecientes a la red provincial, en varios tramos entre los PP KK -0+274 de la C.P. HU-3110, Moguer a El Rocío.</t>
        </is>
      </c>
      <c r="J1200" s="2" t="inlineStr">
        <is>
          <t>2025/CMY_03/000089 NSP</t>
        </is>
      </c>
      <c r="K1200" s="2" t="inlineStr">
        <is>
          <t>Negociado sin publicidad</t>
        </is>
      </c>
      <c r="L1200" s="6" t="n">
        <v>6</v>
      </c>
      <c r="M1200" s="2" t="n"/>
      <c r="N1200" s="7" t="n">
        <v>0.45</v>
      </c>
      <c r="O1200" s="4" t="n"/>
      <c r="P1200" s="2" t="inlineStr">
        <is>
          <t>45233000</t>
        </is>
      </c>
      <c r="Q1200" s="8" t="inlineStr">
        <is>
          <t>Ver</t>
        </is>
      </c>
      <c r="R1200" s="2" t="n"/>
      <c r="S1200" s="9" t="n">
        <v>46311</v>
      </c>
      <c r="T1200" s="3" t="n">
        <v>46314.50869212963</v>
      </c>
      <c r="U1200" s="2" t="inlineStr">
        <is>
          <t>2026-10-20: estado ADJ → RES</t>
        </is>
      </c>
    </row>
    <row r="1201">
      <c r="A1201" s="2" t="inlineStr">
        <is>
          <t>Pendiente de adjudicación</t>
        </is>
      </c>
      <c r="B1201" s="3" t="n">
        <v>46304.41666666666</v>
      </c>
      <c r="C1201" s="5" t="n">
        <v>149707.4</v>
      </c>
      <c r="D1201" s="5" t="n">
        <v>149707.4</v>
      </c>
      <c r="E1201" s="2" t="inlineStr">
        <is>
          <t>Andalucía</t>
        </is>
      </c>
      <c r="F1201" s="2" t="inlineStr">
        <is>
          <t>Sevilla</t>
        </is>
      </c>
      <c r="G1201" s="2" t="n"/>
      <c r="H1201" s="2" t="inlineStr">
        <is>
          <t>Empresa de Transformación Agraria S.A.,S.M.E., M.P., (TRAGSA)</t>
        </is>
      </c>
      <c r="I1201" s="2" t="inlineStr">
        <is>
          <t>Trabajos de acometida en media tensión para el Centro de Protección y Medida de 400 KVA del proyecto de Agrupación de Vertidos y EDAR de Burguillos (Sevilla). Desglosado NO 1. Agrupación de Vertidos y Conexiones Exteriores.</t>
        </is>
      </c>
      <c r="J1201" s="2" t="inlineStr">
        <is>
          <t>TSA0083959</t>
        </is>
      </c>
      <c r="K1201" s="2" t="inlineStr">
        <is>
          <t>Abierto simplificado</t>
        </is>
      </c>
      <c r="L1201" s="6" t="n">
        <v>4</v>
      </c>
      <c r="M1201" s="2" t="inlineStr">
        <is>
          <t>I5-1</t>
        </is>
      </c>
      <c r="N1201" s="7" t="n">
        <v>0</v>
      </c>
      <c r="O1201" s="4" t="n"/>
      <c r="P1201" s="2" t="inlineStr">
        <is>
          <t>45315500</t>
        </is>
      </c>
      <c r="Q1201" s="8" t="inlineStr">
        <is>
          <t>Ver</t>
        </is>
      </c>
      <c r="R1201" s="8" t="inlineStr">
        <is>
          <t>PCAP</t>
        </is>
      </c>
      <c r="S1201" s="9" t="n">
        <v>46315</v>
      </c>
      <c r="T1201" s="3" t="n">
        <v>46314.5075462963</v>
      </c>
      <c r="U1201" s="2" t="n"/>
    </row>
    <row r="1202">
      <c r="A1202" s="2" t="inlineStr">
        <is>
          <t>Pendiente de adjudicación</t>
        </is>
      </c>
      <c r="B1202" s="3" t="n">
        <v>46269.99930555555</v>
      </c>
      <c r="C1202" s="5" t="n">
        <v>286340.66</v>
      </c>
      <c r="D1202" s="5" t="n">
        <v>286340.66</v>
      </c>
      <c r="E1202" s="2" t="inlineStr">
        <is>
          <t>Andalucía</t>
        </is>
      </c>
      <c r="F1202" s="2" t="inlineStr">
        <is>
          <t>Sevilla</t>
        </is>
      </c>
      <c r="G1202" s="2" t="n"/>
      <c r="H1202" s="2" t="inlineStr">
        <is>
          <t>Presidencia de la Diputación Provincial de Sevilla</t>
        </is>
      </c>
      <c r="I1202" s="2" t="inlineStr">
        <is>
          <t>Obras para mejora del puente sobre el Rio Yeguas en Casariche, Sevilla.</t>
        </is>
      </c>
      <c r="J1202" s="2" t="inlineStr">
        <is>
          <t>2026/000583-PAAS</t>
        </is>
      </c>
      <c r="K1202" s="2" t="inlineStr">
        <is>
          <t>Abierto simplificado</t>
        </is>
      </c>
      <c r="L1202" s="6" t="n">
        <v>5</v>
      </c>
      <c r="M1202" s="2" t="n"/>
      <c r="N1202" s="7" t="n">
        <v>0.25</v>
      </c>
      <c r="O1202" s="4" t="n"/>
      <c r="P1202" s="2" t="inlineStr">
        <is>
          <t>45221119; 45262211; 45223200; 45262210</t>
        </is>
      </c>
      <c r="Q1202" s="8" t="inlineStr">
        <is>
          <t>Ver</t>
        </is>
      </c>
      <c r="R1202" s="8" t="inlineStr">
        <is>
          <t>PCAP</t>
        </is>
      </c>
      <c r="S1202" s="9" t="n">
        <v>46310</v>
      </c>
      <c r="T1202" s="3" t="n">
        <v>46314.5038425926</v>
      </c>
      <c r="U1202" s="2" t="n"/>
    </row>
    <row r="1203">
      <c r="A1203" s="2" t="inlineStr">
        <is>
          <t>Pendiente de adjudicación</t>
        </is>
      </c>
      <c r="B1203" s="3" t="n">
        <v>46309.99930555555</v>
      </c>
      <c r="C1203" s="5" t="n">
        <v>328251.09</v>
      </c>
      <c r="D1203" s="5" t="n">
        <v>328251.09</v>
      </c>
      <c r="E1203" s="2" t="inlineStr">
        <is>
          <t>Andalucía</t>
        </is>
      </c>
      <c r="F1203" s="2" t="inlineStr">
        <is>
          <t>Málaga</t>
        </is>
      </c>
      <c r="G1203" s="2" t="n"/>
      <c r="H1203" s="2" t="inlineStr">
        <is>
          <t>Concejalía de Hacienda del Ayuntamiento de Benalmádena</t>
        </is>
      </c>
      <c r="I1203" s="2" t="inlineStr">
        <is>
          <t>Obras de Adecuación de Tanatosala, Tanatoestética, Servicios higiénicos Públicos, Servicios Generales y de Intraurbanización, en el cementerio de Arroyo de la Miel.</t>
        </is>
      </c>
      <c r="J1203" s="2" t="inlineStr">
        <is>
          <t>2026/41048P</t>
        </is>
      </c>
      <c r="K1203" s="2" t="inlineStr">
        <is>
          <t>Abierto simplificado</t>
        </is>
      </c>
      <c r="L1203" s="6" t="n">
        <v>5</v>
      </c>
      <c r="M1203" s="2" t="n"/>
      <c r="N1203" s="7" t="n">
        <v>0</v>
      </c>
      <c r="O1203" s="4" t="n"/>
      <c r="P1203" s="2" t="inlineStr">
        <is>
          <t>45215400</t>
        </is>
      </c>
      <c r="Q1203" s="8" t="inlineStr">
        <is>
          <t>Ver</t>
        </is>
      </c>
      <c r="R1203" s="8" t="inlineStr">
        <is>
          <t>PCAP</t>
        </is>
      </c>
      <c r="S1203" s="9" t="n">
        <v>46311</v>
      </c>
      <c r="T1203" s="3" t="n">
        <v>46314.5028587963</v>
      </c>
      <c r="U1203" s="2" t="n"/>
    </row>
    <row r="1204">
      <c r="A1204" s="2" t="inlineStr">
        <is>
          <t>Pendiente de adjudicación</t>
        </is>
      </c>
      <c r="B1204" s="3" t="n">
        <v>46268.58333333334</v>
      </c>
      <c r="C1204" s="5" t="n">
        <v>82363.53999999999</v>
      </c>
      <c r="D1204" s="5" t="n">
        <v>82363.53999999999</v>
      </c>
      <c r="E1204" s="2" t="inlineStr">
        <is>
          <t>Comunitat Valenciana</t>
        </is>
      </c>
      <c r="F1204" s="2" t="inlineStr">
        <is>
          <t>Valencia</t>
        </is>
      </c>
      <c r="G1204" s="2" t="inlineStr">
        <is>
          <t>Torrebaja</t>
        </is>
      </c>
      <c r="H1204" s="2" t="inlineStr">
        <is>
          <t>Pleno del Ayuntamiento de Torrebaja</t>
        </is>
      </c>
      <c r="I1204" s="2" t="inlineStr">
        <is>
          <t>Pavimentación y Mejora de la Accesibilidad de La Calle Fuente y Cantón</t>
        </is>
      </c>
      <c r="J1204" s="2" t="inlineStr">
        <is>
          <t>1/2026</t>
        </is>
      </c>
      <c r="K1204" s="2" t="inlineStr">
        <is>
          <t>Abierto simplificado</t>
        </is>
      </c>
      <c r="L1204" s="6" t="n">
        <v>3</v>
      </c>
      <c r="M1204" s="2" t="n"/>
      <c r="N1204" s="7" t="n">
        <v>0</v>
      </c>
      <c r="O1204" s="4" t="n"/>
      <c r="P1204" s="2" t="inlineStr">
        <is>
          <t>45233252</t>
        </is>
      </c>
      <c r="Q1204" s="8" t="inlineStr">
        <is>
          <t>Ver</t>
        </is>
      </c>
      <c r="R1204" s="8" t="inlineStr">
        <is>
          <t>PCAP</t>
        </is>
      </c>
      <c r="S1204" s="9" t="n">
        <v>46315</v>
      </c>
      <c r="T1204" s="3" t="n">
        <v>46314.50193287037</v>
      </c>
      <c r="U1204" s="2" t="n"/>
    </row>
    <row r="1205">
      <c r="A1205" s="2" t="inlineStr">
        <is>
          <t>Pendiente de adjudicación</t>
        </is>
      </c>
      <c r="B1205" s="3" t="n">
        <v>46301.99930555555</v>
      </c>
      <c r="C1205" s="5" t="n">
        <v>152892.56</v>
      </c>
      <c r="D1205" s="5" t="n">
        <v>152892.56</v>
      </c>
      <c r="E1205" s="2" t="inlineStr">
        <is>
          <t>Andalucía</t>
        </is>
      </c>
      <c r="F1205" s="2" t="inlineStr">
        <is>
          <t>Almería</t>
        </is>
      </c>
      <c r="G1205" s="2" t="n"/>
      <c r="H1205" s="2" t="inlineStr">
        <is>
          <t>Junta de Gobierno de la Diputación Provincial de Almería</t>
        </is>
      </c>
      <c r="I1205" s="2" t="inlineStr">
        <is>
          <t>Urbanizaciones Con Abastecimiento.illar 88PPOS24-27BI</t>
        </is>
      </c>
      <c r="J1205" s="2" t="inlineStr">
        <is>
          <t>2025/D31000/006-013/00208</t>
        </is>
      </c>
      <c r="K1205" s="2" t="inlineStr">
        <is>
          <t>Abierto simplificado</t>
        </is>
      </c>
      <c r="L1205" s="6" t="n">
        <v>4</v>
      </c>
      <c r="M1205" s="2" t="n"/>
      <c r="N1205" s="7" t="n">
        <v>0.25</v>
      </c>
      <c r="O1205" s="4" t="n"/>
      <c r="P1205" s="2" t="inlineStr">
        <is>
          <t>45233252</t>
        </is>
      </c>
      <c r="Q1205" s="8" t="inlineStr">
        <is>
          <t>Ver</t>
        </is>
      </c>
      <c r="R1205" s="8" t="inlineStr">
        <is>
          <t>PCAP</t>
        </is>
      </c>
      <c r="S1205" s="9" t="n">
        <v>46315</v>
      </c>
      <c r="T1205" s="3" t="n">
        <v>46314.5</v>
      </c>
      <c r="U1205" s="2" t="n"/>
    </row>
    <row r="1206">
      <c r="A1206" s="2" t="inlineStr">
        <is>
          <t>Resuelta</t>
        </is>
      </c>
      <c r="B1206" s="3" t="n">
        <v>46310.99930555555</v>
      </c>
      <c r="C1206" s="5" t="n">
        <v>999311.25</v>
      </c>
      <c r="D1206" s="5" t="n">
        <v>999311.25</v>
      </c>
      <c r="E1206" s="2" t="inlineStr">
        <is>
          <t>Andalucía</t>
        </is>
      </c>
      <c r="F1206" s="2" t="inlineStr">
        <is>
          <t>Sevilla</t>
        </is>
      </c>
      <c r="G1206" s="2" t="n"/>
      <c r="H1206" s="2" t="inlineStr">
        <is>
          <t>Alcaldía del Ayuntamiento de Espartinas</t>
        </is>
      </c>
      <c r="I1206" s="2" t="inlineStr">
        <is>
          <t>Constituye el objeto del contrato la ejecución de las obras de Reasfaltado de Infraestructura Viaria Municipal 2026 conforme a lo previsto en el Proyecto Técnico que establece las características de la actuación, aprobado por Resolución del Órgano de Contratación n.º 1243/2026 de fecha 11/09/26.</t>
        </is>
      </c>
      <c r="J1206" s="2" t="inlineStr">
        <is>
          <t>2346/2026</t>
        </is>
      </c>
      <c r="K1206" s="2" t="inlineStr">
        <is>
          <t>Abierto simplificado</t>
        </is>
      </c>
      <c r="L1206" s="6" t="n">
        <v>4</v>
      </c>
      <c r="M1206" s="2" t="inlineStr">
        <is>
          <t>G*-4</t>
        </is>
      </c>
      <c r="N1206" s="7" t="n">
        <v>0</v>
      </c>
      <c r="O1206" s="4" t="n"/>
      <c r="P1206" s="2" t="inlineStr">
        <is>
          <t>45233222; 45233252</t>
        </is>
      </c>
      <c r="Q1206" s="8" t="inlineStr">
        <is>
          <t>Ver</t>
        </is>
      </c>
      <c r="R1206" s="8" t="inlineStr">
        <is>
          <t>PCAP</t>
        </is>
      </c>
      <c r="S1206" s="9" t="n">
        <v>46314</v>
      </c>
      <c r="T1206" s="3" t="n">
        <v>46314.49949074074</v>
      </c>
      <c r="U1206" s="2" t="inlineStr">
        <is>
          <t>2026-10-20: estado EV → RES</t>
        </is>
      </c>
    </row>
    <row r="1207">
      <c r="A1207" s="2" t="inlineStr">
        <is>
          <t>Pendiente de adjudicación</t>
        </is>
      </c>
      <c r="B1207" s="3" t="n">
        <v>46301.99930555555</v>
      </c>
      <c r="C1207" s="5" t="n">
        <v>37190.09</v>
      </c>
      <c r="D1207" s="5" t="n">
        <v>37190.09</v>
      </c>
      <c r="E1207" s="2" t="inlineStr">
        <is>
          <t>Andalucía</t>
        </is>
      </c>
      <c r="F1207" s="2" t="inlineStr">
        <is>
          <t>Almería</t>
        </is>
      </c>
      <c r="G1207" s="2" t="n"/>
      <c r="H1207" s="2" t="inlineStr">
        <is>
          <t>Junta de Gobierno de la Diputación Provincial de Almería</t>
        </is>
      </c>
      <c r="I1207" s="2" t="inlineStr">
        <is>
          <t>Actuaciones De Tala Y Retirada De Arbolado En Las C.c.p.p. Al-3407 Ricaveral, Al-5404 Abrucena Y Al-9104 Velez-rubio 19PG2026</t>
        </is>
      </c>
      <c r="J1207" s="2" t="inlineStr">
        <is>
          <t>2026/D31000/006-013/00050</t>
        </is>
      </c>
      <c r="K1207" s="2" t="inlineStr">
        <is>
          <t>Abierto simplificado</t>
        </is>
      </c>
      <c r="L1207" s="6" t="n">
        <v>2</v>
      </c>
      <c r="M1207" s="2" t="n"/>
      <c r="N1207" s="7" t="n">
        <v>0.25</v>
      </c>
      <c r="O1207" s="4" t="n"/>
      <c r="P1207" s="2" t="inlineStr">
        <is>
          <t>45111220</t>
        </is>
      </c>
      <c r="Q1207" s="8" t="inlineStr">
        <is>
          <t>Ver</t>
        </is>
      </c>
      <c r="R1207" s="8" t="inlineStr">
        <is>
          <t>PCAP</t>
        </is>
      </c>
      <c r="S1207" s="9" t="n">
        <v>46315</v>
      </c>
      <c r="T1207" s="3" t="n">
        <v>46314.49927083333</v>
      </c>
      <c r="U1207" s="2" t="n"/>
    </row>
    <row r="1208">
      <c r="A1208" s="2" t="inlineStr">
        <is>
          <t>Pendiente de adjudicación</t>
        </is>
      </c>
      <c r="B1208" s="3" t="n">
        <v>46301.99930555555</v>
      </c>
      <c r="C1208" s="5" t="n">
        <v>198347.11</v>
      </c>
      <c r="D1208" s="5" t="n">
        <v>198347.11</v>
      </c>
      <c r="E1208" s="2" t="inlineStr">
        <is>
          <t>Andalucía</t>
        </is>
      </c>
      <c r="F1208" s="2" t="inlineStr">
        <is>
          <t>Almería</t>
        </is>
      </c>
      <c r="G1208" s="2" t="n"/>
      <c r="H1208" s="2" t="inlineStr">
        <is>
          <t>Junta de Gobierno de la Diputación Provincial de Almería</t>
        </is>
      </c>
      <c r="I1208" s="2" t="inlineStr">
        <is>
          <t>Proyecto De Implantación De Nuevo Pretil Urbano Y Mantenimiento De Barandillas Existentes En El Puente De La Carretera Provincial Al-3202 Sobre El Río Andarax. 25PG2026</t>
        </is>
      </c>
      <c r="J1208" s="2" t="inlineStr">
        <is>
          <t>2026/D31000/006-013/00068</t>
        </is>
      </c>
      <c r="K1208" s="2" t="inlineStr">
        <is>
          <t>Abierto simplificado</t>
        </is>
      </c>
      <c r="L1208" s="6" t="n">
        <v>3</v>
      </c>
      <c r="M1208" s="2" t="n"/>
      <c r="N1208" s="7" t="n">
        <v>0.118</v>
      </c>
      <c r="O1208" s="4" t="n"/>
      <c r="P1208" s="2" t="inlineStr">
        <is>
          <t>45233280</t>
        </is>
      </c>
      <c r="Q1208" s="8" t="inlineStr">
        <is>
          <t>Ver</t>
        </is>
      </c>
      <c r="R1208" s="8" t="inlineStr">
        <is>
          <t>PCAP</t>
        </is>
      </c>
      <c r="S1208" s="9" t="n">
        <v>46315</v>
      </c>
      <c r="T1208" s="3" t="n">
        <v>46314.49888888889</v>
      </c>
      <c r="U1208" s="2" t="n"/>
    </row>
    <row r="1209">
      <c r="A1209" s="2" t="inlineStr">
        <is>
          <t>Adjudicada</t>
        </is>
      </c>
      <c r="B1209" s="3" t="n">
        <v>46252.99930555555</v>
      </c>
      <c r="C1209" s="5" t="n">
        <v>41322.31</v>
      </c>
      <c r="D1209" s="5" t="n">
        <v>41322.31</v>
      </c>
      <c r="E1209" s="2" t="inlineStr">
        <is>
          <t>Andalucía</t>
        </is>
      </c>
      <c r="F1209" s="2" t="inlineStr">
        <is>
          <t>Cádiz</t>
        </is>
      </c>
      <c r="G1209" s="2" t="n"/>
      <c r="H1209" s="2" t="inlineStr">
        <is>
          <t>Junta de Gobierno del Ayuntamiento de Espera</t>
        </is>
      </c>
      <c r="I1209" s="2" t="inlineStr">
        <is>
          <t>Ejecución de las obras de reurbanización de la Calle Cardenal Cisneros</t>
        </is>
      </c>
      <c r="J1209" s="2" t="inlineStr">
        <is>
          <t>2026/ASU_08/000001</t>
        </is>
      </c>
      <c r="K1209" s="2" t="inlineStr">
        <is>
          <t>Abierto simplificado</t>
        </is>
      </c>
      <c r="L1209" s="6" t="n">
        <v>4</v>
      </c>
      <c r="M1209" s="2" t="n"/>
      <c r="N1209" s="7" t="n">
        <v>0</v>
      </c>
      <c r="O1209" s="4" t="n"/>
      <c r="P1209" s="2" t="inlineStr">
        <is>
          <t>45000000</t>
        </is>
      </c>
      <c r="Q1209" s="8" t="inlineStr">
        <is>
          <t>Ver</t>
        </is>
      </c>
      <c r="R1209" s="8" t="inlineStr">
        <is>
          <t>PCAP</t>
        </is>
      </c>
      <c r="S1209" s="9" t="n">
        <v>46315</v>
      </c>
      <c r="T1209" s="3" t="n">
        <v>46314.4967824074</v>
      </c>
      <c r="U1209" s="2" t="n"/>
    </row>
    <row r="1210">
      <c r="A1210" s="2" t="inlineStr">
        <is>
          <t>Pendiente de adjudicación</t>
        </is>
      </c>
      <c r="B1210" s="3" t="n">
        <v>46302.99930555555</v>
      </c>
      <c r="C1210" s="5" t="n">
        <v>74194.21000000001</v>
      </c>
      <c r="D1210" s="5" t="n">
        <v>74194.21000000001</v>
      </c>
      <c r="E1210" s="2" t="inlineStr">
        <is>
          <t>Andalucía</t>
        </is>
      </c>
      <c r="F1210" s="2" t="inlineStr">
        <is>
          <t>Almería</t>
        </is>
      </c>
      <c r="G1210" s="2" t="n"/>
      <c r="H1210" s="2" t="inlineStr">
        <is>
          <t>Junta de Gobierno de la Diputación Provincial de Almería</t>
        </is>
      </c>
      <c r="I1210" s="2" t="inlineStr">
        <is>
          <t>Caminos Municipales, Chirivel 31PCAM24-27BII</t>
        </is>
      </c>
      <c r="J1210" s="2" t="inlineStr">
        <is>
          <t>2025/D31000/006-013/00184</t>
        </is>
      </c>
      <c r="K1210" s="2" t="inlineStr">
        <is>
          <t>Abierto simplificado</t>
        </is>
      </c>
      <c r="L1210" s="6" t="n">
        <v>1.2</v>
      </c>
      <c r="M1210" s="2" t="n"/>
      <c r="N1210" s="7" t="n">
        <v>0.25</v>
      </c>
      <c r="O1210" s="4" t="n"/>
      <c r="P1210" s="2" t="inlineStr">
        <is>
          <t>45233222</t>
        </is>
      </c>
      <c r="Q1210" s="8" t="inlineStr">
        <is>
          <t>Ver</t>
        </is>
      </c>
      <c r="R1210" s="8" t="inlineStr">
        <is>
          <t>PCAP</t>
        </is>
      </c>
      <c r="S1210" s="9" t="n">
        <v>46315</v>
      </c>
      <c r="T1210" s="3" t="n">
        <v>46314.49546296296</v>
      </c>
      <c r="U1210" s="2" t="n"/>
    </row>
    <row r="1211">
      <c r="A1211" s="2" t="inlineStr">
        <is>
          <t>Pendiente de adjudicación</t>
        </is>
      </c>
      <c r="B1211" s="3" t="n">
        <v>46294.99930555555</v>
      </c>
      <c r="C1211" s="5" t="n">
        <v>306813.22</v>
      </c>
      <c r="D1211" s="5" t="n">
        <v>306813.22</v>
      </c>
      <c r="E1211" s="2" t="inlineStr">
        <is>
          <t>Andalucía</t>
        </is>
      </c>
      <c r="F1211" s="2" t="inlineStr">
        <is>
          <t>Córdoba</t>
        </is>
      </c>
      <c r="G1211" s="2" t="n"/>
      <c r="H1211" s="2" t="inlineStr">
        <is>
          <t>Junta de Gobierno de la Diputación Provincial de Córdoba</t>
        </is>
      </c>
      <c r="I1211" s="2" t="inlineStr">
        <is>
          <t>Contrato de Construcción de espacio deportivo municipal, en Valsequillo (Córdoba). Obra incluida en los Planes provinciales de obras y servicios 2024-2027 (bienio 2026-2027).</t>
        </is>
      </c>
      <c r="J1211" s="2" t="inlineStr">
        <is>
          <t>609/26</t>
        </is>
      </c>
      <c r="K1211" s="2" t="inlineStr">
        <is>
          <t>Abierto</t>
        </is>
      </c>
      <c r="L1211" s="6" t="n">
        <v>10</v>
      </c>
      <c r="M1211" s="2" t="n"/>
      <c r="N1211" s="7" t="n">
        <v>0.25</v>
      </c>
      <c r="O1211" s="4" t="n"/>
      <c r="P1211" s="2" t="inlineStr">
        <is>
          <t>45210000; 45212000</t>
        </is>
      </c>
      <c r="Q1211" s="8" t="inlineStr">
        <is>
          <t>Ver</t>
        </is>
      </c>
      <c r="R1211" s="8" t="inlineStr">
        <is>
          <t>PCAP</t>
        </is>
      </c>
      <c r="S1211" s="9" t="n">
        <v>46310</v>
      </c>
      <c r="T1211" s="3" t="n">
        <v>46314.4953125</v>
      </c>
      <c r="U1211" s="2" t="n"/>
    </row>
    <row r="1212">
      <c r="A1212" s="2" t="inlineStr">
        <is>
          <t>Pendiente de adjudicación</t>
        </is>
      </c>
      <c r="B1212" s="3" t="n">
        <v>46308.99930555555</v>
      </c>
      <c r="C1212" s="5" t="n">
        <v>123966.94</v>
      </c>
      <c r="D1212" s="5" t="n">
        <v>123966.94</v>
      </c>
      <c r="E1212" s="2" t="inlineStr">
        <is>
          <t>Andalucía</t>
        </is>
      </c>
      <c r="F1212" s="2" t="inlineStr">
        <is>
          <t>Almería</t>
        </is>
      </c>
      <c r="G1212" s="2" t="n"/>
      <c r="H1212" s="2" t="inlineStr">
        <is>
          <t>Junta de Gobierno de la Diputación Provincial de Almería</t>
        </is>
      </c>
      <c r="I1212" s="2" t="inlineStr">
        <is>
          <t>Pavimentación De Calles En El Núcleo Urbano De Albox (almería) 15PG2026</t>
        </is>
      </c>
      <c r="J1212" s="2" t="inlineStr">
        <is>
          <t>2026/D31000/006-013/00026</t>
        </is>
      </c>
      <c r="K1212" s="2" t="inlineStr">
        <is>
          <t>Abierto simplificado</t>
        </is>
      </c>
      <c r="L1212" s="6" t="n">
        <v>0.5</v>
      </c>
      <c r="M1212" s="2" t="n"/>
      <c r="N1212" s="7" t="n">
        <v>0.25</v>
      </c>
      <c r="O1212" s="4" t="n"/>
      <c r="P1212" s="2" t="inlineStr">
        <is>
          <t>45233200</t>
        </is>
      </c>
      <c r="Q1212" s="8" t="inlineStr">
        <is>
          <t>Ver</t>
        </is>
      </c>
      <c r="R1212" s="8" t="inlineStr">
        <is>
          <t>PCAP</t>
        </is>
      </c>
      <c r="S1212" s="9" t="n">
        <v>46315</v>
      </c>
      <c r="T1212" s="3" t="n">
        <v>46314.49365740741</v>
      </c>
      <c r="U1212" s="2" t="n"/>
    </row>
    <row r="1213">
      <c r="A1213" s="2" t="inlineStr">
        <is>
          <t>Pendiente de adjudicación</t>
        </is>
      </c>
      <c r="B1213" s="3" t="n">
        <v>46308.99930555555</v>
      </c>
      <c r="C1213" s="5" t="n">
        <v>130165.29</v>
      </c>
      <c r="D1213" s="5" t="n">
        <v>130165.29</v>
      </c>
      <c r="E1213" s="2" t="inlineStr">
        <is>
          <t>Andalucía</t>
        </is>
      </c>
      <c r="F1213" s="2" t="inlineStr">
        <is>
          <t>Almería</t>
        </is>
      </c>
      <c r="G1213" s="2" t="n"/>
      <c r="H1213" s="2" t="inlineStr">
        <is>
          <t>Junta de Gobierno de la Diputación Provincial de Almería</t>
        </is>
      </c>
      <c r="I1213" s="2" t="inlineStr">
        <is>
          <t>Renovación De Red De Abastecimiento De Agua Y Contadores En Santa Cruz De Marchena 40PPOS24-27BI</t>
        </is>
      </c>
      <c r="J1213" s="2" t="inlineStr">
        <is>
          <t>2025/D31000/006-013/00039</t>
        </is>
      </c>
      <c r="K1213" s="2" t="inlineStr">
        <is>
          <t>Abierto simplificado</t>
        </is>
      </c>
      <c r="L1213" s="6" t="n">
        <v>4</v>
      </c>
      <c r="M1213" s="2" t="n"/>
      <c r="N1213" s="7" t="n">
        <v>0.25</v>
      </c>
      <c r="O1213" s="4" t="n"/>
      <c r="P1213" s="2" t="inlineStr">
        <is>
          <t>45232150</t>
        </is>
      </c>
      <c r="Q1213" s="8" t="inlineStr">
        <is>
          <t>Ver</t>
        </is>
      </c>
      <c r="R1213" s="8" t="inlineStr">
        <is>
          <t>PCAP</t>
        </is>
      </c>
      <c r="S1213" s="9" t="n">
        <v>46315</v>
      </c>
      <c r="T1213" s="3" t="n">
        <v>46314.4928125</v>
      </c>
      <c r="U1213" s="2" t="n"/>
    </row>
    <row r="1214">
      <c r="A1214" s="2" t="inlineStr">
        <is>
          <t>Pendiente de adjudicación</t>
        </is>
      </c>
      <c r="B1214" s="3" t="n">
        <v>46308.99930555555</v>
      </c>
      <c r="C1214" s="5" t="n">
        <v>427768.6</v>
      </c>
      <c r="D1214" s="5" t="n">
        <v>427768.6</v>
      </c>
      <c r="E1214" s="2" t="inlineStr">
        <is>
          <t>Andalucía</t>
        </is>
      </c>
      <c r="F1214" s="2" t="inlineStr">
        <is>
          <t>Almería</t>
        </is>
      </c>
      <c r="G1214" s="2" t="n"/>
      <c r="H1214" s="2" t="inlineStr">
        <is>
          <t>Junta de Gobierno de la Diputación Provincial de Almería</t>
        </is>
      </c>
      <c r="I1214" s="2" t="inlineStr">
        <is>
          <t>Pavimentaciones Y Mejoras De Espacios Públicos En Fines 49PPOS24-27BI</t>
        </is>
      </c>
      <c r="J1214" s="2" t="inlineStr">
        <is>
          <t>2025/D31000/006-013/00083</t>
        </is>
      </c>
      <c r="K1214" s="2" t="inlineStr">
        <is>
          <t>Abierto simplificado</t>
        </is>
      </c>
      <c r="L1214" s="6" t="n">
        <v>6</v>
      </c>
      <c r="M1214" s="2" t="n"/>
      <c r="N1214" s="7" t="n">
        <v>0.25</v>
      </c>
      <c r="O1214" s="4" t="n"/>
      <c r="P1214" s="2" t="inlineStr">
        <is>
          <t>45233200</t>
        </is>
      </c>
      <c r="Q1214" s="8" t="inlineStr">
        <is>
          <t>Ver</t>
        </is>
      </c>
      <c r="R1214" s="8" t="inlineStr">
        <is>
          <t>PCAP</t>
        </is>
      </c>
      <c r="S1214" s="9" t="n">
        <v>46315</v>
      </c>
      <c r="T1214" s="3" t="n">
        <v>46314.49201388889</v>
      </c>
      <c r="U1214" s="2" t="n"/>
    </row>
    <row r="1215">
      <c r="A1215" s="2" t="inlineStr">
        <is>
          <t>Adjudicada</t>
        </is>
      </c>
      <c r="B1215" s="3" t="n">
        <v>46258.99930555555</v>
      </c>
      <c r="C1215" s="5" t="n">
        <v>206611.57</v>
      </c>
      <c r="D1215" s="5" t="n">
        <v>206611.57</v>
      </c>
      <c r="E1215" s="2" t="inlineStr">
        <is>
          <t>Andalucía</t>
        </is>
      </c>
      <c r="F1215" s="2" t="inlineStr">
        <is>
          <t>Cádiz</t>
        </is>
      </c>
      <c r="G1215" s="2" t="n"/>
      <c r="H1215" s="2" t="inlineStr">
        <is>
          <t>Junta de Gobierno del Ayuntamiento de Espera</t>
        </is>
      </c>
      <c r="I1215" s="2" t="inlineStr">
        <is>
          <t>Obras de urbanización y sustitución de nichos en el recinto del Cementerio Municipal del municipio de Espera</t>
        </is>
      </c>
      <c r="J1215" s="2" t="inlineStr">
        <is>
          <t>2026/ASI_08/000001</t>
        </is>
      </c>
      <c r="K1215" s="2" t="inlineStr">
        <is>
          <t>Abierto simplificado</t>
        </is>
      </c>
      <c r="L1215" s="6" t="n">
        <v>9</v>
      </c>
      <c r="M1215" s="2" t="n"/>
      <c r="N1215" s="7" t="n">
        <v>0</v>
      </c>
      <c r="O1215" s="4" t="n"/>
      <c r="P1215" s="2" t="inlineStr">
        <is>
          <t>45000000</t>
        </is>
      </c>
      <c r="Q1215" s="8" t="inlineStr">
        <is>
          <t>Ver</t>
        </is>
      </c>
      <c r="R1215" s="8" t="inlineStr">
        <is>
          <t>PCAP</t>
        </is>
      </c>
      <c r="S1215" s="9" t="n">
        <v>46315</v>
      </c>
      <c r="T1215" s="3" t="n">
        <v>46314.49054398148</v>
      </c>
      <c r="U1215" s="2" t="n"/>
    </row>
    <row r="1216">
      <c r="A1216" s="2" t="inlineStr">
        <is>
          <t>Pendiente de adjudicación</t>
        </is>
      </c>
      <c r="B1216" s="3" t="n">
        <v>46301.99930555555</v>
      </c>
      <c r="C1216" s="5" t="n">
        <v>289256.2</v>
      </c>
      <c r="D1216" s="5" t="n">
        <v>289256.2</v>
      </c>
      <c r="E1216" s="2" t="inlineStr">
        <is>
          <t>Andalucía</t>
        </is>
      </c>
      <c r="F1216" s="2" t="inlineStr">
        <is>
          <t>Córdoba</t>
        </is>
      </c>
      <c r="G1216" s="2" t="n"/>
      <c r="H1216" s="2" t="inlineStr">
        <is>
          <t>Diputada delegada de Presidencia, Gobierno Interior y Vivienda</t>
        </is>
      </c>
      <c r="I1216" s="2" t="inlineStr">
        <is>
          <t>Contratación de las obras de Nueva sede local del Instituto Provincial de Bienestar Social, 1ª fase, en Peñarroya-Pueblonuevo (Córdoba)</t>
        </is>
      </c>
      <c r="J1216" s="2" t="inlineStr">
        <is>
          <t>712/26</t>
        </is>
      </c>
      <c r="K1216" s="2" t="inlineStr">
        <is>
          <t>Abierto</t>
        </is>
      </c>
      <c r="L1216" s="6" t="n">
        <v>8</v>
      </c>
      <c r="M1216" s="2" t="n"/>
      <c r="N1216" s="7" t="n">
        <v>0.25</v>
      </c>
      <c r="O1216" s="4" t="n"/>
      <c r="P1216" s="2" t="inlineStr">
        <is>
          <t>45000000</t>
        </is>
      </c>
      <c r="Q1216" s="8" t="inlineStr">
        <is>
          <t>Ver</t>
        </is>
      </c>
      <c r="R1216" s="8" t="inlineStr">
        <is>
          <t>PCAP</t>
        </is>
      </c>
      <c r="S1216" s="9" t="n">
        <v>46315</v>
      </c>
      <c r="T1216" s="3" t="n">
        <v>46314.48498842592</v>
      </c>
      <c r="U1216" s="2" t="n"/>
    </row>
    <row r="1217">
      <c r="A1217" s="2" t="inlineStr">
        <is>
          <t>Pendiente de adjudicación</t>
        </is>
      </c>
      <c r="B1217" s="3" t="n">
        <v>46274.99930555555</v>
      </c>
      <c r="C1217" s="5" t="n">
        <v>577242.79</v>
      </c>
      <c r="D1217" s="5" t="n">
        <v>577242.79</v>
      </c>
      <c r="E1217" s="2" t="inlineStr">
        <is>
          <t>Andalucía</t>
        </is>
      </c>
      <c r="F1217" s="2" t="inlineStr">
        <is>
          <t>Almería</t>
        </is>
      </c>
      <c r="G1217" s="2" t="n"/>
      <c r="H1217" s="2" t="inlineStr">
        <is>
          <t>Junta de Gobierno de la Diputación Provincial de Almería</t>
        </is>
      </c>
      <c r="I1217" s="2" t="inlineStr">
        <is>
          <t>Urbanización De Calles En Adra 95PPOS24-27BI</t>
        </is>
      </c>
      <c r="J1217" s="2" t="inlineStr">
        <is>
          <t>2026/D31000/006-013/00025</t>
        </is>
      </c>
      <c r="K1217" s="2" t="inlineStr">
        <is>
          <t>Abierto simplificado</t>
        </is>
      </c>
      <c r="L1217" s="6" t="n">
        <v>4</v>
      </c>
      <c r="M1217" s="2" t="inlineStr">
        <is>
          <t>G6-2; G4-2</t>
        </is>
      </c>
      <c r="N1217" s="7" t="n">
        <v>0.25</v>
      </c>
      <c r="O1217" s="4" t="n"/>
      <c r="P1217" s="2" t="inlineStr">
        <is>
          <t>45233252</t>
        </is>
      </c>
      <c r="Q1217" s="8" t="inlineStr">
        <is>
          <t>Ver</t>
        </is>
      </c>
      <c r="R1217" s="8" t="inlineStr">
        <is>
          <t>PCAP</t>
        </is>
      </c>
      <c r="S1217" s="9" t="n">
        <v>46315</v>
      </c>
      <c r="T1217" s="3" t="n">
        <v>46314.48453703704</v>
      </c>
      <c r="U1217" s="2" t="n"/>
    </row>
    <row r="1218">
      <c r="A1218" s="2" t="inlineStr">
        <is>
          <t>Pendiente de adjudicación</t>
        </is>
      </c>
      <c r="B1218" s="3" t="n">
        <v>46259.99930555555</v>
      </c>
      <c r="C1218" s="5" t="n">
        <v>2314049.59</v>
      </c>
      <c r="D1218" s="5" t="n">
        <v>2314049.59</v>
      </c>
      <c r="E1218" s="2" t="inlineStr">
        <is>
          <t>Andalucía</t>
        </is>
      </c>
      <c r="F1218" s="2" t="inlineStr">
        <is>
          <t>Almería</t>
        </is>
      </c>
      <c r="G1218" s="2" t="n"/>
      <c r="H1218" s="2" t="inlineStr">
        <is>
          <t>Junta de Gobierno de la Diputación Provincial de Almería</t>
        </is>
      </c>
      <c r="I1218" s="2" t="inlineStr">
        <is>
          <t>Adecuación Y Mejora Del Parque-paseo Virgen Del Socorro En Tíjola. Este Proyecto Podrá Ser Cofinanciado Por La Unión Europea A Través Del Fondo Europeo De Desarrollo Regional (feder) En El Marco Del P 9PAI-ALMANZORA30</t>
        </is>
      </c>
      <c r="J1218" s="2" t="inlineStr">
        <is>
          <t>2026/D31000/006-002/00003</t>
        </is>
      </c>
      <c r="K1218" s="2" t="inlineStr">
        <is>
          <t>Abierto</t>
        </is>
      </c>
      <c r="L1218" s="6" t="n">
        <v>20</v>
      </c>
      <c r="M1218" s="2" t="inlineStr">
        <is>
          <t>C2-4</t>
        </is>
      </c>
      <c r="N1218" s="7" t="n">
        <v>0.25</v>
      </c>
      <c r="O1218" s="4" t="n"/>
      <c r="P1218" s="2" t="inlineStr">
        <is>
          <t>45223500</t>
        </is>
      </c>
      <c r="Q1218" s="8" t="inlineStr">
        <is>
          <t>Ver</t>
        </is>
      </c>
      <c r="R1218" s="8" t="inlineStr">
        <is>
          <t>PCAP</t>
        </is>
      </c>
      <c r="S1218" s="9" t="n">
        <v>46315</v>
      </c>
      <c r="T1218" s="3" t="n">
        <v>46314.4828125</v>
      </c>
      <c r="U1218" s="2" t="n"/>
    </row>
    <row r="1219">
      <c r="A1219" s="2" t="inlineStr">
        <is>
          <t>En plazo</t>
        </is>
      </c>
      <c r="B1219" s="3" t="n">
        <v>46334.99930555555</v>
      </c>
      <c r="C1219" s="5" t="n">
        <v>192497.98</v>
      </c>
      <c r="D1219" s="5" t="n">
        <v>192497.98</v>
      </c>
      <c r="E1219" s="2" t="inlineStr">
        <is>
          <t>Comunitat Valenciana</t>
        </is>
      </c>
      <c r="F1219" s="2" t="inlineStr">
        <is>
          <t>Valencia</t>
        </is>
      </c>
      <c r="G1219" s="2" t="inlineStr">
        <is>
          <t>MONCADA</t>
        </is>
      </c>
      <c r="H1219" s="2" t="inlineStr">
        <is>
          <t>Junta de Gobierno del Ajuntament de Moncada</t>
        </is>
      </c>
      <c r="I1219" s="2" t="inlineStr">
        <is>
          <t>Contratación de las obras: Sustitución del sistema de climatización y ventilación en el Edificio Social Pouacho, en el Marco del Plan Abierto de Inversiones de la Diputación de Valencia 2024-2027.</t>
        </is>
      </c>
      <c r="J1219" s="2" t="inlineStr">
        <is>
          <t>2715465E Climatización y Ventilación Pouacho</t>
        </is>
      </c>
      <c r="K1219" s="2" t="inlineStr">
        <is>
          <t>Abierto simplificado</t>
        </is>
      </c>
      <c r="L1219" s="6" t="n">
        <v>2</v>
      </c>
      <c r="M1219" s="2" t="n"/>
      <c r="N1219" s="7" t="n">
        <v>0</v>
      </c>
      <c r="O1219" s="4" t="n"/>
      <c r="P1219" s="2" t="inlineStr">
        <is>
          <t>45331000; 45331200</t>
        </is>
      </c>
      <c r="Q1219" s="8" t="inlineStr">
        <is>
          <t>Ver</t>
        </is>
      </c>
      <c r="R1219" s="8" t="inlineStr">
        <is>
          <t>PCAP</t>
        </is>
      </c>
      <c r="S1219" s="9" t="n">
        <v>46315</v>
      </c>
      <c r="T1219" s="3" t="n">
        <v>46314.47980324074</v>
      </c>
      <c r="U1219" s="2" t="n"/>
    </row>
    <row r="1220">
      <c r="A1220" s="2" t="inlineStr">
        <is>
          <t>Resuelta</t>
        </is>
      </c>
      <c r="B1220" s="3" t="n">
        <v>46216.99930555555</v>
      </c>
      <c r="C1220" s="5" t="n">
        <v>17678</v>
      </c>
      <c r="D1220" s="5" t="n">
        <v>17678</v>
      </c>
      <c r="E1220" s="2" t="inlineStr">
        <is>
          <t>Comunitat Valenciana</t>
        </is>
      </c>
      <c r="F1220" s="2" t="inlineStr">
        <is>
          <t>Valencia</t>
        </is>
      </c>
      <c r="G1220" s="2" t="n"/>
      <c r="H1220" s="2" t="inlineStr">
        <is>
          <t>Junta de Gobierno del Ayuntamiento de Llosa de Ranes</t>
        </is>
      </c>
      <c r="I1220" s="2" t="inlineStr">
        <is>
          <t>Sustitución de placas acs y intalacion actual de acs en pabellon municipal de La Llosa de Ranes por equipos de aerotermia, para la producción de agua caliente sanitaria</t>
        </is>
      </c>
      <c r="J1220" s="2" t="inlineStr">
        <is>
          <t>139/2026</t>
        </is>
      </c>
      <c r="K1220" s="2" t="inlineStr">
        <is>
          <t>Abierto</t>
        </is>
      </c>
      <c r="L1220" s="6" t="n">
        <v>3</v>
      </c>
      <c r="M1220" s="2" t="n"/>
      <c r="N1220" s="7" t="n">
        <v>0</v>
      </c>
      <c r="O1220" s="4" t="n"/>
      <c r="P1220" s="2" t="inlineStr">
        <is>
          <t>45331000; 39715000</t>
        </is>
      </c>
      <c r="Q1220" s="8" t="inlineStr">
        <is>
          <t>Ver</t>
        </is>
      </c>
      <c r="R1220" s="8" t="inlineStr">
        <is>
          <t>PCAP</t>
        </is>
      </c>
      <c r="S1220" s="9" t="n">
        <v>46315</v>
      </c>
      <c r="T1220" s="3" t="n">
        <v>46314.47861111111</v>
      </c>
      <c r="U1220" s="2" t="n"/>
    </row>
    <row r="1221">
      <c r="A1221" s="2" t="inlineStr">
        <is>
          <t>Resuelta</t>
        </is>
      </c>
      <c r="B1221" s="3" t="n">
        <v>46216.99930555555</v>
      </c>
      <c r="C1221" s="5" t="n">
        <v>4640484.65</v>
      </c>
      <c r="D1221" s="5" t="n">
        <v>4640484.65</v>
      </c>
      <c r="E1221" s="2" t="inlineStr">
        <is>
          <t>Comunitat Valenciana</t>
        </is>
      </c>
      <c r="F1221" s="2" t="inlineStr">
        <is>
          <t>Valencia</t>
        </is>
      </c>
      <c r="G1221" s="2" t="n"/>
      <c r="H1221" s="2" t="inlineStr">
        <is>
          <t>Pleno del Ayuntamiento de Godelleta</t>
        </is>
      </c>
      <c r="I1221" s="2" t="inlineStr">
        <is>
          <t>Redacción del proyecto de ejecución y del estudio de seguridad y salud, así como la ejecución material de las obras de reposición y adecuación de puntos singulares y caminos Fase 1 en Godelleta, daños DANA 2024</t>
        </is>
      </c>
      <c r="J1221" s="2" t="inlineStr">
        <is>
          <t>551/2026</t>
        </is>
      </c>
      <c r="K1221" s="2" t="inlineStr">
        <is>
          <t>Abierto</t>
        </is>
      </c>
      <c r="L1221" s="6" t="n">
        <v>8</v>
      </c>
      <c r="M1221" s="2" t="n"/>
      <c r="N1221" s="7" t="n">
        <v>0.4</v>
      </c>
      <c r="O1221" s="4" t="n">
        <v>3</v>
      </c>
      <c r="P1221" s="2" t="inlineStr">
        <is>
          <t>45233140; 71000000; 45233141; 45233142</t>
        </is>
      </c>
      <c r="Q1221" s="8" t="inlineStr">
        <is>
          <t>Ver</t>
        </is>
      </c>
      <c r="R1221" s="8" t="inlineStr">
        <is>
          <t>PCAP</t>
        </is>
      </c>
      <c r="S1221" s="9" t="n">
        <v>46315</v>
      </c>
      <c r="T1221" s="3" t="n">
        <v>46314.4765625</v>
      </c>
      <c r="U1221" s="2" t="n"/>
    </row>
    <row r="1222">
      <c r="A1222" s="2" t="inlineStr">
        <is>
          <t>Plazo vencido</t>
        </is>
      </c>
      <c r="B1222" s="3" t="n">
        <v>46316.99930555555</v>
      </c>
      <c r="C1222" s="5" t="n">
        <v>43050.83</v>
      </c>
      <c r="D1222" s="5" t="n">
        <v>43050.83</v>
      </c>
      <c r="E1222" s="2" t="inlineStr">
        <is>
          <t>Andalucía</t>
        </is>
      </c>
      <c r="F1222" s="2" t="inlineStr">
        <is>
          <t>Granada</t>
        </is>
      </c>
      <c r="G1222" s="2" t="n"/>
      <c r="H1222" s="2" t="inlineStr">
        <is>
          <t>Junta de Gobierno del Ayuntamiento de Huétor Vega</t>
        </is>
      </c>
      <c r="I1222" s="2" t="inlineStr">
        <is>
          <t>Ejecución de las obras correspondientes en Reforma y adaptación de la Piscina Municipal para su apertura Fase 3</t>
        </is>
      </c>
      <c r="J1222" s="2" t="inlineStr">
        <is>
          <t>4887-2026</t>
        </is>
      </c>
      <c r="K1222" s="2" t="inlineStr">
        <is>
          <t>Abierto simplificado</t>
        </is>
      </c>
      <c r="L1222" s="6" t="n">
        <v>2</v>
      </c>
      <c r="M1222" s="2" t="n"/>
      <c r="N1222" s="7" t="n">
        <v>0</v>
      </c>
      <c r="O1222" s="4" t="n"/>
      <c r="P1222" s="2" t="inlineStr">
        <is>
          <t>45421146; 22459100; 34928470; 45310000</t>
        </is>
      </c>
      <c r="Q1222" s="8" t="inlineStr">
        <is>
          <t>Ver</t>
        </is>
      </c>
      <c r="R1222" s="8" t="inlineStr">
        <is>
          <t>PCAP</t>
        </is>
      </c>
      <c r="S1222" s="9" t="n">
        <v>46315</v>
      </c>
      <c r="T1222" s="3" t="n">
        <v>46314.46380787037</v>
      </c>
      <c r="U1222" s="2" t="n"/>
    </row>
    <row r="1223">
      <c r="A1223" s="2" t="inlineStr">
        <is>
          <t>En plazo</t>
        </is>
      </c>
      <c r="B1223" s="3" t="n">
        <v>46335.58333333334</v>
      </c>
      <c r="C1223" s="5" t="n">
        <v>185331.86</v>
      </c>
      <c r="D1223" s="5" t="n">
        <v>185331.86</v>
      </c>
      <c r="E1223" s="2" t="inlineStr">
        <is>
          <t>Comunitat Valenciana</t>
        </is>
      </c>
      <c r="F1223" s="2" t="inlineStr">
        <is>
          <t>Alicante</t>
        </is>
      </c>
      <c r="G1223" s="2" t="n"/>
      <c r="H1223" s="2" t="inlineStr">
        <is>
          <t>Rectorado de la Universidad Miguel Hernández de Elche</t>
        </is>
      </c>
      <c r="I1223" s="2" t="inlineStr">
        <is>
          <t>Obras de ejecución de nueva red de agua potable en el Campus de Orihuela, Sede Desamparados, de la UMH.</t>
        </is>
      </c>
      <c r="J1223" s="2" t="inlineStr">
        <is>
          <t>2026_042</t>
        </is>
      </c>
      <c r="K1223" s="2" t="inlineStr">
        <is>
          <t>Abierto simplificado</t>
        </is>
      </c>
      <c r="L1223" s="6" t="n">
        <v>3</v>
      </c>
      <c r="M1223" s="2" t="n"/>
      <c r="N1223" s="7" t="n">
        <v>0</v>
      </c>
      <c r="O1223" s="4" t="n"/>
      <c r="P1223" s="2" t="inlineStr">
        <is>
          <t>45232150; 45232120</t>
        </is>
      </c>
      <c r="Q1223" s="8" t="inlineStr">
        <is>
          <t>Ver</t>
        </is>
      </c>
      <c r="R1223" s="8" t="inlineStr">
        <is>
          <t>PCAP</t>
        </is>
      </c>
      <c r="S1223" s="9" t="n">
        <v>46315</v>
      </c>
      <c r="T1223" s="3" t="n">
        <v>46314.46240740741</v>
      </c>
      <c r="U1223" s="2" t="n"/>
    </row>
    <row r="1224">
      <c r="A1224" s="2" t="inlineStr">
        <is>
          <t>Pendiente de adjudicación</t>
        </is>
      </c>
      <c r="B1224" s="3" t="n">
        <v>46296.54166666666</v>
      </c>
      <c r="C1224" s="5" t="n">
        <v>237163.01</v>
      </c>
      <c r="D1224" s="5" t="n">
        <v>237163.01</v>
      </c>
      <c r="E1224" s="2" t="inlineStr">
        <is>
          <t>Comunitat Valenciana</t>
        </is>
      </c>
      <c r="F1224" s="2" t="inlineStr">
        <is>
          <t>Alicante</t>
        </is>
      </c>
      <c r="G1224" s="2" t="inlineStr">
        <is>
          <t>Monforte del Cid</t>
        </is>
      </c>
      <c r="H1224" s="2" t="inlineStr">
        <is>
          <t>Junta de Gobierno del Ayuntamiento de Monforte del Cid</t>
        </is>
      </c>
      <c r="I1224"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1224" s="2" t="inlineStr">
        <is>
          <t>2047/2026 Reurbanización acceso San Roque</t>
        </is>
      </c>
      <c r="K1224" s="2" t="inlineStr">
        <is>
          <t>Abierto simplificado</t>
        </is>
      </c>
      <c r="L1224" s="6" t="n">
        <v>4</v>
      </c>
      <c r="M1224" s="2" t="n"/>
      <c r="N1224" s="7" t="n">
        <v>0</v>
      </c>
      <c r="O1224" s="4" t="n"/>
      <c r="P1224" s="2" t="inlineStr">
        <is>
          <t>45000000; 45316100; 45233260; 45232150; 45233252</t>
        </is>
      </c>
      <c r="Q1224" s="8" t="inlineStr">
        <is>
          <t>Ver</t>
        </is>
      </c>
      <c r="R1224" s="8" t="inlineStr">
        <is>
          <t>PCAP</t>
        </is>
      </c>
      <c r="S1224" s="9" t="n">
        <v>46310</v>
      </c>
      <c r="T1224" s="3" t="n">
        <v>46314.45927083334</v>
      </c>
      <c r="U1224" s="2" t="n"/>
    </row>
    <row r="1225">
      <c r="A1225" s="2" t="inlineStr">
        <is>
          <t>Resuelta</t>
        </is>
      </c>
      <c r="B1225" s="3" t="n">
        <v>46252.41666666666</v>
      </c>
      <c r="C1225" s="5" t="n">
        <v>39000</v>
      </c>
      <c r="D1225" s="5" t="n">
        <v>39000</v>
      </c>
      <c r="E1225" s="2" t="inlineStr">
        <is>
          <t>Andalucía</t>
        </is>
      </c>
      <c r="F1225" s="2" t="inlineStr">
        <is>
          <t>Huelva</t>
        </is>
      </c>
      <c r="G1225" s="2" t="n"/>
      <c r="H1225" s="2" t="inlineStr">
        <is>
          <t>Empresa de Transformación Agraria S.A.,S.M.E., M.P., (TRAGSA)</t>
        </is>
      </c>
      <c r="I122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225" s="2" t="inlineStr">
        <is>
          <t>TSA0080057-219</t>
        </is>
      </c>
      <c r="K1225" s="2" t="inlineStr">
        <is>
          <t>Abierto</t>
        </is>
      </c>
      <c r="L1225" s="6" t="n">
        <v>7</v>
      </c>
      <c r="M1225" s="2" t="n"/>
      <c r="N1225" s="7" t="n">
        <v>0</v>
      </c>
      <c r="O1225" s="4" t="n"/>
      <c r="P1225" s="2" t="inlineStr">
        <is>
          <t>45500000</t>
        </is>
      </c>
      <c r="Q1225" s="8" t="inlineStr">
        <is>
          <t>Ver</t>
        </is>
      </c>
      <c r="R1225" s="8" t="inlineStr">
        <is>
          <t>PCAP</t>
        </is>
      </c>
      <c r="S1225" s="9" t="n">
        <v>46315</v>
      </c>
      <c r="T1225" s="3" t="n">
        <v>46314.45805555556</v>
      </c>
      <c r="U1225" s="2" t="n"/>
    </row>
    <row r="1226">
      <c r="A1226" s="2" t="inlineStr">
        <is>
          <t>Resuelta</t>
        </is>
      </c>
      <c r="B1226" s="3" t="n">
        <v>46252.41666666666</v>
      </c>
      <c r="C1226" s="5" t="n">
        <v>39000</v>
      </c>
      <c r="D1226" s="5" t="n">
        <v>39000</v>
      </c>
      <c r="E1226" s="2" t="inlineStr">
        <is>
          <t>Andalucía</t>
        </is>
      </c>
      <c r="F1226" s="2" t="inlineStr">
        <is>
          <t>Huelva</t>
        </is>
      </c>
      <c r="G1226" s="2" t="n"/>
      <c r="H1226" s="2" t="inlineStr">
        <is>
          <t>Empresa de Transformación Agraria S.A.,S.M.E., M.P., (TRAGSA)</t>
        </is>
      </c>
      <c r="I122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226" s="2" t="inlineStr">
        <is>
          <t>TSA0080057-218</t>
        </is>
      </c>
      <c r="K1226" s="2" t="inlineStr">
        <is>
          <t>Abierto</t>
        </is>
      </c>
      <c r="L1226" s="6" t="n">
        <v>7</v>
      </c>
      <c r="M1226" s="2" t="n"/>
      <c r="N1226" s="7" t="n">
        <v>0</v>
      </c>
      <c r="O1226" s="4" t="n"/>
      <c r="P1226" s="2" t="inlineStr">
        <is>
          <t>45500000</t>
        </is>
      </c>
      <c r="Q1226" s="8" t="inlineStr">
        <is>
          <t>Ver</t>
        </is>
      </c>
      <c r="R1226" s="8" t="inlineStr">
        <is>
          <t>PCAP</t>
        </is>
      </c>
      <c r="S1226" s="9" t="n">
        <v>46315</v>
      </c>
      <c r="T1226" s="3" t="n">
        <v>46314.45623842593</v>
      </c>
      <c r="U1226" s="2" t="n"/>
    </row>
    <row r="1227">
      <c r="A1227" s="2" t="inlineStr">
        <is>
          <t>Resuelta</t>
        </is>
      </c>
      <c r="B1227" s="3" t="n">
        <v>46286.99930555555</v>
      </c>
      <c r="C1227" s="5" t="n">
        <v>111526.91</v>
      </c>
      <c r="D1227" s="5" t="n">
        <v>111526.91</v>
      </c>
      <c r="E1227" s="2" t="inlineStr">
        <is>
          <t>Comunitat Valenciana</t>
        </is>
      </c>
      <c r="F1227" s="2" t="inlineStr">
        <is>
          <t>Alicante</t>
        </is>
      </c>
      <c r="G1227" s="2" t="n"/>
      <c r="H1227" s="2" t="inlineStr">
        <is>
          <t>Junta de Gobierno del Ayuntamiento de Torrevieja</t>
        </is>
      </c>
      <c r="I1227" s="2" t="inlineStr">
        <is>
          <t>Obras de colocación de nuevo conducto de climatización de la piscina cubierta y ventilación de la sala de calderas.</t>
        </is>
      </c>
      <c r="J1227" s="2" t="inlineStr">
        <is>
          <t>112700/2026</t>
        </is>
      </c>
      <c r="K1227" s="2" t="inlineStr">
        <is>
          <t>Abierto simplificado</t>
        </is>
      </c>
      <c r="L1227" s="6" t="n">
        <v>3</v>
      </c>
      <c r="M1227" s="2" t="n"/>
      <c r="N1227" s="7" t="n">
        <v>0</v>
      </c>
      <c r="O1227" s="4" t="n"/>
      <c r="P1227" s="2" t="inlineStr">
        <is>
          <t>45331200</t>
        </is>
      </c>
      <c r="Q1227" s="8" t="inlineStr">
        <is>
          <t>Ver</t>
        </is>
      </c>
      <c r="R1227" s="8" t="inlineStr">
        <is>
          <t>PCAP</t>
        </is>
      </c>
      <c r="S1227" s="9" t="n">
        <v>46311</v>
      </c>
      <c r="T1227" s="3" t="n">
        <v>46314.45506944445</v>
      </c>
      <c r="U1227" s="2" t="inlineStr">
        <is>
          <t>2026-10-20: estado ADJ → RES</t>
        </is>
      </c>
    </row>
    <row r="1228">
      <c r="A1228" s="2" t="inlineStr">
        <is>
          <t>En plazo</t>
        </is>
      </c>
      <c r="B1228" s="3" t="n">
        <v>46334.99930555555</v>
      </c>
      <c r="C1228" s="5" t="n">
        <v>111674.07</v>
      </c>
      <c r="D1228" s="5" t="n">
        <v>111674.07</v>
      </c>
      <c r="E1228" s="2" t="inlineStr">
        <is>
          <t>Andalucía</t>
        </is>
      </c>
      <c r="F1228" s="2" t="inlineStr">
        <is>
          <t>Córdoba</t>
        </is>
      </c>
      <c r="G1228" s="2" t="inlineStr">
        <is>
          <t>El Carpio (Córdoba)</t>
        </is>
      </c>
      <c r="H1228" s="2" t="inlineStr">
        <is>
          <t>Alcaldía del Ayuntamiento de El Carpio</t>
        </is>
      </c>
      <c r="I1228" s="2" t="inlineStr">
        <is>
          <t>Remodelación integral Calle Cervantes UE-I Subvencionada a través del Plan Provincial Invierte de Reactivación Económica para las Entidades Locales de la provincia de Córdoba (Ejercicio 2025)</t>
        </is>
      </c>
      <c r="J1228" s="2" t="inlineStr">
        <is>
          <t>5362/2026</t>
        </is>
      </c>
      <c r="K1228" s="2" t="inlineStr">
        <is>
          <t>Abierto simplificado</t>
        </is>
      </c>
      <c r="L1228" s="6" t="n">
        <v>4</v>
      </c>
      <c r="M1228" s="2" t="n"/>
      <c r="N1228" s="7" t="n">
        <v>0</v>
      </c>
      <c r="O1228" s="4" t="n"/>
      <c r="P1228" s="2" t="inlineStr">
        <is>
          <t>45000000</t>
        </is>
      </c>
      <c r="Q1228" s="8" t="inlineStr">
        <is>
          <t>Ver</t>
        </is>
      </c>
      <c r="R1228" s="8" t="inlineStr">
        <is>
          <t>PCAP</t>
        </is>
      </c>
      <c r="S1228" s="9" t="n">
        <v>46315</v>
      </c>
      <c r="T1228" s="3" t="n">
        <v>46314.45474537037</v>
      </c>
      <c r="U1228" s="2" t="n"/>
    </row>
    <row r="1229">
      <c r="A1229" s="2" t="inlineStr">
        <is>
          <t>Pendiente de adjudicación</t>
        </is>
      </c>
      <c r="B1229" s="3" t="n">
        <v>46272.79166666666</v>
      </c>
      <c r="C1229" s="5" t="n">
        <v>162276.35</v>
      </c>
      <c r="D1229" s="5" t="n">
        <v>194731.62</v>
      </c>
      <c r="E1229" s="2" t="inlineStr">
        <is>
          <t>Andalucía</t>
        </is>
      </c>
      <c r="F1229" s="2" t="inlineStr">
        <is>
          <t>Sevilla</t>
        </is>
      </c>
      <c r="G1229" s="2" t="inlineStr">
        <is>
          <t>Olivares</t>
        </is>
      </c>
      <c r="H1229" s="2" t="inlineStr">
        <is>
          <t>Gerencia de la Empresa Mancomunada del Aljarafe, S.A. (ALJARAFESA)</t>
        </is>
      </c>
      <c r="I1229" s="2" t="inlineStr">
        <is>
          <t>Montaje de la Infraestructura Hidráulica en las Calles Los Sotillos, Cristóbal Colón y Virgen del Álamo. Olivares (Sevilla)</t>
        </is>
      </c>
      <c r="J1229" s="2" t="inlineStr">
        <is>
          <t>PAA/165/2026</t>
        </is>
      </c>
      <c r="K1229" s="2" t="inlineStr">
        <is>
          <t>Abierto</t>
        </is>
      </c>
      <c r="L1229" s="6" t="n">
        <v>8</v>
      </c>
      <c r="M1229" s="2" t="inlineStr">
        <is>
          <t>E1-2</t>
        </is>
      </c>
      <c r="N1229" s="7" t="n">
        <v>0</v>
      </c>
      <c r="O1229" s="4" t="n"/>
      <c r="P1229" s="2" t="inlineStr">
        <is>
          <t>45231300</t>
        </is>
      </c>
      <c r="Q1229" s="8" t="inlineStr">
        <is>
          <t>Ver</t>
        </is>
      </c>
      <c r="R1229" s="8" t="inlineStr">
        <is>
          <t>PCAP</t>
        </is>
      </c>
      <c r="S1229" s="9" t="n">
        <v>46315</v>
      </c>
      <c r="T1229" s="3" t="n">
        <v>46314.45459490741</v>
      </c>
      <c r="U1229" s="2" t="n"/>
    </row>
    <row r="1230">
      <c r="A1230" s="2" t="inlineStr">
        <is>
          <t>Resuelta</t>
        </is>
      </c>
      <c r="B1230" s="3" t="n">
        <v>46293.99930555555</v>
      </c>
      <c r="C1230" s="5" t="n">
        <v>403351.14</v>
      </c>
      <c r="D1230" s="5" t="n">
        <v>403351.14</v>
      </c>
      <c r="E1230" s="2" t="inlineStr">
        <is>
          <t>Andalucía</t>
        </is>
      </c>
      <c r="F1230" s="2" t="inlineStr">
        <is>
          <t>Cádiz</t>
        </is>
      </c>
      <c r="G1230" s="2" t="n"/>
      <c r="H1230" s="2" t="inlineStr">
        <is>
          <t>Alcaldía del Ayuntamiento de San Martín del Tesorillo</t>
        </is>
      </c>
      <c r="I1230" s="2" t="inlineStr">
        <is>
          <t>Edificio Multiusos Calle San José, 3</t>
        </is>
      </c>
      <c r="J1230" s="2" t="inlineStr">
        <is>
          <t>465/2026</t>
        </is>
      </c>
      <c r="K1230" s="2" t="inlineStr">
        <is>
          <t>Abierto simplificado</t>
        </is>
      </c>
      <c r="L1230" s="6" t="n">
        <v>12</v>
      </c>
      <c r="M1230" s="2" t="n"/>
      <c r="N1230" s="7" t="n">
        <v>0</v>
      </c>
      <c r="O1230" s="4" t="n"/>
      <c r="P1230" s="2" t="inlineStr">
        <is>
          <t>45211350</t>
        </is>
      </c>
      <c r="Q1230" s="8" t="inlineStr">
        <is>
          <t>Ver</t>
        </is>
      </c>
      <c r="R1230" s="8" t="inlineStr">
        <is>
          <t>PCAP</t>
        </is>
      </c>
      <c r="S1230" s="9" t="n">
        <v>46315</v>
      </c>
      <c r="T1230" s="3" t="n">
        <v>46314.45222222222</v>
      </c>
      <c r="U1230" s="2" t="n"/>
    </row>
    <row r="1231">
      <c r="A1231" s="2" t="inlineStr">
        <is>
          <t>Resuelta</t>
        </is>
      </c>
      <c r="B1231" s="3" t="n">
        <v>46279.99930555555</v>
      </c>
      <c r="C1231" s="5" t="n">
        <v>80797.52</v>
      </c>
      <c r="D1231" s="5" t="n">
        <v>80797.52</v>
      </c>
      <c r="E1231" s="2" t="inlineStr">
        <is>
          <t>Andalucía</t>
        </is>
      </c>
      <c r="F1231" s="2" t="inlineStr">
        <is>
          <t>Granada</t>
        </is>
      </c>
      <c r="G1231" s="2" t="inlineStr">
        <is>
          <t>ZAGRA</t>
        </is>
      </c>
      <c r="H1231" s="2" t="inlineStr">
        <is>
          <t>Presidencia de la Diputación Provincial de Granada</t>
        </is>
      </c>
      <c r="I1231" s="2" t="inlineStr">
        <is>
          <t>2024/4/PPOYS-176 "Zagra, pavimentación Camino Barranco de Patas de Lana, Camino de Blancas y Camino de las Rozuelas"</t>
        </is>
      </c>
      <c r="J1231" s="2" t="inlineStr">
        <is>
          <t>OB-001/26</t>
        </is>
      </c>
      <c r="K1231" s="2" t="inlineStr">
        <is>
          <t>Abierto simplificado</t>
        </is>
      </c>
      <c r="L1231" s="6" t="n">
        <v>5</v>
      </c>
      <c r="M1231" s="2" t="inlineStr">
        <is>
          <t>K2-1; G6-1</t>
        </is>
      </c>
      <c r="N1231" s="7" t="n">
        <v>0</v>
      </c>
      <c r="O1231" s="4" t="n"/>
      <c r="P1231" s="2" t="inlineStr">
        <is>
          <t>45262211; 45233252</t>
        </is>
      </c>
      <c r="Q1231" s="8" t="inlineStr">
        <is>
          <t>Ver</t>
        </is>
      </c>
      <c r="R1231" s="8" t="inlineStr">
        <is>
          <t>PCAP</t>
        </is>
      </c>
      <c r="S1231" s="9" t="n">
        <v>46315</v>
      </c>
      <c r="T1231" s="3" t="n">
        <v>46314.45056712963</v>
      </c>
      <c r="U1231" s="2" t="n"/>
    </row>
    <row r="1232">
      <c r="A1232" s="2" t="inlineStr">
        <is>
          <t>En plazo</t>
        </is>
      </c>
      <c r="B1232" s="3" t="n">
        <v>46335.99930555555</v>
      </c>
      <c r="C1232" s="5" t="n">
        <v>121666.92</v>
      </c>
      <c r="D1232" s="5" t="n">
        <v>121666.92</v>
      </c>
      <c r="E1232" s="2" t="inlineStr">
        <is>
          <t>Comunitat Valenciana</t>
        </is>
      </c>
      <c r="F1232" s="2" t="inlineStr">
        <is>
          <t>Valencia</t>
        </is>
      </c>
      <c r="G1232" s="2" t="inlineStr">
        <is>
          <t>Náquera</t>
        </is>
      </c>
      <c r="H1232" s="2" t="inlineStr">
        <is>
          <t>Alcaldía del Ayuntamiento de Náquera</t>
        </is>
      </c>
      <c r="I1232" s="2" t="inlineStr">
        <is>
          <t>Contrato de obras de habilitación del área recreativa Plà de Parra</t>
        </is>
      </c>
      <c r="J1232" s="2" t="inlineStr">
        <is>
          <t>4923/2026</t>
        </is>
      </c>
      <c r="K1232" s="2" t="inlineStr">
        <is>
          <t>Abierto simplificado</t>
        </is>
      </c>
      <c r="L1232" s="6" t="n">
        <v>1</v>
      </c>
      <c r="M1232" s="2" t="n"/>
      <c r="N1232" s="7" t="n">
        <v>0</v>
      </c>
      <c r="O1232" s="4" t="n"/>
      <c r="P1232" s="2" t="inlineStr">
        <is>
          <t>45000000; 45112711</t>
        </is>
      </c>
      <c r="Q1232" s="8" t="inlineStr">
        <is>
          <t>Ver</t>
        </is>
      </c>
      <c r="R1232" s="8" t="inlineStr">
        <is>
          <t>PCAP</t>
        </is>
      </c>
      <c r="S1232" s="9" t="n">
        <v>46315</v>
      </c>
      <c r="T1232" s="3" t="n">
        <v>46314.44633101852</v>
      </c>
      <c r="U1232" s="2" t="n"/>
    </row>
    <row r="1233">
      <c r="A1233" s="2" t="inlineStr">
        <is>
          <t>Resuelta</t>
        </is>
      </c>
      <c r="B1233" s="3" t="n">
        <v>45748.99930555555</v>
      </c>
      <c r="C1233" s="5" t="n">
        <v>3101404.3</v>
      </c>
      <c r="D1233" s="5" t="n">
        <v>3441544.73</v>
      </c>
      <c r="E1233" s="2" t="inlineStr">
        <is>
          <t>Comunitat Valenciana</t>
        </is>
      </c>
      <c r="F1233" s="2" t="inlineStr">
        <is>
          <t>Alicante</t>
        </is>
      </c>
      <c r="G1233" s="2" t="inlineStr">
        <is>
          <t>San Vicente del Raspeig (Alicante)</t>
        </is>
      </c>
      <c r="H1233" s="2" t="inlineStr">
        <is>
          <t>Rectorado de la Universidad de Alicante</t>
        </is>
      </c>
      <c r="I1233" s="2" t="inlineStr">
        <is>
          <t>Obras de reforma en edificios del Campus de la Universidad de Alicante (5 lotes)</t>
        </is>
      </c>
      <c r="J1233" s="2" t="inlineStr">
        <is>
          <t>OB0022025</t>
        </is>
      </c>
      <c r="K1233" s="2" t="inlineStr">
        <is>
          <t>Abierto</t>
        </is>
      </c>
      <c r="L1233" s="6" t="n">
        <v>12</v>
      </c>
      <c r="M1233" s="2" t="n"/>
      <c r="N1233" s="7" t="n">
        <v>0.45</v>
      </c>
      <c r="O1233" s="4" t="n">
        <v>5</v>
      </c>
      <c r="P1233" s="2" t="inlineStr">
        <is>
          <t>45214400</t>
        </is>
      </c>
      <c r="Q1233" s="8" t="inlineStr">
        <is>
          <t>Ver</t>
        </is>
      </c>
      <c r="R1233" s="8" t="inlineStr">
        <is>
          <t>PCAP</t>
        </is>
      </c>
      <c r="S1233" s="9" t="n">
        <v>46315</v>
      </c>
      <c r="T1233" s="3" t="n">
        <v>46314.44565972222</v>
      </c>
      <c r="U1233" s="2" t="n"/>
    </row>
    <row r="1234">
      <c r="A1234" s="2" t="inlineStr">
        <is>
          <t>Pendiente de adjudicación</t>
        </is>
      </c>
      <c r="B1234" s="3" t="n">
        <v>46293.99930555555</v>
      </c>
      <c r="C1234" s="5" t="n">
        <v>266487.33</v>
      </c>
      <c r="D1234" s="5" t="n">
        <v>266487.33</v>
      </c>
      <c r="E1234" s="2" t="inlineStr">
        <is>
          <t>Comunitat Valenciana</t>
        </is>
      </c>
      <c r="F1234" s="2" t="inlineStr">
        <is>
          <t>Alicante</t>
        </is>
      </c>
      <c r="G1234" s="2" t="inlineStr">
        <is>
          <t>Agost</t>
        </is>
      </c>
      <c r="H1234" s="2" t="inlineStr">
        <is>
          <t>Alcaldía del Ayuntamiento de Agost</t>
        </is>
      </c>
      <c r="I1234" s="2" t="inlineStr">
        <is>
          <t>Instalación de climatización y ventilación edificio aulas de primaria del CEIP LA RAMBLA</t>
        </is>
      </c>
      <c r="J1234" s="2" t="inlineStr">
        <is>
          <t>2082/2026</t>
        </is>
      </c>
      <c r="K1234" s="2" t="inlineStr">
        <is>
          <t>Abierto simplificado</t>
        </is>
      </c>
      <c r="L1234" s="6" t="n">
        <v>6</v>
      </c>
      <c r="M1234" s="2" t="n"/>
      <c r="N1234" s="7" t="n">
        <v>0</v>
      </c>
      <c r="O1234" s="4" t="n"/>
      <c r="P1234" s="2" t="inlineStr">
        <is>
          <t>45331000</t>
        </is>
      </c>
      <c r="Q1234" s="8" t="inlineStr">
        <is>
          <t>Ver</t>
        </is>
      </c>
      <c r="R1234" s="8" t="inlineStr">
        <is>
          <t>PCAP</t>
        </is>
      </c>
      <c r="S1234" s="9" t="n">
        <v>46315</v>
      </c>
      <c r="T1234" s="3" t="n">
        <v>46314.44454861111</v>
      </c>
      <c r="U1234" s="2" t="n"/>
    </row>
    <row r="1235">
      <c r="A1235" s="2" t="inlineStr">
        <is>
          <t>Plazo vencido</t>
        </is>
      </c>
      <c r="B1235" s="3" t="n">
        <v>46323.99930555555</v>
      </c>
      <c r="C1235" s="5" t="n">
        <v>63422.18</v>
      </c>
      <c r="D1235" s="5" t="n">
        <v>63422.18</v>
      </c>
      <c r="E1235" s="2" t="inlineStr">
        <is>
          <t>Andalucía</t>
        </is>
      </c>
      <c r="F1235" s="2" t="inlineStr">
        <is>
          <t>Sevilla</t>
        </is>
      </c>
      <c r="G1235" s="2" t="inlineStr">
        <is>
          <t>SALTERAS</t>
        </is>
      </c>
      <c r="H1235" s="2" t="inlineStr">
        <is>
          <t>Alcaldía del Ayuntamiento de Salteras</t>
        </is>
      </c>
      <c r="I1235"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1235" s="2" t="inlineStr">
        <is>
          <t>1021/2026 REASFALTADO VARIAS CALLES</t>
        </is>
      </c>
      <c r="K1235" s="2" t="inlineStr">
        <is>
          <t>Abierto simplificado</t>
        </is>
      </c>
      <c r="L1235" s="6" t="n">
        <v>4</v>
      </c>
      <c r="M1235" s="2" t="n"/>
      <c r="N1235" s="7" t="n">
        <v>0</v>
      </c>
      <c r="O1235" s="4" t="n"/>
      <c r="P1235" s="2" t="inlineStr">
        <is>
          <t>45233222; 45233223</t>
        </is>
      </c>
      <c r="Q1235" s="8" t="inlineStr">
        <is>
          <t>Ver</t>
        </is>
      </c>
      <c r="R1235" s="8" t="inlineStr">
        <is>
          <t>PCAP</t>
        </is>
      </c>
      <c r="S1235" s="9" t="n">
        <v>46310</v>
      </c>
      <c r="T1235" s="3" t="n">
        <v>46314.44232638889</v>
      </c>
      <c r="U1235" s="2" t="inlineStr">
        <is>
          <t>2026-10-20: plazo 2026-10-26 23:59 → 2026-10-28 23:59</t>
        </is>
      </c>
    </row>
    <row r="1236">
      <c r="A1236" s="2" t="inlineStr">
        <is>
          <t>En plazo</t>
        </is>
      </c>
      <c r="B1236" s="3" t="n">
        <v>46329.79166666666</v>
      </c>
      <c r="C1236" s="5" t="n">
        <v>75295.31</v>
      </c>
      <c r="D1236" s="5" t="n">
        <v>75295.31</v>
      </c>
      <c r="E1236" s="2" t="inlineStr">
        <is>
          <t>Andalucía</t>
        </is>
      </c>
      <c r="F1236" s="2" t="inlineStr">
        <is>
          <t>Jaén</t>
        </is>
      </c>
      <c r="G1236" s="2" t="inlineStr">
        <is>
          <t>Guarroman</t>
        </is>
      </c>
      <c r="H1236" s="2" t="inlineStr">
        <is>
          <t>Alcaldía del Ayuntamiento de Guarromán</t>
        </is>
      </c>
      <c r="I1236" s="2" t="inlineStr">
        <is>
          <t>El objeto del contrato es la ejecución de las obras correspondientes a la URBANIZACIÓN DE ESPACIO URBANO RESIDUAL EN CALLE JAÉN, incluyendo todas aquellas actuaciones necesarias para la correcta adecuación del espacio urbano y su dotación de mobiliario urbano</t>
        </is>
      </c>
      <c r="J1236" s="2" t="inlineStr">
        <is>
          <t>69/2026</t>
        </is>
      </c>
      <c r="K1236" s="2" t="inlineStr">
        <is>
          <t>Abierto simplificado</t>
        </is>
      </c>
      <c r="L1236" s="6" t="n">
        <v>4</v>
      </c>
      <c r="M1236" s="2" t="n"/>
      <c r="N1236" s="7" t="n">
        <v>0</v>
      </c>
      <c r="O1236" s="4" t="n"/>
      <c r="P1236" s="2" t="inlineStr">
        <is>
          <t>45233200</t>
        </is>
      </c>
      <c r="Q1236" s="8" t="inlineStr">
        <is>
          <t>Ver</t>
        </is>
      </c>
      <c r="R1236" s="8" t="inlineStr">
        <is>
          <t>PCAP</t>
        </is>
      </c>
      <c r="S1236" s="9" t="n">
        <v>46315</v>
      </c>
      <c r="T1236" s="3" t="n">
        <v>46314.43930555556</v>
      </c>
      <c r="U1236" s="2" t="n"/>
    </row>
    <row r="1237">
      <c r="A1237" s="2" t="inlineStr">
        <is>
          <t>Resuelta</t>
        </is>
      </c>
      <c r="B1237" s="3" t="n">
        <v>46029.99930555555</v>
      </c>
      <c r="C1237" s="5" t="n">
        <v>154041.38</v>
      </c>
      <c r="D1237" s="5" t="n">
        <v>154041.38</v>
      </c>
      <c r="E1237" s="2" t="inlineStr">
        <is>
          <t>Andalucía</t>
        </is>
      </c>
      <c r="F1237" s="2" t="inlineStr">
        <is>
          <t>Córdoba</t>
        </is>
      </c>
      <c r="G1237" s="2" t="inlineStr">
        <is>
          <t>Montilla</t>
        </is>
      </c>
      <c r="H1237" s="2" t="inlineStr">
        <is>
          <t>Alcaldía del Ayuntamiento de Montilla</t>
        </is>
      </c>
      <c r="I1237" s="2" t="inlineStr">
        <is>
          <t>Obras de “Recuperación natural y ambiental de la infraestructura verde Cerro Don Juan – Lagares de la Sierra y su conectividad con Montilla” financiado por la Unión Europea-NextGenerationEU para la ejecución del PST de Montilla, en el marco del Plan de Recuperación, Transformación y Resiliencia (C14.I1.2), aprobado por la Consejería de Turismo, Cultura y Deporte de la Junta de Andalucía</t>
        </is>
      </c>
      <c r="J1237" s="2" t="inlineStr">
        <is>
          <t>32304/2025</t>
        </is>
      </c>
      <c r="K1237" s="2" t="inlineStr">
        <is>
          <t>Abierto simplificado</t>
        </is>
      </c>
      <c r="L1237" s="6" t="n">
        <v>2</v>
      </c>
      <c r="M1237" s="2" t="n"/>
      <c r="N1237" s="7" t="n">
        <v>0.24</v>
      </c>
      <c r="O1237" s="4" t="n"/>
      <c r="P1237" s="2" t="inlineStr">
        <is>
          <t>45112700; 45262640; 45111213; 34928470; 77231600</t>
        </is>
      </c>
      <c r="Q1237" s="8" t="inlineStr">
        <is>
          <t>Ver</t>
        </is>
      </c>
      <c r="R1237" s="8" t="inlineStr">
        <is>
          <t>PCAP</t>
        </is>
      </c>
      <c r="S1237" s="9" t="n">
        <v>46315</v>
      </c>
      <c r="T1237" s="3" t="n">
        <v>46314.43898148148</v>
      </c>
      <c r="U1237" s="2" t="n"/>
    </row>
    <row r="1238">
      <c r="A1238" s="2" t="inlineStr">
        <is>
          <t>Resuelta</t>
        </is>
      </c>
      <c r="B1238" s="3" t="n">
        <v>44188.58333333334</v>
      </c>
      <c r="C1238" s="5" t="n">
        <v>1921828.87</v>
      </c>
      <c r="D1238" s="5" t="n">
        <v>2080982.35</v>
      </c>
      <c r="E1238" s="2" t="inlineStr">
        <is>
          <t>Comunitat Valenciana</t>
        </is>
      </c>
      <c r="F1238" s="2" t="inlineStr">
        <is>
          <t>Valencia</t>
        </is>
      </c>
      <c r="G1238" s="2" t="n"/>
      <c r="H1238" s="2" t="inlineStr">
        <is>
          <t>Dirección General de la Ciudad de las Artes y de las Ciencias S.A.</t>
        </is>
      </c>
      <c r="I1238" s="2" t="inlineStr">
        <is>
          <t>Contratación, por lotes, de la ejecución de los trabajos sobre bandejas y cuadros eléctricos en el Oceanogràfic de La Ciutat de les Arts i les Ciències.</t>
        </is>
      </c>
      <c r="J1238" s="2" t="inlineStr">
        <is>
          <t>PA 37/20</t>
        </is>
      </c>
      <c r="K1238" s="2" t="inlineStr">
        <is>
          <t>Abierto</t>
        </is>
      </c>
      <c r="L1238" s="6" t="n">
        <v>7.7</v>
      </c>
      <c r="M1238" s="2" t="n"/>
      <c r="N1238" s="7" t="n">
        <v>0</v>
      </c>
      <c r="O1238" s="4" t="n">
        <v>2</v>
      </c>
      <c r="P1238" s="2" t="inlineStr">
        <is>
          <t>45310000</t>
        </is>
      </c>
      <c r="Q1238" s="8" t="inlineStr">
        <is>
          <t>Ver</t>
        </is>
      </c>
      <c r="R1238" s="8" t="inlineStr">
        <is>
          <t>PCAP</t>
        </is>
      </c>
      <c r="S1238" s="9" t="n">
        <v>46315</v>
      </c>
      <c r="T1238" s="3" t="n">
        <v>46314.43453703704</v>
      </c>
      <c r="U1238" s="2" t="n"/>
    </row>
    <row r="1239">
      <c r="A1239" s="2" t="inlineStr">
        <is>
          <t>Resuelta</t>
        </is>
      </c>
      <c r="B1239" s="3" t="n">
        <v>46288.99930555555</v>
      </c>
      <c r="C1239" s="5" t="n">
        <v>65168.23</v>
      </c>
      <c r="D1239" s="5" t="n">
        <v>65168.23</v>
      </c>
      <c r="E1239" s="2" t="inlineStr">
        <is>
          <t>Andalucía</t>
        </is>
      </c>
      <c r="F1239" s="2" t="inlineStr">
        <is>
          <t>Granada</t>
        </is>
      </c>
      <c r="G1239" s="2" t="inlineStr">
        <is>
          <t>VILLAMENA</t>
        </is>
      </c>
      <c r="H1239" s="2" t="inlineStr">
        <is>
          <t>Presidencia de la Diputación Provincial de Granada</t>
        </is>
      </c>
      <c r="I1239" s="2" t="inlineStr">
        <is>
          <t>2026/4/PPOYS-171/1 "Villamena, renovación de redes y pavimentación en Calle Pedregal de Cónchar"</t>
        </is>
      </c>
      <c r="J1239" s="2" t="inlineStr">
        <is>
          <t>OB-017/26</t>
        </is>
      </c>
      <c r="K1239" s="2" t="inlineStr">
        <is>
          <t>Abierto simplificado</t>
        </is>
      </c>
      <c r="L1239" s="6" t="n">
        <v>5</v>
      </c>
      <c r="M1239" s="2" t="inlineStr">
        <is>
          <t>G6-1; E7-1</t>
        </is>
      </c>
      <c r="N1239" s="7" t="n">
        <v>0</v>
      </c>
      <c r="O1239" s="4" t="n"/>
      <c r="P1239" s="2" t="inlineStr">
        <is>
          <t>45231100; 45233252</t>
        </is>
      </c>
      <c r="Q1239" s="8" t="inlineStr">
        <is>
          <t>Ver</t>
        </is>
      </c>
      <c r="R1239" s="8" t="inlineStr">
        <is>
          <t>PCAP</t>
        </is>
      </c>
      <c r="S1239" s="9" t="n">
        <v>46315</v>
      </c>
      <c r="T1239" s="3" t="n">
        <v>46314.42840277778</v>
      </c>
      <c r="U1239" s="2" t="n"/>
    </row>
    <row r="1240">
      <c r="A1240" s="2" t="inlineStr">
        <is>
          <t>En plazo</t>
        </is>
      </c>
      <c r="B1240" s="3" t="n">
        <v>46335.99930555555</v>
      </c>
      <c r="C1240" s="5" t="n">
        <v>401014.35</v>
      </c>
      <c r="D1240" s="5" t="n">
        <v>401014.35</v>
      </c>
      <c r="E1240" s="2" t="inlineStr">
        <is>
          <t>Andalucía</t>
        </is>
      </c>
      <c r="F1240" s="2" t="inlineStr">
        <is>
          <t>Almería</t>
        </is>
      </c>
      <c r="G1240" s="2" t="n"/>
      <c r="H1240" s="2" t="inlineStr">
        <is>
          <t>Comisión Ejecutiva de la Gerencia Municipal de Urbanismo del Ayuntamiento de Almería</t>
        </is>
      </c>
      <c r="I1240" s="2" t="inlineStr">
        <is>
          <t>Contrato de obras contempladas en el Proyecto de "Conservación y Restauración del Nodo Natural del Camino Viejo-Muralla de Jairán-Barrio del Santo (Almería)"</t>
        </is>
      </c>
      <c r="J1240" s="2" t="inlineStr">
        <is>
          <t>AYAL-2026000208</t>
        </is>
      </c>
      <c r="K1240" s="2" t="inlineStr">
        <is>
          <t>Abierto simplificado</t>
        </is>
      </c>
      <c r="L1240" s="6" t="n">
        <v>4</v>
      </c>
      <c r="M1240" s="2" t="n"/>
      <c r="N1240" s="7" t="n">
        <v>0.25</v>
      </c>
      <c r="O1240" s="4" t="n"/>
      <c r="P1240" s="2" t="inlineStr">
        <is>
          <t>45233161; 45233253</t>
        </is>
      </c>
      <c r="Q1240" s="8" t="inlineStr">
        <is>
          <t>Ver</t>
        </is>
      </c>
      <c r="R1240" s="8" t="inlineStr">
        <is>
          <t>PCAP</t>
        </is>
      </c>
      <c r="S1240" s="9" t="n">
        <v>46315</v>
      </c>
      <c r="T1240" s="3" t="n">
        <v>46314.42614583333</v>
      </c>
      <c r="U1240" s="2" t="n"/>
    </row>
    <row r="1241">
      <c r="A1241" s="2" t="inlineStr">
        <is>
          <t>Resuelta</t>
        </is>
      </c>
      <c r="B1241" s="3" t="n">
        <v>46280.99930555555</v>
      </c>
      <c r="C1241" s="5" t="n">
        <v>390910.27</v>
      </c>
      <c r="D1241" s="5" t="n">
        <v>390910.27</v>
      </c>
      <c r="E1241" s="2" t="inlineStr">
        <is>
          <t>Andalucía</t>
        </is>
      </c>
      <c r="F1241" s="2" t="inlineStr">
        <is>
          <t>Granada</t>
        </is>
      </c>
      <c r="G1241" s="2" t="inlineStr">
        <is>
          <t>BEZNAR (LECRIN)</t>
        </is>
      </c>
      <c r="H1241" s="2" t="inlineStr">
        <is>
          <t>Presidencia de la Diputación Provincial de Granada</t>
        </is>
      </c>
      <c r="I1241" s="2" t="inlineStr">
        <is>
          <t>2020/2/PPOYS-104, 2022/2/PPOYS-104, 2024/4/PPOYS-104 y 2026/4/PPOYS-104/1 "Lecrín, proyecto básico y de ejecución de cubierta pista polideportiva fase 1ª y 2ª y mejora de eficiencia energética e iluminación pista polideportiva de Béznar"</t>
        </is>
      </c>
      <c r="J1241" s="2" t="inlineStr">
        <is>
          <t>OB-043/26</t>
        </is>
      </c>
      <c r="K1241" s="2" t="inlineStr">
        <is>
          <t>Abierto simplificado</t>
        </is>
      </c>
      <c r="L1241" s="6" t="n">
        <v>6</v>
      </c>
      <c r="M1241" s="2" t="inlineStr">
        <is>
          <t>C4-3; C3-3; C2-3; C6-3; C1-3</t>
        </is>
      </c>
      <c r="N1241" s="7" t="n">
        <v>0</v>
      </c>
      <c r="O1241" s="4" t="n"/>
      <c r="P1241" s="2" t="inlineStr">
        <is>
          <t>45210000; 45212225</t>
        </is>
      </c>
      <c r="Q1241" s="8" t="inlineStr">
        <is>
          <t>Ver</t>
        </is>
      </c>
      <c r="R1241" s="8" t="inlineStr">
        <is>
          <t>PCAP</t>
        </is>
      </c>
      <c r="S1241" s="9" t="n">
        <v>46315</v>
      </c>
      <c r="T1241" s="3" t="n">
        <v>46314.42520833333</v>
      </c>
      <c r="U1241" s="2" t="n"/>
    </row>
    <row r="1242">
      <c r="A1242" s="2" t="inlineStr">
        <is>
          <t>Resuelta</t>
        </is>
      </c>
      <c r="B1242" s="3" t="n">
        <v>46233.99930555555</v>
      </c>
      <c r="C1242" s="5" t="n">
        <v>658504.16</v>
      </c>
      <c r="D1242" s="5" t="n">
        <v>658504.16</v>
      </c>
      <c r="E1242" s="2" t="inlineStr">
        <is>
          <t>Comunitat Valenciana</t>
        </is>
      </c>
      <c r="F1242" s="2" t="inlineStr">
        <is>
          <t>Valencia</t>
        </is>
      </c>
      <c r="G1242" s="2" t="inlineStr">
        <is>
          <t>Loriguilla</t>
        </is>
      </c>
      <c r="H1242" s="2" t="inlineStr">
        <is>
          <t>Ayuntamiento de Loriguilla</t>
        </is>
      </c>
      <c r="I1242"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1242" s="2" t="inlineStr">
        <is>
          <t>1232/2026.- AMPLIACIÓN PUENTE LOMA TMD-DANA</t>
        </is>
      </c>
      <c r="K1242" s="2" t="inlineStr">
        <is>
          <t>Abierto simplificado</t>
        </is>
      </c>
      <c r="L1242" s="6" t="n">
        <v>6</v>
      </c>
      <c r="M1242" s="2" t="inlineStr">
        <is>
          <t>B1-3</t>
        </is>
      </c>
      <c r="N1242" s="7" t="n">
        <v>0.75</v>
      </c>
      <c r="O1242" s="4" t="n"/>
      <c r="P1242" s="2" t="inlineStr">
        <is>
          <t>45221110</t>
        </is>
      </c>
      <c r="Q1242" s="8" t="inlineStr">
        <is>
          <t>Ver</t>
        </is>
      </c>
      <c r="R1242" s="8" t="inlineStr">
        <is>
          <t>PCAP</t>
        </is>
      </c>
      <c r="S1242" s="9" t="n">
        <v>46310</v>
      </c>
      <c r="T1242" s="3" t="n">
        <v>46314.42469907407</v>
      </c>
      <c r="U1242" s="2" t="inlineStr">
        <is>
          <t>2026-10-20: estado ADJ → RES</t>
        </is>
      </c>
    </row>
    <row r="1243">
      <c r="A1243" s="2" t="inlineStr">
        <is>
          <t>En plazo</t>
        </is>
      </c>
      <c r="B1243" s="3" t="n">
        <v>46335.99930555555</v>
      </c>
      <c r="C1243" s="5" t="n">
        <v>140495.87</v>
      </c>
      <c r="D1243" s="5" t="n">
        <v>140495.87</v>
      </c>
      <c r="E1243" s="2" t="inlineStr">
        <is>
          <t>Andalucía</t>
        </is>
      </c>
      <c r="F1243" s="2" t="inlineStr">
        <is>
          <t>Cádiz</t>
        </is>
      </c>
      <c r="G1243" s="2" t="inlineStr">
        <is>
          <t>El Gastor</t>
        </is>
      </c>
      <c r="H1243" s="2" t="inlineStr">
        <is>
          <t>Alcaldía del Ayuntamiento de El Gastor</t>
        </is>
      </c>
      <c r="I1243" s="2" t="inlineStr">
        <is>
          <t>Reurbanización de la trasera de calle Corrales y calle Ceniceros, en El Gastor (Cádiz).</t>
        </is>
      </c>
      <c r="J1243" s="2" t="inlineStr">
        <is>
          <t>721/2026</t>
        </is>
      </c>
      <c r="K1243" s="2" t="inlineStr">
        <is>
          <t>Abierto simplificado</t>
        </is>
      </c>
      <c r="L1243" s="6" t="n">
        <v>8</v>
      </c>
      <c r="M1243" s="2" t="n"/>
      <c r="N1243" s="7" t="n">
        <v>0</v>
      </c>
      <c r="O1243" s="4" t="n"/>
      <c r="P1243" s="2" t="inlineStr">
        <is>
          <t>45200000; 45233140</t>
        </is>
      </c>
      <c r="Q1243" s="8" t="inlineStr">
        <is>
          <t>Ver</t>
        </is>
      </c>
      <c r="R1243" s="8" t="inlineStr">
        <is>
          <t>PCAP</t>
        </is>
      </c>
      <c r="S1243" s="9" t="n">
        <v>46315</v>
      </c>
      <c r="T1243" s="3" t="n">
        <v>46314.42408564815</v>
      </c>
      <c r="U1243" s="2" t="n"/>
    </row>
    <row r="1244">
      <c r="A1244" s="2" t="inlineStr">
        <is>
          <t>Pendiente de adjudicación</t>
        </is>
      </c>
      <c r="B1244" s="3" t="n">
        <v>46252.99930555555</v>
      </c>
      <c r="C1244" s="5" t="n">
        <v>572781.63</v>
      </c>
      <c r="D1244" s="5" t="n">
        <v>572781.63</v>
      </c>
      <c r="E1244" s="2" t="inlineStr">
        <is>
          <t>Andalucía</t>
        </is>
      </c>
      <c r="F1244" s="2" t="inlineStr">
        <is>
          <t>Sevilla</t>
        </is>
      </c>
      <c r="G1244" s="2" t="inlineStr">
        <is>
          <t>GUILLENA</t>
        </is>
      </c>
      <c r="H1244" s="2" t="inlineStr">
        <is>
          <t>Junta de Gobierno del Ayuntamiento de Guillena</t>
        </is>
      </c>
      <c r="I1244" s="2" t="inlineStr">
        <is>
          <t>Obras de reurbanización y mejora en Parque Forestal de Torre de la Reina (Fase I y II). Plan Sevilla 107</t>
        </is>
      </c>
      <c r="J1244" s="2" t="inlineStr">
        <is>
          <t>3016/2026</t>
        </is>
      </c>
      <c r="K1244" s="2" t="inlineStr">
        <is>
          <t>Abierto</t>
        </is>
      </c>
      <c r="L1244" s="6" t="n">
        <v>6</v>
      </c>
      <c r="M1244" s="2" t="inlineStr">
        <is>
          <t>G6-3</t>
        </is>
      </c>
      <c r="N1244" s="7" t="n">
        <v>0</v>
      </c>
      <c r="O1244" s="4" t="n"/>
      <c r="P1244" s="2" t="inlineStr">
        <is>
          <t>45233251</t>
        </is>
      </c>
      <c r="Q1244" s="8" t="inlineStr">
        <is>
          <t>Ver</t>
        </is>
      </c>
      <c r="R1244" s="8" t="inlineStr">
        <is>
          <t>PCAP</t>
        </is>
      </c>
      <c r="S1244" s="9" t="n">
        <v>46315</v>
      </c>
      <c r="T1244" s="3" t="n">
        <v>46314.4240625</v>
      </c>
      <c r="U1244" s="2" t="n"/>
    </row>
    <row r="1245">
      <c r="A1245" s="2" t="inlineStr">
        <is>
          <t>Resuelta</t>
        </is>
      </c>
      <c r="B1245" s="3" t="n">
        <v>46196.99930555555</v>
      </c>
      <c r="C1245" s="5" t="n">
        <v>246906.59</v>
      </c>
      <c r="D1245" s="5" t="n">
        <v>246906.59</v>
      </c>
      <c r="E1245" s="2" t="inlineStr">
        <is>
          <t>Andalucía</t>
        </is>
      </c>
      <c r="F1245" s="2" t="inlineStr">
        <is>
          <t>Córdoba</t>
        </is>
      </c>
      <c r="G1245" s="2" t="n"/>
      <c r="H1245" s="2" t="inlineStr">
        <is>
          <t>Diputado delegado de Infraestructuras, Sostenibilidad y Agricultura</t>
        </is>
      </c>
      <c r="I1245" s="2" t="inlineStr">
        <is>
          <t>Contrato de obra de 1ª Fase de ampliación de edificio municipal Casa de Hermandades, en Villanueva del Duque (Córdoba). Obra incluida en los planes provinciales de obras y servicios 2024-2027.</t>
        </is>
      </c>
      <c r="J1245" s="2" t="inlineStr">
        <is>
          <t>996/25 BIS</t>
        </is>
      </c>
      <c r="K1245" s="2" t="inlineStr">
        <is>
          <t>Negociado sin publicidad</t>
        </is>
      </c>
      <c r="L1245" s="6" t="n">
        <v>10</v>
      </c>
      <c r="M1245" s="2" t="n"/>
      <c r="N1245" s="7" t="n">
        <v>0.25</v>
      </c>
      <c r="O1245" s="4" t="n"/>
      <c r="P1245" s="2" t="inlineStr">
        <is>
          <t>45210000; 45320000; 45331000; 45110000; 45310000; 45400000</t>
        </is>
      </c>
      <c r="Q1245" s="8" t="inlineStr">
        <is>
          <t>Ver</t>
        </is>
      </c>
      <c r="R1245" s="8" t="inlineStr">
        <is>
          <t>PCAP</t>
        </is>
      </c>
      <c r="S1245" s="9" t="n">
        <v>46310</v>
      </c>
      <c r="T1245" s="3" t="n">
        <v>46314.42158564815</v>
      </c>
      <c r="U1245" s="2" t="inlineStr">
        <is>
          <t>2026-10-20: estado ADJ → RES</t>
        </is>
      </c>
    </row>
    <row r="1246">
      <c r="A1246" s="2" t="inlineStr">
        <is>
          <t>Resuelta</t>
        </is>
      </c>
      <c r="B1246" s="3" t="n">
        <v>46224.79166666666</v>
      </c>
      <c r="C1246" s="5" t="n">
        <v>161512.96</v>
      </c>
      <c r="D1246" s="5" t="n">
        <v>161512.96</v>
      </c>
      <c r="E1246" s="2" t="inlineStr">
        <is>
          <t>Comunitat Valenciana</t>
        </is>
      </c>
      <c r="F1246" s="2" t="inlineStr">
        <is>
          <t>Alicante</t>
        </is>
      </c>
      <c r="G1246" s="2" t="n"/>
      <c r="H1246" s="2" t="inlineStr">
        <is>
          <t>Comité de Contratación de Aguas Municipalizadas de Alicante, Empresa Mixta</t>
        </is>
      </c>
      <c r="I1246" s="2" t="inlineStr">
        <is>
          <t>Reforma, electrodomésticos y mobiliario en Aureliano Ibarra por Aguas Municipalizadas de Alicante, EM.</t>
        </is>
      </c>
      <c r="J1246" s="2" t="inlineStr">
        <is>
          <t>OB004/2026</t>
        </is>
      </c>
      <c r="K1246" s="2" t="inlineStr">
        <is>
          <t>Abierto simplificado</t>
        </is>
      </c>
      <c r="L1246" s="6" t="n">
        <v>4</v>
      </c>
      <c r="M1246" s="2" t="n"/>
      <c r="N1246" s="7" t="n">
        <v>0</v>
      </c>
      <c r="O1246" s="4" t="n">
        <v>3</v>
      </c>
      <c r="P1246" s="2" t="inlineStr">
        <is>
          <t>45000000; 39000000</t>
        </is>
      </c>
      <c r="Q1246" s="8" t="inlineStr">
        <is>
          <t>Ver</t>
        </is>
      </c>
      <c r="R1246" s="8" t="inlineStr">
        <is>
          <t>PCAP</t>
        </is>
      </c>
      <c r="S1246" s="9" t="n">
        <v>46310</v>
      </c>
      <c r="T1246" s="3" t="n">
        <v>46314.42112268518</v>
      </c>
      <c r="U1246" s="2" t="inlineStr">
        <is>
          <t>2026-10-20: estado ADJ → RES</t>
        </is>
      </c>
    </row>
    <row r="1247">
      <c r="A1247" s="2" t="inlineStr">
        <is>
          <t>En plazo</t>
        </is>
      </c>
      <c r="B1247" s="3" t="n">
        <v>46340.99930555555</v>
      </c>
      <c r="C1247" s="5" t="n">
        <v>55756.59</v>
      </c>
      <c r="D1247" s="5" t="n">
        <v>55756.59</v>
      </c>
      <c r="E1247" s="2" t="inlineStr">
        <is>
          <t>Andalucía</t>
        </is>
      </c>
      <c r="F1247" s="2" t="inlineStr">
        <is>
          <t>Málaga</t>
        </is>
      </c>
      <c r="G1247" s="2" t="n"/>
      <c r="H1247" s="2" t="inlineStr">
        <is>
          <t>Alcaldía del Ayuntamiento de Álora</t>
        </is>
      </c>
      <c r="I1247" s="2" t="inlineStr">
        <is>
          <t>Pavimentación varias calles en Álora</t>
        </is>
      </c>
      <c r="J1247" s="2" t="inlineStr">
        <is>
          <t>14/2026</t>
        </is>
      </c>
      <c r="K1247" s="2" t="inlineStr">
        <is>
          <t>Abierto</t>
        </is>
      </c>
      <c r="L1247" s="6" t="n">
        <v>3</v>
      </c>
      <c r="M1247" s="2" t="n"/>
      <c r="N1247" s="7" t="n">
        <v>0</v>
      </c>
      <c r="O1247" s="4" t="n"/>
      <c r="P1247" s="2" t="inlineStr">
        <is>
          <t>45233140; 45233000; 45233252</t>
        </is>
      </c>
      <c r="Q1247" s="8" t="inlineStr">
        <is>
          <t>Ver</t>
        </is>
      </c>
      <c r="R1247" s="8" t="inlineStr">
        <is>
          <t>PCAP</t>
        </is>
      </c>
      <c r="S1247" s="9" t="n">
        <v>46315</v>
      </c>
      <c r="T1247" s="3" t="n">
        <v>46314.42111111111</v>
      </c>
      <c r="U1247" s="2" t="n"/>
    </row>
    <row r="1248">
      <c r="A1248" s="2" t="inlineStr">
        <is>
          <t>Adjudicada</t>
        </is>
      </c>
      <c r="B1248" s="3" t="n">
        <v>46121.99930555555</v>
      </c>
      <c r="C1248" s="5" t="n">
        <v>481033.42</v>
      </c>
      <c r="D1248" s="5" t="n">
        <v>481033.42</v>
      </c>
      <c r="E1248" s="2" t="inlineStr">
        <is>
          <t>Andalucía</t>
        </is>
      </c>
      <c r="F1248" s="2" t="inlineStr">
        <is>
          <t>Cádiz</t>
        </is>
      </c>
      <c r="G1248" s="2" t="n"/>
      <c r="H1248" s="2" t="inlineStr">
        <is>
          <t>Alcaldia del Ayuntamiento de San Fernando</t>
        </is>
      </c>
      <c r="I1248" s="2" t="inlineStr">
        <is>
          <t>Obras del Proyecto de remodelación de la calle Bonifaz (tramo entre Méndez Núñez y Carraca) en San Fernando</t>
        </is>
      </c>
      <c r="J1248" s="2" t="inlineStr">
        <is>
          <t>SC 29/2026</t>
        </is>
      </c>
      <c r="K1248" s="2" t="inlineStr">
        <is>
          <t>Abierto simplificado</t>
        </is>
      </c>
      <c r="L1248" s="6" t="n">
        <v>8</v>
      </c>
      <c r="M1248" s="2" t="n"/>
      <c r="N1248" s="7" t="n">
        <v>0</v>
      </c>
      <c r="O1248" s="4" t="n"/>
      <c r="P1248" s="2" t="inlineStr">
        <is>
          <t>45233140; 45316000; 45232410; 45232150; 45315600; 45111100; 45233222</t>
        </is>
      </c>
      <c r="Q1248" s="8" t="inlineStr">
        <is>
          <t>Ver</t>
        </is>
      </c>
      <c r="R1248" s="8" t="inlineStr">
        <is>
          <t>PCAP</t>
        </is>
      </c>
      <c r="S1248" s="9" t="n">
        <v>46310</v>
      </c>
      <c r="T1248" s="3" t="n">
        <v>46314.41642361111</v>
      </c>
      <c r="U1248" s="2" t="inlineStr">
        <is>
          <t>2026-10-20: estado EV → ADJ</t>
        </is>
      </c>
    </row>
    <row r="1249">
      <c r="A1249" s="2" t="inlineStr">
        <is>
          <t>Resuelta</t>
        </is>
      </c>
      <c r="B1249" s="3" t="n">
        <v>46240.5</v>
      </c>
      <c r="C1249" s="5" t="n">
        <v>578654.99</v>
      </c>
      <c r="D1249" s="5" t="n">
        <v>578654.99</v>
      </c>
      <c r="E1249" s="2" t="inlineStr">
        <is>
          <t>Andalucía</t>
        </is>
      </c>
      <c r="F1249" s="2" t="inlineStr">
        <is>
          <t>Málaga</t>
        </is>
      </c>
      <c r="G1249" s="2" t="inlineStr">
        <is>
          <t>Málaga</t>
        </is>
      </c>
      <c r="H1249" s="2" t="inlineStr">
        <is>
          <t>Aena. Dirección del Aeropuerto de Málaga-Costa del Sol</t>
        </is>
      </c>
      <c r="I1249" s="2" t="inlineStr">
        <is>
          <t>Instalación Contadores De Agua En El Aeropuerto De Málaga - Costa Del Sol</t>
        </is>
      </c>
      <c r="J1249" s="2" t="inlineStr">
        <is>
          <t>AGP-124/2026</t>
        </is>
      </c>
      <c r="K1249" s="2" t="inlineStr">
        <is>
          <t>Normas internas</t>
        </is>
      </c>
      <c r="L1249" s="6" t="n"/>
      <c r="M1249" s="2" t="n"/>
      <c r="N1249" s="7" t="n">
        <v>0</v>
      </c>
      <c r="O1249" s="4" t="n"/>
      <c r="P1249" s="2" t="inlineStr">
        <is>
          <t>45330000</t>
        </is>
      </c>
      <c r="Q1249" s="8" t="inlineStr">
        <is>
          <t>Ver</t>
        </is>
      </c>
      <c r="R1249" s="8" t="inlineStr">
        <is>
          <t>PCAP</t>
        </is>
      </c>
      <c r="S1249" s="9" t="n">
        <v>46315</v>
      </c>
      <c r="T1249" s="3" t="n">
        <v>46314.41628472223</v>
      </c>
      <c r="U1249" s="2" t="n"/>
    </row>
    <row r="1250">
      <c r="A1250" s="2" t="inlineStr">
        <is>
          <t>Resuelta</t>
        </is>
      </c>
      <c r="B1250" s="3" t="n">
        <v>46240.5</v>
      </c>
      <c r="C1250" s="5" t="n">
        <v>208580.54</v>
      </c>
      <c r="D1250" s="5" t="n">
        <v>216923.76</v>
      </c>
      <c r="E1250" s="2" t="inlineStr">
        <is>
          <t>Andalucía</t>
        </is>
      </c>
      <c r="F1250" s="2" t="inlineStr">
        <is>
          <t>Málaga</t>
        </is>
      </c>
      <c r="G1250" s="2" t="inlineStr">
        <is>
          <t>Málaga</t>
        </is>
      </c>
      <c r="H1250" s="2" t="inlineStr">
        <is>
          <t>Aena. Dirección del Aeropuerto de Málaga-Costa del Sol</t>
        </is>
      </c>
      <c r="I1250" s="2" t="inlineStr">
        <is>
          <t>Refuerzo E Instalación De Climatización De Diferentes Dependencias En El Aeropuerto De Málaga ¿ Costa Del Sol</t>
        </is>
      </c>
      <c r="J1250" s="2" t="inlineStr">
        <is>
          <t>AGP-110/2026</t>
        </is>
      </c>
      <c r="K1250" s="2" t="inlineStr">
        <is>
          <t>Normas internas</t>
        </is>
      </c>
      <c r="L1250" s="6" t="n"/>
      <c r="M1250" s="2" t="n"/>
      <c r="N1250" s="7" t="n">
        <v>0</v>
      </c>
      <c r="O1250" s="4" t="n"/>
      <c r="P1250" s="2" t="inlineStr">
        <is>
          <t>45331200</t>
        </is>
      </c>
      <c r="Q1250" s="8" t="inlineStr">
        <is>
          <t>Ver</t>
        </is>
      </c>
      <c r="R1250" s="2" t="n"/>
      <c r="S1250" s="9" t="n">
        <v>46315</v>
      </c>
      <c r="T1250" s="3" t="n">
        <v>46314.41594907407</v>
      </c>
      <c r="U1250" s="2" t="n"/>
    </row>
    <row r="1251">
      <c r="A1251" s="2" t="inlineStr">
        <is>
          <t>Resuelta</t>
        </is>
      </c>
      <c r="B1251" s="3" t="n">
        <v>46240.5</v>
      </c>
      <c r="C1251" s="5" t="n">
        <v>95000</v>
      </c>
      <c r="D1251" s="5" t="n">
        <v>95000</v>
      </c>
      <c r="E1251" s="2" t="inlineStr">
        <is>
          <t>Andalucía</t>
        </is>
      </c>
      <c r="F1251" s="2" t="inlineStr">
        <is>
          <t>Málaga</t>
        </is>
      </c>
      <c r="G1251" s="2" t="inlineStr">
        <is>
          <t>Málaga</t>
        </is>
      </c>
      <c r="H1251" s="2" t="inlineStr">
        <is>
          <t>Aena. Dirección del Aeropuerto de Málaga-Costa del Sol</t>
        </is>
      </c>
      <c r="I1251" s="2" t="inlineStr">
        <is>
          <t>Aumento De Potencia En Ct62 Por Cargadores De Alta Demanda En El Aeropuerto De Málaga-Costa Del Sol</t>
        </is>
      </c>
      <c r="J1251" s="2" t="inlineStr">
        <is>
          <t>AGP-102/2026</t>
        </is>
      </c>
      <c r="K1251" s="2" t="inlineStr">
        <is>
          <t>Normas internas</t>
        </is>
      </c>
      <c r="L1251" s="6" t="n"/>
      <c r="M1251" s="2" t="n"/>
      <c r="N1251" s="7" t="n">
        <v>0</v>
      </c>
      <c r="O1251" s="4" t="n"/>
      <c r="P1251" s="2" t="inlineStr">
        <is>
          <t>45317200</t>
        </is>
      </c>
      <c r="Q1251" s="8" t="inlineStr">
        <is>
          <t>Ver</t>
        </is>
      </c>
      <c r="R1251" s="2" t="n"/>
      <c r="S1251" s="9" t="n">
        <v>46315</v>
      </c>
      <c r="T1251" s="3" t="n">
        <v>46314.41543981482</v>
      </c>
      <c r="U1251" s="2" t="n"/>
    </row>
    <row r="1252">
      <c r="A1252" s="2" t="inlineStr">
        <is>
          <t>En plazo</t>
        </is>
      </c>
      <c r="B1252" s="3" t="n">
        <v>46335.99930555555</v>
      </c>
      <c r="C1252" s="5" t="n">
        <v>136908.47</v>
      </c>
      <c r="D1252" s="5" t="n">
        <v>136908.47</v>
      </c>
      <c r="E1252" s="2" t="inlineStr">
        <is>
          <t>Andalucía</t>
        </is>
      </c>
      <c r="F1252" s="2" t="inlineStr">
        <is>
          <t>Almería</t>
        </is>
      </c>
      <c r="G1252" s="2" t="n"/>
      <c r="H1252" s="2" t="inlineStr">
        <is>
          <t>Comisión Ejecutiva de la Gerencia Municipal de Urbanismo del Ayuntamiento de Almería</t>
        </is>
      </c>
      <c r="I1252" s="2" t="inlineStr">
        <is>
          <t>Contrato de obras contempladas en el Proyecto de "Restauración Urbana y Paisajística del Camino Viejo de Almería. Itinerario a Cantera de Bayyana (Almería)"</t>
        </is>
      </c>
      <c r="J1252" s="2" t="inlineStr">
        <is>
          <t>AYAL-2026000207</t>
        </is>
      </c>
      <c r="K1252" s="2" t="inlineStr">
        <is>
          <t>Abierto simplificado</t>
        </is>
      </c>
      <c r="L1252" s="6" t="n">
        <v>3</v>
      </c>
      <c r="M1252" s="2" t="n"/>
      <c r="N1252" s="7" t="n">
        <v>0.25</v>
      </c>
      <c r="O1252" s="4" t="n"/>
      <c r="P1252" s="2" t="inlineStr">
        <is>
          <t>45233161; 45233253</t>
        </is>
      </c>
      <c r="Q1252" s="8" t="inlineStr">
        <is>
          <t>Ver</t>
        </is>
      </c>
      <c r="R1252" s="8" t="inlineStr">
        <is>
          <t>PCAP</t>
        </is>
      </c>
      <c r="S1252" s="9" t="n">
        <v>46315</v>
      </c>
      <c r="T1252" s="3" t="n">
        <v>46314.41340277778</v>
      </c>
      <c r="U1252" s="2" t="n"/>
    </row>
    <row r="1253">
      <c r="A1253" s="2" t="inlineStr">
        <is>
          <t>Pendiente de adjudicación</t>
        </is>
      </c>
      <c r="B1253" s="3" t="n">
        <v>46300.72916666666</v>
      </c>
      <c r="C1253" s="5" t="n">
        <v>520801.55</v>
      </c>
      <c r="D1253" s="5" t="n">
        <v>520801.55</v>
      </c>
      <c r="E1253" s="2" t="inlineStr">
        <is>
          <t>Andalucía</t>
        </is>
      </c>
      <c r="F1253" s="2" t="inlineStr">
        <is>
          <t>Granada</t>
        </is>
      </c>
      <c r="G1253" s="2" t="n"/>
      <c r="H1253" s="2" t="inlineStr">
        <is>
          <t>Junta de Gobierno del Ayuntamiento de Granada</t>
        </is>
      </c>
      <c r="I1253" s="2" t="inlineStr">
        <is>
          <t>Contrato de obras para la remodelación de la plaza Virgen del Rocío</t>
        </is>
      </c>
      <c r="J1253" s="2" t="inlineStr">
        <is>
          <t>OBR-2026000099</t>
        </is>
      </c>
      <c r="K1253" s="2" t="inlineStr">
        <is>
          <t>Abierto</t>
        </is>
      </c>
      <c r="L1253" s="6" t="n">
        <v>6</v>
      </c>
      <c r="M1253" s="2" t="n"/>
      <c r="N1253" s="7" t="n">
        <v>0.4</v>
      </c>
      <c r="O1253" s="4" t="n"/>
      <c r="P1253" s="2" t="inlineStr">
        <is>
          <t>45000000; 45432111; 37535210; 45111100; 45223800; 45233293; 45316100; 45240000; 34928400; 45112700; 45212190; 45233200; 45317000</t>
        </is>
      </c>
      <c r="Q1253" s="8" t="inlineStr">
        <is>
          <t>Ver</t>
        </is>
      </c>
      <c r="R1253" s="8" t="inlineStr">
        <is>
          <t>PCAP</t>
        </is>
      </c>
      <c r="S1253" s="9" t="n">
        <v>46310</v>
      </c>
      <c r="T1253" s="3" t="n">
        <v>46314.40857638889</v>
      </c>
      <c r="U1253" s="2" t="n"/>
    </row>
    <row r="1254">
      <c r="A1254" s="2" t="inlineStr">
        <is>
          <t>Resuelta</t>
        </is>
      </c>
      <c r="B1254" s="3" t="n">
        <v>46308.33333333334</v>
      </c>
      <c r="C1254" s="5" t="n">
        <v>112947.47</v>
      </c>
      <c r="D1254" s="5" t="n">
        <v>124242.22</v>
      </c>
      <c r="E1254" s="2" t="inlineStr">
        <is>
          <t>Andalucía</t>
        </is>
      </c>
      <c r="F1254" s="2" t="inlineStr">
        <is>
          <t>Sevilla</t>
        </is>
      </c>
      <c r="G1254" s="2" t="n"/>
      <c r="H1254" s="2" t="inlineStr">
        <is>
          <t>Instituto de Vivienda, Infraestructura y Equipamiento de la Defensa</t>
        </is>
      </c>
      <c r="I1254" s="2" t="inlineStr">
        <is>
          <t>Obras de rehabilitación y adaptación de la accesibilidad de una vivienda en edificio plurifamiliar situado en Avenida de la Borbolla 33, Bajo. Sevilla</t>
        </is>
      </c>
      <c r="J1254" s="2" t="inlineStr">
        <is>
          <t>202600000216</t>
        </is>
      </c>
      <c r="K1254" s="2" t="inlineStr">
        <is>
          <t>Abierto simplificado</t>
        </is>
      </c>
      <c r="L1254" s="6" t="n">
        <v>4</v>
      </c>
      <c r="M1254" s="2" t="n"/>
      <c r="N1254" s="7" t="n">
        <v>0</v>
      </c>
      <c r="O1254" s="4" t="n"/>
      <c r="P1254" s="2" t="inlineStr">
        <is>
          <t>45259900; 45300000; 45262520</t>
        </is>
      </c>
      <c r="Q1254" s="8" t="inlineStr">
        <is>
          <t>Ver</t>
        </is>
      </c>
      <c r="R1254" s="8" t="inlineStr">
        <is>
          <t>PCAP</t>
        </is>
      </c>
      <c r="S1254" s="9" t="n">
        <v>46314</v>
      </c>
      <c r="T1254" s="3" t="n">
        <v>46314.40609953704</v>
      </c>
      <c r="U1254" s="2" t="inlineStr">
        <is>
          <t>2026-10-20: estado EV → RES</t>
        </is>
      </c>
    </row>
    <row r="1255">
      <c r="A1255" s="2" t="inlineStr">
        <is>
          <t>Pendiente de adjudicación</t>
        </is>
      </c>
      <c r="B1255" s="3" t="n">
        <v>46244.99930555555</v>
      </c>
      <c r="C1255" s="5" t="n">
        <v>361251.82</v>
      </c>
      <c r="D1255" s="5" t="n">
        <v>361251.82</v>
      </c>
      <c r="E1255" s="2" t="inlineStr">
        <is>
          <t>Andalucía</t>
        </is>
      </c>
      <c r="F1255" s="2" t="inlineStr">
        <is>
          <t>Huelva</t>
        </is>
      </c>
      <c r="G1255" s="2" t="inlineStr">
        <is>
          <t>Cortegana</t>
        </is>
      </c>
      <c r="H1255" s="2" t="inlineStr">
        <is>
          <t>Presidencia de la Diputación Provincial de Huelva</t>
        </is>
      </c>
      <c r="I1255" s="2" t="inlineStr">
        <is>
          <t>Contrato de obras necesarias para la reforma total de la cubierta y la adecuación parcial de la planta alta del Edificio Municipal ubicado en Cortegana, en la Calle Carmen 8, para que albergue las futura Oficina Comarcal que la Excma. Diputación Provincial de Huelva pretende emplazar en la localidad</t>
        </is>
      </c>
      <c r="J1255" s="2" t="inlineStr">
        <is>
          <t>2025/CMY_03/000044N</t>
        </is>
      </c>
      <c r="K1255" s="2" t="inlineStr">
        <is>
          <t>Negociado sin publicidad</t>
        </is>
      </c>
      <c r="L1255" s="6" t="n">
        <v>6</v>
      </c>
      <c r="M1255" s="2" t="n"/>
      <c r="N1255" s="7" t="n">
        <v>0</v>
      </c>
      <c r="O1255" s="4" t="n"/>
      <c r="P1255" s="2" t="inlineStr">
        <is>
          <t>45261000</t>
        </is>
      </c>
      <c r="Q1255" s="8" t="inlineStr">
        <is>
          <t>Ver</t>
        </is>
      </c>
      <c r="R1255" s="8" t="inlineStr">
        <is>
          <t>PCAP</t>
        </is>
      </c>
      <c r="S1255" s="9" t="n">
        <v>46315</v>
      </c>
      <c r="T1255" s="3" t="n">
        <v>46314.40548611111</v>
      </c>
      <c r="U1255" s="2" t="n"/>
    </row>
    <row r="1256">
      <c r="A1256" s="2" t="inlineStr">
        <is>
          <t>En plazo</t>
        </is>
      </c>
      <c r="B1256" s="3" t="n">
        <v>46342.99930555555</v>
      </c>
      <c r="C1256" s="5" t="n">
        <v>320434.7</v>
      </c>
      <c r="D1256" s="5" t="n">
        <v>320434.7</v>
      </c>
      <c r="E1256" s="2" t="inlineStr">
        <is>
          <t>Andalucía</t>
        </is>
      </c>
      <c r="F1256" s="2" t="inlineStr">
        <is>
          <t>Córdoba</t>
        </is>
      </c>
      <c r="G1256" s="2" t="n"/>
      <c r="H1256" s="2" t="inlineStr">
        <is>
          <t>Junta de Gobierno de la Diputación Provincial de Córdoba</t>
        </is>
      </c>
      <c r="I1256" s="2" t="inlineStr">
        <is>
          <t>Contratación de la obra de construcción de tanatorio y adecuación de ampliación de Cementerio en Guadalcázar en Córdoba, obra incluida en los Planes Provinciales de Obras y Servicios 2024-2027 (bienio 2026-2027).</t>
        </is>
      </c>
      <c r="J1256" s="2" t="inlineStr">
        <is>
          <t>736/26</t>
        </is>
      </c>
      <c r="K1256" s="2" t="inlineStr">
        <is>
          <t>Abierto</t>
        </is>
      </c>
      <c r="L1256" s="6" t="n">
        <v>10</v>
      </c>
      <c r="M1256" s="2" t="n"/>
      <c r="N1256" s="7" t="n">
        <v>0.25</v>
      </c>
      <c r="O1256" s="4" t="n"/>
      <c r="P1256" s="2" t="inlineStr">
        <is>
          <t>45200000; 45215400</t>
        </is>
      </c>
      <c r="Q1256" s="8" t="inlineStr">
        <is>
          <t>Ver</t>
        </is>
      </c>
      <c r="R1256" s="8" t="inlineStr">
        <is>
          <t>PCAP</t>
        </is>
      </c>
      <c r="S1256" s="9" t="n">
        <v>46315</v>
      </c>
      <c r="T1256" s="3" t="n">
        <v>46314.40357638889</v>
      </c>
      <c r="U1256" s="2" t="n"/>
    </row>
    <row r="1257">
      <c r="A1257" s="2" t="inlineStr">
        <is>
          <t>En plazo</t>
        </is>
      </c>
      <c r="B1257" s="3" t="n">
        <v>46338.58333333334</v>
      </c>
      <c r="C1257" s="5" t="n">
        <v>94335.5</v>
      </c>
      <c r="D1257" s="5" t="n">
        <v>94335.5</v>
      </c>
      <c r="E1257" s="2" t="inlineStr">
        <is>
          <t>Andalucía</t>
        </is>
      </c>
      <c r="F1257" s="2" t="inlineStr">
        <is>
          <t>Sevilla</t>
        </is>
      </c>
      <c r="G1257" s="2" t="inlineStr">
        <is>
          <t>Santiponce</t>
        </is>
      </c>
      <c r="H1257" s="2" t="inlineStr">
        <is>
          <t>Compras de la Corporación de Radio y Televisión Española S.A.</t>
        </is>
      </c>
      <c r="I1257" s="2" t="inlineStr">
        <is>
          <t>Obras remodelación de seguridad accesos CPP Andalucía</t>
        </is>
      </c>
      <c r="J1257" s="2" t="inlineStr">
        <is>
          <t>S-04038-2026</t>
        </is>
      </c>
      <c r="K1257" s="2" t="inlineStr">
        <is>
          <t>Abierto</t>
        </is>
      </c>
      <c r="L1257" s="6" t="n">
        <v>3.4</v>
      </c>
      <c r="M1257" s="2" t="n"/>
      <c r="N1257" s="7" t="n">
        <v>0</v>
      </c>
      <c r="O1257" s="4" t="n"/>
      <c r="P1257" s="2" t="inlineStr">
        <is>
          <t>45233260; 45450000; 45400000; 45233250; 45000000</t>
        </is>
      </c>
      <c r="Q1257" s="8" t="inlineStr">
        <is>
          <t>Ver</t>
        </is>
      </c>
      <c r="R1257" s="8" t="inlineStr">
        <is>
          <t>PCAP</t>
        </is>
      </c>
      <c r="S1257" s="9" t="n">
        <v>46311</v>
      </c>
      <c r="T1257" s="3" t="n">
        <v>46314.4027199074</v>
      </c>
      <c r="U1257" s="2" t="n"/>
    </row>
    <row r="1258">
      <c r="A1258" s="2" t="inlineStr">
        <is>
          <t>Adjudicada</t>
        </is>
      </c>
      <c r="B1258" s="3" t="n">
        <v>46274.99930555555</v>
      </c>
      <c r="C1258" s="5" t="n">
        <v>3296304.52</v>
      </c>
      <c r="D1258" s="5" t="n">
        <v>3625934.97</v>
      </c>
      <c r="E1258" s="2" t="inlineStr">
        <is>
          <t>Andalucía</t>
        </is>
      </c>
      <c r="F1258" s="2" t="inlineStr">
        <is>
          <t>Jaén</t>
        </is>
      </c>
      <c r="G1258" s="2" t="inlineStr">
        <is>
          <t>MENGÍBAR</t>
        </is>
      </c>
      <c r="H1258" s="2" t="inlineStr">
        <is>
          <t>Pleno del Ayuntamiento de Mengibar</t>
        </is>
      </c>
      <c r="I1258" s="2" t="inlineStr">
        <is>
          <t>Contrato de Obras de Edificio Cívico-Cultural Multifuncional en el ámbito del antiguo Cine Avenida, Mengíbar</t>
        </is>
      </c>
      <c r="J1258" s="2" t="inlineStr">
        <is>
          <t>3587/2026</t>
        </is>
      </c>
      <c r="K1258" s="2" t="inlineStr">
        <is>
          <t>Abierto</t>
        </is>
      </c>
      <c r="L1258" s="6" t="n">
        <v>16</v>
      </c>
      <c r="M1258" s="2" t="inlineStr">
        <is>
          <t>C*-5</t>
        </is>
      </c>
      <c r="N1258" s="7" t="n">
        <v>0.1</v>
      </c>
      <c r="O1258" s="4" t="n"/>
      <c r="P1258" s="2" t="inlineStr">
        <is>
          <t>45000000</t>
        </is>
      </c>
      <c r="Q1258" s="8" t="inlineStr">
        <is>
          <t>Ver</t>
        </is>
      </c>
      <c r="R1258" s="8" t="inlineStr">
        <is>
          <t>PCAP</t>
        </is>
      </c>
      <c r="S1258" s="9" t="n">
        <v>46315</v>
      </c>
      <c r="T1258" s="3" t="n">
        <v>46314.39578703704</v>
      </c>
      <c r="U1258" s="2" t="n"/>
    </row>
    <row r="1259">
      <c r="A1259" s="2" t="inlineStr">
        <is>
          <t>En plazo</t>
        </is>
      </c>
      <c r="B1259" s="3" t="n">
        <v>46335.58333333334</v>
      </c>
      <c r="C1259" s="5" t="n">
        <v>206611.57</v>
      </c>
      <c r="D1259" s="5" t="n">
        <v>206611.57</v>
      </c>
      <c r="E1259" s="2" t="inlineStr">
        <is>
          <t>Andalucía</t>
        </is>
      </c>
      <c r="F1259" s="2" t="inlineStr">
        <is>
          <t>Cádiz</t>
        </is>
      </c>
      <c r="G1259" s="2" t="inlineStr">
        <is>
          <t>Alcalá del Valle</t>
        </is>
      </c>
      <c r="H1259" s="2" t="inlineStr">
        <is>
          <t>Junta de Gobierno Local del Ayuntamiento de Alcalá del Valle</t>
        </is>
      </c>
      <c r="I1259" s="2" t="inlineStr">
        <is>
          <t>Jardín Botánico y creación de zonas verdes.</t>
        </is>
      </c>
      <c r="J1259" s="2" t="inlineStr">
        <is>
          <t>O07/2026</t>
        </is>
      </c>
      <c r="K1259" s="2" t="inlineStr">
        <is>
          <t>Abierto simplificado</t>
        </is>
      </c>
      <c r="L1259" s="6" t="n">
        <v>6</v>
      </c>
      <c r="M1259" s="2" t="inlineStr">
        <is>
          <t>G6-2</t>
        </is>
      </c>
      <c r="N1259" s="7" t="n">
        <v>0</v>
      </c>
      <c r="O1259" s="4" t="n"/>
      <c r="P1259" s="2" t="inlineStr">
        <is>
          <t>45112700</t>
        </is>
      </c>
      <c r="Q1259" s="8" t="inlineStr">
        <is>
          <t>Ver</t>
        </is>
      </c>
      <c r="R1259" s="8" t="inlineStr">
        <is>
          <t>PCAP</t>
        </is>
      </c>
      <c r="S1259" s="9" t="n">
        <v>46315</v>
      </c>
      <c r="T1259" s="3" t="n">
        <v>46314.39482638889</v>
      </c>
      <c r="U1259" s="2" t="n"/>
    </row>
    <row r="1260">
      <c r="A1260" s="2" t="inlineStr">
        <is>
          <t>Resuelta</t>
        </is>
      </c>
      <c r="B1260" s="3" t="n">
        <v>46225.58333333334</v>
      </c>
      <c r="C1260" s="5" t="n">
        <v>213023.88</v>
      </c>
      <c r="D1260" s="5" t="n">
        <v>213023.88</v>
      </c>
      <c r="E1260" s="2" t="inlineStr">
        <is>
          <t>Comunitat Valenciana</t>
        </is>
      </c>
      <c r="F1260" s="2" t="inlineStr">
        <is>
          <t>Valencia</t>
        </is>
      </c>
      <c r="G1260" s="2" t="inlineStr">
        <is>
          <t>Valencia</t>
        </is>
      </c>
      <c r="H1260" s="2" t="inlineStr">
        <is>
          <t>Departamento de Salud Valencia - Arnau de Vilanova - Llíria. Dirección Económica-Gerencia</t>
        </is>
      </c>
      <c r="I1260" s="2" t="inlineStr">
        <is>
          <t>Obra de reforma de la instalación de detección y alarma de incendios en el hospital de Lliria del Departamento de Salud de Valencia-Arnau de Vilanova-Llíria</t>
        </is>
      </c>
      <c r="J1260" s="2" t="inlineStr">
        <is>
          <t>1267/2026</t>
        </is>
      </c>
      <c r="K1260" s="2" t="inlineStr">
        <is>
          <t>Abierto</t>
        </is>
      </c>
      <c r="L1260" s="6" t="n">
        <v>7</v>
      </c>
      <c r="M1260" s="2" t="n"/>
      <c r="N1260" s="7" t="n">
        <v>0.4</v>
      </c>
      <c r="O1260" s="4" t="n"/>
      <c r="P1260" s="2" t="inlineStr">
        <is>
          <t>45312100</t>
        </is>
      </c>
      <c r="Q1260" s="8" t="inlineStr">
        <is>
          <t>Ver</t>
        </is>
      </c>
      <c r="R1260" s="8" t="inlineStr">
        <is>
          <t>PCAP</t>
        </is>
      </c>
      <c r="S1260" s="9" t="n">
        <v>46315</v>
      </c>
      <c r="T1260" s="3" t="n">
        <v>46314.38248842592</v>
      </c>
      <c r="U1260" s="2" t="n"/>
    </row>
    <row r="1261">
      <c r="A1261" s="2" t="inlineStr">
        <is>
          <t>Pendiente de adjudicación</t>
        </is>
      </c>
      <c r="B1261" s="3" t="n">
        <v>46308.99930555555</v>
      </c>
      <c r="C1261" s="5" t="n">
        <v>448558.12</v>
      </c>
      <c r="D1261" s="5" t="n">
        <v>448558.12</v>
      </c>
      <c r="E1261" s="2" t="inlineStr">
        <is>
          <t>Andalucía</t>
        </is>
      </c>
      <c r="F1261" s="2" t="inlineStr">
        <is>
          <t>Jaén</t>
        </is>
      </c>
      <c r="G1261" s="2" t="inlineStr">
        <is>
          <t>JAÉN</t>
        </is>
      </c>
      <c r="H1261" s="2" t="inlineStr">
        <is>
          <t>Presidencia de la Diputación Provincial de Jaén</t>
        </is>
      </c>
      <c r="I1261" s="2" t="inlineStr">
        <is>
          <t>Contrato de obras de refuerzo de firme de la JV-3032 Bedmar a Estación Garcíez-Jimena.</t>
        </is>
      </c>
      <c r="J1261" s="2" t="inlineStr">
        <is>
          <t>CO-2026/000742</t>
        </is>
      </c>
      <c r="K1261" s="2" t="inlineStr">
        <is>
          <t>Abierto simplificado</t>
        </is>
      </c>
      <c r="L1261" s="6" t="n">
        <v>6</v>
      </c>
      <c r="M1261" s="2" t="n"/>
      <c r="N1261" s="7" t="n">
        <v>0.25</v>
      </c>
      <c r="O1261" s="4" t="n"/>
      <c r="P1261" s="2" t="inlineStr">
        <is>
          <t>45233223</t>
        </is>
      </c>
      <c r="Q1261" s="8" t="inlineStr">
        <is>
          <t>Ver</t>
        </is>
      </c>
      <c r="R1261" s="8" t="inlineStr">
        <is>
          <t>PCAP</t>
        </is>
      </c>
      <c r="S1261" s="9" t="n">
        <v>46315</v>
      </c>
      <c r="T1261" s="3" t="n">
        <v>46314.38165509259</v>
      </c>
      <c r="U1261" s="2" t="n"/>
    </row>
    <row r="1262">
      <c r="A1262" s="2" t="inlineStr">
        <is>
          <t>En plazo</t>
        </is>
      </c>
      <c r="B1262" s="3" t="n">
        <v>46342.99930555555</v>
      </c>
      <c r="C1262" s="5" t="n">
        <v>3900977.87</v>
      </c>
      <c r="D1262" s="5" t="n">
        <v>5071271.23</v>
      </c>
      <c r="E1262" s="2" t="inlineStr">
        <is>
          <t>Comunitat Valenciana</t>
        </is>
      </c>
      <c r="F1262" s="2" t="inlineStr">
        <is>
          <t>Valencia</t>
        </is>
      </c>
      <c r="G1262" s="2" t="n"/>
      <c r="H1262" s="2" t="inlineStr">
        <is>
          <t>Consorcio Hospital General Universitario de Valencia</t>
        </is>
      </c>
      <c r="I1262" s="2" t="inlineStr">
        <is>
          <t>Obra de reforma de la cocina del Consorcio Hospital General Universitario de Valencia.</t>
        </is>
      </c>
      <c r="J1262" s="2" t="inlineStr">
        <is>
          <t>CMAYOR/2027/HGUV0/0088</t>
        </is>
      </c>
      <c r="K1262" s="2" t="inlineStr">
        <is>
          <t>Abierto</t>
        </is>
      </c>
      <c r="L1262" s="6" t="n">
        <v>12</v>
      </c>
      <c r="M1262" s="2" t="n"/>
      <c r="N1262" s="7" t="n">
        <v>0.23</v>
      </c>
      <c r="O1262" s="4" t="n"/>
      <c r="P1262" s="2" t="inlineStr">
        <is>
          <t>45215100; 39141400; 45421151; 45215140; 45212500; 45215120</t>
        </is>
      </c>
      <c r="Q1262" s="8" t="inlineStr">
        <is>
          <t>Ver</t>
        </is>
      </c>
      <c r="R1262" s="8" t="inlineStr">
        <is>
          <t>PCAP</t>
        </is>
      </c>
      <c r="S1262" s="9" t="n">
        <v>46314</v>
      </c>
      <c r="T1262" s="3" t="n">
        <v>46314.38136574074</v>
      </c>
      <c r="U1262" s="2" t="n"/>
    </row>
    <row r="1263">
      <c r="A1263" s="2" t="inlineStr">
        <is>
          <t>Resuelta</t>
        </is>
      </c>
      <c r="B1263" s="3" t="n">
        <v>46262.99930555555</v>
      </c>
      <c r="C1263" s="5" t="n">
        <v>895294.01</v>
      </c>
      <c r="D1263" s="5" t="n">
        <v>895294.01</v>
      </c>
      <c r="E1263" s="2" t="inlineStr">
        <is>
          <t>Andalucía</t>
        </is>
      </c>
      <c r="F1263" s="2" t="inlineStr">
        <is>
          <t>Córdoba</t>
        </is>
      </c>
      <c r="G1263" s="2" t="inlineStr">
        <is>
          <t>Pozoblanco</t>
        </is>
      </c>
      <c r="H1263" s="2" t="inlineStr">
        <is>
          <t>Alcaldia del Ayuntamiento de Pozoblanco</t>
        </is>
      </c>
      <c r="I1263" s="2" t="inlineStr">
        <is>
          <t>Ejecución de las obras para el acondicionamiento de la zona infantil y ajardinada de la Piscina Municipal de Pozoblanco (Córdoba). La actuación se incluye dentro de las operaciones financiadas por el Plan Provincial Diputación Invierte (Ejercicio 2024).</t>
        </is>
      </c>
      <c r="J1263" s="2" t="inlineStr">
        <is>
          <t>2026/022</t>
        </is>
      </c>
      <c r="K1263" s="2" t="inlineStr">
        <is>
          <t>Abierto</t>
        </is>
      </c>
      <c r="L1263" s="6" t="n">
        <v>5</v>
      </c>
      <c r="M1263" s="2" t="n"/>
      <c r="N1263" s="7" t="n">
        <v>0</v>
      </c>
      <c r="O1263" s="4" t="n">
        <v>2</v>
      </c>
      <c r="P1263" s="2" t="inlineStr">
        <is>
          <t>45212212; 45112723; 37535200; 43324100</t>
        </is>
      </c>
      <c r="Q1263" s="8" t="inlineStr">
        <is>
          <t>Ver</t>
        </is>
      </c>
      <c r="R1263" s="8" t="inlineStr">
        <is>
          <t>PCAP</t>
        </is>
      </c>
      <c r="S1263" s="9" t="n">
        <v>46315</v>
      </c>
      <c r="T1263" s="3" t="n">
        <v>46314.38109953704</v>
      </c>
      <c r="U1263" s="2" t="n"/>
    </row>
    <row r="1264">
      <c r="A1264" s="2" t="inlineStr">
        <is>
          <t>Resuelta</t>
        </is>
      </c>
      <c r="B1264" s="3" t="n">
        <v>46251.99930555555</v>
      </c>
      <c r="C1264" s="5" t="n">
        <v>67705</v>
      </c>
      <c r="D1264" s="5" t="n">
        <v>67705</v>
      </c>
      <c r="E1264" s="2" t="inlineStr">
        <is>
          <t>Comunitat Valenciana</t>
        </is>
      </c>
      <c r="F1264" s="2" t="inlineStr">
        <is>
          <t>Valencia</t>
        </is>
      </c>
      <c r="G1264" s="2" t="n"/>
      <c r="H1264" s="2" t="inlineStr">
        <is>
          <t>Departamento de Salud de Manises. Dirección Económica-Gerencia</t>
        </is>
      </c>
      <c r="I1264" s="2" t="inlineStr">
        <is>
          <t>Obra para la instalación de puertas automáticas en Centros de Salud del Departamento de Salud de Manises</t>
        </is>
      </c>
      <c r="J1264" s="2" t="inlineStr">
        <is>
          <t>PA OB 1370/2026</t>
        </is>
      </c>
      <c r="K1264" s="2" t="inlineStr">
        <is>
          <t>Abierto</t>
        </is>
      </c>
      <c r="L1264" s="6" t="n">
        <v>2</v>
      </c>
      <c r="M1264" s="2" t="n"/>
      <c r="N1264" s="7" t="n">
        <v>0.4</v>
      </c>
      <c r="O1264" s="4" t="n"/>
      <c r="P1264" s="2" t="inlineStr">
        <is>
          <t>45215100; 45421111; 45421160; 44221310</t>
        </is>
      </c>
      <c r="Q1264" s="8" t="inlineStr">
        <is>
          <t>Ver</t>
        </is>
      </c>
      <c r="R1264" s="8" t="inlineStr">
        <is>
          <t>PCAP</t>
        </is>
      </c>
      <c r="S1264" s="9" t="n">
        <v>46310</v>
      </c>
      <c r="T1264" s="3" t="n">
        <v>46314.37549768519</v>
      </c>
      <c r="U1264" s="2" t="inlineStr">
        <is>
          <t>2026-10-20: estado ADJ → RES</t>
        </is>
      </c>
    </row>
    <row r="1265">
      <c r="A1265" s="2" t="inlineStr">
        <is>
          <t>En plazo</t>
        </is>
      </c>
      <c r="B1265" s="3" t="n">
        <v>46328.58333333334</v>
      </c>
      <c r="C1265" s="5" t="n">
        <v>40000000</v>
      </c>
      <c r="D1265" s="5" t="n">
        <v>80000000</v>
      </c>
      <c r="E1265" s="2" t="inlineStr">
        <is>
          <t>Andalucía</t>
        </is>
      </c>
      <c r="F1265" s="2" t="inlineStr">
        <is>
          <t>Almería</t>
        </is>
      </c>
      <c r="G1265" s="2" t="n"/>
      <c r="H1265" s="2" t="inlineStr">
        <is>
          <t>Empresa de Transformación Agraria S.A.,S.M.E., M.P., (TRAGSA)</t>
        </is>
      </c>
      <c r="I1265"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J1265" s="2" t="inlineStr">
        <is>
          <t>TSA0084163</t>
        </is>
      </c>
      <c r="K1265" s="2" t="inlineStr">
        <is>
          <t>Abierto</t>
        </is>
      </c>
      <c r="L1265" s="6" t="n">
        <v>24</v>
      </c>
      <c r="M1265" s="2" t="inlineStr">
        <is>
          <t>D*-1; A*-1; K*-1; C*-1; G*-1; E*-1</t>
        </is>
      </c>
      <c r="N1265" s="7" t="n">
        <v>0</v>
      </c>
      <c r="O1265" s="4" t="n"/>
      <c r="P1265" s="2" t="inlineStr">
        <is>
          <t>45500000</t>
        </is>
      </c>
      <c r="Q1265" s="8" t="inlineStr">
        <is>
          <t>Ver</t>
        </is>
      </c>
      <c r="R1265" s="8" t="inlineStr">
        <is>
          <t>PCAP</t>
        </is>
      </c>
      <c r="S1265" s="9" t="n">
        <v>46314</v>
      </c>
      <c r="T1265" s="3" t="n">
        <v>46314.375</v>
      </c>
      <c r="U1265" s="2" t="inlineStr">
        <is>
          <t>2026-10-20: estado PRE → PUB</t>
        </is>
      </c>
    </row>
    <row r="1266">
      <c r="A1266" s="2" t="inlineStr">
        <is>
          <t>Resuelta</t>
        </is>
      </c>
      <c r="B1266" s="3" t="n">
        <v>44925.99930555555</v>
      </c>
      <c r="C1266" s="5" t="n">
        <v>14534178.43</v>
      </c>
      <c r="D1266" s="5" t="n">
        <v>17441014.12</v>
      </c>
      <c r="E1266" s="2" t="inlineStr">
        <is>
          <t>Comunitat Valenciana</t>
        </is>
      </c>
      <c r="F1266" s="2" t="inlineStr">
        <is>
          <t>Valencia</t>
        </is>
      </c>
      <c r="G1266" s="2" t="inlineStr">
        <is>
          <t>València</t>
        </is>
      </c>
      <c r="H1266" s="2" t="inlineStr">
        <is>
          <t>Dirección General de Gestión Económica, Contratación e Infraestructuras de la Conselleria de Sanidad</t>
        </is>
      </c>
      <c r="I1266" s="2" t="inlineStr">
        <is>
          <t>Servicio de arquitectura e ingeniería para la redacción de proyectos por equipo facultativo y ejecución de las obras para la demolición del antiguo Hospital La Fe de València mediante procedimiento abierto con tramitación urgente</t>
        </is>
      </c>
      <c r="J1266" s="2" t="inlineStr">
        <is>
          <t>56/2023</t>
        </is>
      </c>
      <c r="K1266" s="2" t="inlineStr">
        <is>
          <t>Abierto</t>
        </is>
      </c>
      <c r="L1266" s="6" t="n">
        <v>23</v>
      </c>
      <c r="M1266" s="2" t="inlineStr">
        <is>
          <t>C1-6</t>
        </is>
      </c>
      <c r="N1266" s="7" t="n">
        <v>0.45</v>
      </c>
      <c r="O1266" s="4" t="n"/>
      <c r="P1266" s="2" t="inlineStr">
        <is>
          <t>45110000; 71317210; 71240000; 45310000; 45330000</t>
        </is>
      </c>
      <c r="Q1266" s="8" t="inlineStr">
        <is>
          <t>Ver</t>
        </is>
      </c>
      <c r="R1266" s="8" t="inlineStr">
        <is>
          <t>PCAP</t>
        </is>
      </c>
      <c r="S1266" s="9" t="n">
        <v>46314</v>
      </c>
      <c r="T1266" s="3" t="n">
        <v>46314.375</v>
      </c>
      <c r="U1266" s="2" t="n"/>
    </row>
    <row r="1267">
      <c r="A1267" s="2" t="inlineStr">
        <is>
          <t>Pendiente de adjudicación</t>
        </is>
      </c>
      <c r="B1267" s="3" t="n">
        <v>46303.99930555555</v>
      </c>
      <c r="C1267" s="5" t="n">
        <v>171139.98</v>
      </c>
      <c r="D1267" s="5" t="n">
        <v>171139.98</v>
      </c>
      <c r="E1267" s="2" t="inlineStr">
        <is>
          <t>Comunitat Valenciana</t>
        </is>
      </c>
      <c r="F1267" s="2" t="inlineStr">
        <is>
          <t>Alicante</t>
        </is>
      </c>
      <c r="G1267" s="2" t="n"/>
      <c r="H1267" s="2" t="inlineStr">
        <is>
          <t>Junta de Gobierno del Ayuntamiento Dénia</t>
        </is>
      </c>
      <c r="I1267" s="2" t="inlineStr">
        <is>
          <t>Proyecto y obras de un ascensor para accesibilidad en el conservatorio de música.</t>
        </is>
      </c>
      <c r="J1267" s="2" t="inlineStr">
        <is>
          <t>OBR/2026000057</t>
        </is>
      </c>
      <c r="K1267" s="2" t="inlineStr">
        <is>
          <t>Abierto simplificado</t>
        </is>
      </c>
      <c r="L1267" s="6" t="n">
        <v>6</v>
      </c>
      <c r="M1267" s="2" t="inlineStr">
        <is>
          <t>J1-2</t>
        </is>
      </c>
      <c r="N1267" s="7" t="n">
        <v>0</v>
      </c>
      <c r="O1267" s="4" t="n"/>
      <c r="P1267" s="2" t="inlineStr">
        <is>
          <t>45313100; 71242000; 42416100</t>
        </is>
      </c>
      <c r="Q1267" s="8" t="inlineStr">
        <is>
          <t>Ver</t>
        </is>
      </c>
      <c r="R1267" s="8" t="inlineStr">
        <is>
          <t>PCAP</t>
        </is>
      </c>
      <c r="S1267" s="9" t="n">
        <v>46315</v>
      </c>
      <c r="T1267" s="3" t="n">
        <v>46314.37354166667</v>
      </c>
      <c r="U1267" s="2" t="n"/>
    </row>
    <row r="1268">
      <c r="A1268" s="2" t="inlineStr">
        <is>
          <t>En plazo</t>
        </is>
      </c>
      <c r="B1268" s="3" t="n">
        <v>46342.99930555555</v>
      </c>
      <c r="C1268" s="5" t="n">
        <v>282727.27</v>
      </c>
      <c r="D1268" s="5" t="n">
        <v>282727.27</v>
      </c>
      <c r="E1268" s="2" t="inlineStr">
        <is>
          <t>Andalucía</t>
        </is>
      </c>
      <c r="F1268" s="2" t="inlineStr">
        <is>
          <t>Córdoba</t>
        </is>
      </c>
      <c r="G1268" s="2" t="n"/>
      <c r="H1268" s="2" t="inlineStr">
        <is>
          <t>Diputado delegado de Infraestructuras, Sostenibilidad y Agricultura</t>
        </is>
      </c>
      <c r="I1268" s="2" t="inlineStr">
        <is>
          <t>Contratación de la obra de intervención en el patio del Palacio Ducal, Fase III en El Carpio (Córdoba). Obra incluida en los planes provinciales de obras y servicios 2024-2027 (bienio 2026-2027).</t>
        </is>
      </c>
      <c r="J1268" s="2" t="inlineStr">
        <is>
          <t>853/26</t>
        </is>
      </c>
      <c r="K1268" s="2" t="inlineStr">
        <is>
          <t>Abierto</t>
        </is>
      </c>
      <c r="L1268" s="6" t="n">
        <v>6</v>
      </c>
      <c r="M1268" s="2" t="n"/>
      <c r="N1268" s="7" t="n">
        <v>0.25</v>
      </c>
      <c r="O1268" s="4" t="n"/>
      <c r="P1268" s="2" t="inlineStr">
        <is>
          <t>45200000</t>
        </is>
      </c>
      <c r="Q1268" s="8" t="inlineStr">
        <is>
          <t>Ver</t>
        </is>
      </c>
      <c r="R1268" s="8" t="inlineStr">
        <is>
          <t>PCAP</t>
        </is>
      </c>
      <c r="S1268" s="9" t="n">
        <v>46315</v>
      </c>
      <c r="T1268" s="3" t="n">
        <v>46314.37033564815</v>
      </c>
      <c r="U1268" s="2" t="n"/>
    </row>
    <row r="1269">
      <c r="A1269" s="2" t="inlineStr">
        <is>
          <t>Resuelta</t>
        </is>
      </c>
      <c r="B1269" s="3" t="n">
        <v>46029.99930555555</v>
      </c>
      <c r="C1269" s="5" t="n">
        <v>592104.29</v>
      </c>
      <c r="D1269" s="5" t="n">
        <v>592104.29</v>
      </c>
      <c r="E1269" s="2" t="inlineStr">
        <is>
          <t>Andalucía</t>
        </is>
      </c>
      <c r="F1269" s="2" t="inlineStr">
        <is>
          <t>Sevilla</t>
        </is>
      </c>
      <c r="G1269" s="2" t="n"/>
      <c r="H1269" s="2" t="inlineStr">
        <is>
          <t>Teniente Alcalde, Delegado de Contratación del Ayuntamiento de Lebrija</t>
        </is>
      </c>
      <c r="I1269" s="2" t="inlineStr">
        <is>
          <t>Contratación de la ejecución de obras reformas y mejoras tecnológicas en el edificio sito en C/ Sevilla nº 23, nueva sede de Policía Local.</t>
        </is>
      </c>
      <c r="J1269" s="2" t="inlineStr">
        <is>
          <t>P4105300J-2025/000258-PAAS</t>
        </is>
      </c>
      <c r="K1269" s="2" t="inlineStr">
        <is>
          <t>Abierto simplificado</t>
        </is>
      </c>
      <c r="L1269" s="6" t="n">
        <v>7</v>
      </c>
      <c r="M1269" s="2" t="inlineStr">
        <is>
          <t>C*-3; C4-3; C6-3; C2-3</t>
        </is>
      </c>
      <c r="N1269" s="7" t="n">
        <v>0</v>
      </c>
      <c r="O1269" s="4" t="n"/>
      <c r="P1269" s="2" t="inlineStr">
        <is>
          <t>45000000; 45216100; 45216111</t>
        </is>
      </c>
      <c r="Q1269" s="8" t="inlineStr">
        <is>
          <t>Ver</t>
        </is>
      </c>
      <c r="R1269" s="8" t="inlineStr">
        <is>
          <t>PCAP</t>
        </is>
      </c>
      <c r="S1269" s="9" t="n">
        <v>46315</v>
      </c>
      <c r="T1269" s="3" t="n">
        <v>46314.37016203703</v>
      </c>
      <c r="U1269" s="2" t="n"/>
    </row>
    <row r="1270">
      <c r="A1270" s="2" t="inlineStr">
        <is>
          <t>En plazo</t>
        </is>
      </c>
      <c r="B1270" s="3" t="n">
        <v>46335.99930555555</v>
      </c>
      <c r="C1270" s="5" t="n">
        <v>495867.77</v>
      </c>
      <c r="D1270" s="5" t="n">
        <v>495867.77</v>
      </c>
      <c r="E1270" s="2" t="inlineStr">
        <is>
          <t>Andalucía</t>
        </is>
      </c>
      <c r="F1270" s="2" t="inlineStr">
        <is>
          <t>Cádiz</t>
        </is>
      </c>
      <c r="G1270" s="2" t="n"/>
      <c r="H1270" s="2" t="inlineStr">
        <is>
          <t>Pleno del Ayuntamiento de Villaluenga del Rosario</t>
        </is>
      </c>
      <c r="I1270" s="2" t="inlineStr">
        <is>
          <t>Proyectos para la construcción de Finalizacion Residencia de Ancianos calle Albarrada s/n de Villaluenga del Rosario ( Cádiz )</t>
        </is>
      </c>
      <c r="J1270" s="2" t="inlineStr">
        <is>
          <t>FINALIZACION RESIDENCIA DE ANCIANOS</t>
        </is>
      </c>
      <c r="K1270" s="2" t="inlineStr">
        <is>
          <t>Abierto</t>
        </is>
      </c>
      <c r="L1270" s="6" t="n">
        <v>9</v>
      </c>
      <c r="M1270" s="2" t="n"/>
      <c r="N1270" s="7" t="n">
        <v>0</v>
      </c>
      <c r="O1270" s="4" t="n"/>
      <c r="P1270" s="2" t="inlineStr">
        <is>
          <t>45200000</t>
        </is>
      </c>
      <c r="Q1270" s="8" t="inlineStr">
        <is>
          <t>Ver</t>
        </is>
      </c>
      <c r="R1270" s="8" t="inlineStr">
        <is>
          <t>PCAP</t>
        </is>
      </c>
      <c r="S1270" s="9" t="n">
        <v>46315</v>
      </c>
      <c r="T1270" s="3" t="n">
        <v>46314.36670138889</v>
      </c>
      <c r="U1270" s="2" t="n"/>
    </row>
    <row r="1271">
      <c r="A1271" s="2" t="inlineStr">
        <is>
          <t>Resuelta</t>
        </is>
      </c>
      <c r="B1271" s="3" t="n">
        <v>46273.75</v>
      </c>
      <c r="C1271" s="5" t="n">
        <v>217972.17</v>
      </c>
      <c r="D1271" s="5" t="n">
        <v>217972.17</v>
      </c>
      <c r="E1271" s="2" t="inlineStr">
        <is>
          <t>Andalucía</t>
        </is>
      </c>
      <c r="F1271" s="2" t="inlineStr">
        <is>
          <t>Sevilla</t>
        </is>
      </c>
      <c r="G1271" s="2" t="n"/>
      <c r="H1271" s="2" t="inlineStr">
        <is>
          <t>Rectorado de la Universidad de Sevilla</t>
        </is>
      </c>
      <c r="I1271" s="2" t="inlineStr">
        <is>
          <t>Obras de renovación parcial de revestimientos en el Aula Magna del Hospital Universitario Virgen Macarena de Sevilla.</t>
        </is>
      </c>
      <c r="J1271" s="2" t="inlineStr">
        <is>
          <t>26/38706</t>
        </is>
      </c>
      <c r="K1271" s="2" t="inlineStr">
        <is>
          <t>Abierto simplificado</t>
        </is>
      </c>
      <c r="L1271" s="6" t="n">
        <v>2.3</v>
      </c>
      <c r="M1271" s="2" t="n"/>
      <c r="N1271" s="7" t="n">
        <v>0</v>
      </c>
      <c r="O1271" s="4" t="n"/>
      <c r="P1271" s="2" t="inlineStr">
        <is>
          <t>45453100</t>
        </is>
      </c>
      <c r="Q1271" s="8" t="inlineStr">
        <is>
          <t>Ver</t>
        </is>
      </c>
      <c r="R1271" s="8" t="inlineStr">
        <is>
          <t>PCAP</t>
        </is>
      </c>
      <c r="S1271" s="9" t="n">
        <v>46314</v>
      </c>
      <c r="T1271" s="3" t="n">
        <v>46314.36065972222</v>
      </c>
      <c r="U1271" s="2" t="inlineStr">
        <is>
          <t>2026-10-20: estado ADJ → RES</t>
        </is>
      </c>
    </row>
    <row r="1272">
      <c r="A1272" s="2" t="inlineStr">
        <is>
          <t>Resuelta</t>
        </is>
      </c>
      <c r="B1272" s="3" t="n">
        <v>46237.99930555555</v>
      </c>
      <c r="C1272" s="5" t="n">
        <v>331158.41</v>
      </c>
      <c r="D1272" s="5" t="n">
        <v>331158.41</v>
      </c>
      <c r="E1272" s="2" t="inlineStr">
        <is>
          <t>Andalucía</t>
        </is>
      </c>
      <c r="F1272" s="2" t="inlineStr">
        <is>
          <t>Málaga</t>
        </is>
      </c>
      <c r="G1272" s="2" t="n"/>
      <c r="H1272" s="2" t="inlineStr">
        <is>
          <t>Gerente de la Gerencia Municipal de Urbanismo del Ayuntamiento de Málaga</t>
        </is>
      </c>
      <c r="I1272" s="2" t="inlineStr">
        <is>
          <t>Obras del Proyecto de renovación de saneamiento de la barriada de La Mosca.</t>
        </is>
      </c>
      <c r="J1272" s="2" t="inlineStr">
        <is>
          <t>OB-003/26</t>
        </is>
      </c>
      <c r="K1272" s="2" t="inlineStr">
        <is>
          <t>Abierto simplificado</t>
        </is>
      </c>
      <c r="L1272" s="6" t="n">
        <v>4</v>
      </c>
      <c r="M1272" s="2" t="n"/>
      <c r="N1272" s="7" t="n">
        <v>0</v>
      </c>
      <c r="O1272" s="4" t="n"/>
      <c r="P1272" s="2" t="inlineStr">
        <is>
          <t>45232400; 45112100; 45232410; 45111100; 45200000</t>
        </is>
      </c>
      <c r="Q1272" s="8" t="inlineStr">
        <is>
          <t>Ver</t>
        </is>
      </c>
      <c r="R1272" s="8" t="inlineStr">
        <is>
          <t>PCAP</t>
        </is>
      </c>
      <c r="S1272" s="9" t="n">
        <v>46315</v>
      </c>
      <c r="T1272" s="3" t="n">
        <v>46314.35916666667</v>
      </c>
      <c r="U1272" s="2" t="n"/>
    </row>
    <row r="1273">
      <c r="A1273" s="2" t="inlineStr">
        <is>
          <t>Resuelta</t>
        </is>
      </c>
      <c r="B1273" s="3" t="n">
        <v>46247.99930555555</v>
      </c>
      <c r="C1273" s="5" t="n">
        <v>182831.9</v>
      </c>
      <c r="D1273" s="5" t="n">
        <v>182831.9</v>
      </c>
      <c r="E1273" s="2" t="inlineStr">
        <is>
          <t>Comunitat Valenciana</t>
        </is>
      </c>
      <c r="F1273" s="2" t="inlineStr">
        <is>
          <t>Valencia</t>
        </is>
      </c>
      <c r="G1273" s="2" t="n"/>
      <c r="H1273" s="2" t="inlineStr">
        <is>
          <t>Departamento de Salud Valencia Dr. Peset. Dirección Económica-Gerencia</t>
        </is>
      </c>
      <c r="I1273" s="2" t="inlineStr">
        <is>
          <t>Obra de reforma integral de los Servicios de Cirugía y Nefrología ubicados en la 5ª planta del edificio de Consultas Externas en el Hospital Universitario Doctor Peset de Valencia, con responsabilidad social y medioambiental. Lote único</t>
        </is>
      </c>
      <c r="J1273" s="2" t="inlineStr">
        <is>
          <t>PAS 473/2026</t>
        </is>
      </c>
      <c r="K1273" s="2" t="inlineStr">
        <is>
          <t>Abierto simplificado</t>
        </is>
      </c>
      <c r="L1273" s="6" t="n">
        <v>3</v>
      </c>
      <c r="M1273" s="2" t="n"/>
      <c r="N1273" s="7" t="n">
        <v>0</v>
      </c>
      <c r="O1273" s="4" t="n"/>
      <c r="P1273" s="2" t="inlineStr">
        <is>
          <t>45262520; 45441000; 45330000; 45310000</t>
        </is>
      </c>
      <c r="Q1273" s="8" t="inlineStr">
        <is>
          <t>Ver</t>
        </is>
      </c>
      <c r="R1273" s="8" t="inlineStr">
        <is>
          <t>PCAP</t>
        </is>
      </c>
      <c r="S1273" s="9" t="n">
        <v>46310</v>
      </c>
      <c r="T1273" s="3" t="n">
        <v>46314.35378472223</v>
      </c>
      <c r="U1273" s="2" t="inlineStr">
        <is>
          <t>2026-10-20: estado ADJ → RES</t>
        </is>
      </c>
    </row>
    <row r="1274">
      <c r="A1274" s="2" t="inlineStr">
        <is>
          <t>Resuelta</t>
        </is>
      </c>
      <c r="B1274" s="3" t="n">
        <v>46267.58333333334</v>
      </c>
      <c r="C1274" s="5" t="n">
        <v>174836.99</v>
      </c>
      <c r="D1274" s="5" t="n">
        <v>174836.99</v>
      </c>
      <c r="E1274" s="2" t="inlineStr">
        <is>
          <t>Comunitat Valenciana</t>
        </is>
      </c>
      <c r="F1274" s="2" t="inlineStr">
        <is>
          <t>Valencia</t>
        </is>
      </c>
      <c r="G1274" s="2" t="inlineStr">
        <is>
          <t>Roma (Requena)</t>
        </is>
      </c>
      <c r="H1274" s="2" t="inlineStr">
        <is>
          <t>Junta de Gobierno Local del Ayuntamiento de Requena</t>
        </is>
      </c>
      <c r="I1274" s="2" t="inlineStr">
        <is>
          <t>Reforma de Bar Cafeteria en Centro Social de Roma</t>
        </is>
      </c>
      <c r="J1274" s="2" t="inlineStr">
        <is>
          <t>2815792Y</t>
        </is>
      </c>
      <c r="K1274" s="2" t="inlineStr">
        <is>
          <t>Abierto simplificado</t>
        </is>
      </c>
      <c r="L1274" s="6" t="n">
        <v>4</v>
      </c>
      <c r="M1274" s="2" t="n"/>
      <c r="N1274" s="7" t="n">
        <v>0</v>
      </c>
      <c r="O1274" s="4" t="n"/>
      <c r="P1274" s="2" t="inlineStr">
        <is>
          <t>45000000</t>
        </is>
      </c>
      <c r="Q1274" s="8" t="inlineStr">
        <is>
          <t>Ver</t>
        </is>
      </c>
      <c r="R1274" s="8" t="inlineStr">
        <is>
          <t>PCAP</t>
        </is>
      </c>
      <c r="S1274" s="9" t="n">
        <v>46315</v>
      </c>
      <c r="T1274" s="3" t="n">
        <v>46314.35317129629</v>
      </c>
      <c r="U1274" s="2" t="n"/>
    </row>
    <row r="1275">
      <c r="A1275" s="2" t="inlineStr">
        <is>
          <t>Pendiente de adjudicación</t>
        </is>
      </c>
      <c r="B1275" s="3" t="n">
        <v>46237.99930555555</v>
      </c>
      <c r="C1275" s="5" t="n">
        <v>714869.4399999999</v>
      </c>
      <c r="D1275" s="5" t="n">
        <v>714869.4399999999</v>
      </c>
      <c r="E1275" s="2" t="inlineStr">
        <is>
          <t>Andalucía</t>
        </is>
      </c>
      <c r="F1275" s="2" t="inlineStr">
        <is>
          <t>Jaén</t>
        </is>
      </c>
      <c r="G1275" s="2" t="inlineStr">
        <is>
          <t>Jaén</t>
        </is>
      </c>
      <c r="H1275" s="2" t="inlineStr">
        <is>
          <t>Presidencia de la Diputación Provincial de Jaén</t>
        </is>
      </c>
      <c r="I1275" s="2" t="inlineStr">
        <is>
          <t>Contrato de Obra JA-3307, Las Casillas de Martos a Alcaudete, refuerzo de firme P.K. 0+000 al 5+90.</t>
        </is>
      </c>
      <c r="J1275" s="2" t="inlineStr">
        <is>
          <t>CO-2026/000346</t>
        </is>
      </c>
      <c r="K1275" s="2" t="inlineStr">
        <is>
          <t>Abierto</t>
        </is>
      </c>
      <c r="L1275" s="6" t="n">
        <v>6</v>
      </c>
      <c r="M1275" s="2" t="inlineStr">
        <is>
          <t>G4-3</t>
        </is>
      </c>
      <c r="N1275" s="7" t="n">
        <v>0.4</v>
      </c>
      <c r="O1275" s="4" t="n"/>
      <c r="P1275" s="2" t="inlineStr">
        <is>
          <t>45233223</t>
        </is>
      </c>
      <c r="Q1275" s="8" t="inlineStr">
        <is>
          <t>Ver</t>
        </is>
      </c>
      <c r="R1275" s="8" t="inlineStr">
        <is>
          <t>PCAP</t>
        </is>
      </c>
      <c r="S1275" s="9" t="n">
        <v>46310</v>
      </c>
      <c r="T1275" s="3" t="n">
        <v>46314.34763888889</v>
      </c>
      <c r="U1275" s="2" t="n"/>
    </row>
    <row r="1276">
      <c r="A1276" s="2" t="inlineStr">
        <is>
          <t>Resuelta</t>
        </is>
      </c>
      <c r="B1276" s="3" t="n">
        <v>46223.99930555555</v>
      </c>
      <c r="C1276" s="5" t="n">
        <v>1190770.14</v>
      </c>
      <c r="D1276" s="5" t="n">
        <v>1190770.14</v>
      </c>
      <c r="E1276" s="2" t="inlineStr">
        <is>
          <t>Andalucía</t>
        </is>
      </c>
      <c r="F1276" s="2" t="inlineStr">
        <is>
          <t>Málaga</t>
        </is>
      </c>
      <c r="G1276" s="2" t="n"/>
      <c r="H1276" s="2" t="inlineStr">
        <is>
          <t>Gerente de la Gerencia Municipal de Urbanismo del Ayuntamiento de Málaga</t>
        </is>
      </c>
      <c r="I1276" s="2" t="inlineStr">
        <is>
          <t>Obras del proyecto de mejora de urbanización en el entorno del campo de fútbol de Los Prados</t>
        </is>
      </c>
      <c r="J1276" s="2" t="inlineStr">
        <is>
          <t>OB-007/26</t>
        </is>
      </c>
      <c r="K1276" s="2" t="inlineStr">
        <is>
          <t>Abierto simplificado</t>
        </is>
      </c>
      <c r="L1276" s="6" t="n">
        <v>11</v>
      </c>
      <c r="M1276" s="2" t="inlineStr">
        <is>
          <t>G6-4</t>
        </is>
      </c>
      <c r="N1276" s="7" t="n">
        <v>0</v>
      </c>
      <c r="O1276" s="4" t="n"/>
      <c r="P1276" s="2" t="inlineStr">
        <is>
          <t>45220000; 45233252; 45212200</t>
        </is>
      </c>
      <c r="Q1276" s="8" t="inlineStr">
        <is>
          <t>Ver</t>
        </is>
      </c>
      <c r="R1276" s="8" t="inlineStr">
        <is>
          <t>PCAP</t>
        </is>
      </c>
      <c r="S1276" s="9" t="n">
        <v>46315</v>
      </c>
      <c r="T1276" s="3" t="n">
        <v>46314.34519675926</v>
      </c>
      <c r="U1276" s="2" t="n"/>
    </row>
    <row r="1277">
      <c r="A1277" s="2" t="inlineStr">
        <is>
          <t>Pendiente de adjudicación</t>
        </is>
      </c>
      <c r="B1277" s="3" t="n">
        <v>46301.99930555555</v>
      </c>
      <c r="C1277" s="5" t="n">
        <v>648847.5</v>
      </c>
      <c r="D1277" s="5" t="n">
        <v>648847.5</v>
      </c>
      <c r="E1277" s="2" t="inlineStr">
        <is>
          <t>Comunitat Valenciana</t>
        </is>
      </c>
      <c r="F1277" s="2" t="inlineStr">
        <is>
          <t>Alicante</t>
        </is>
      </c>
      <c r="G1277" s="2" t="inlineStr">
        <is>
          <t>Torrevieja</t>
        </is>
      </c>
      <c r="H1277" s="2" t="inlineStr">
        <is>
          <t>Junta de Gobierno del Ayuntamiento de Torrevieja</t>
        </is>
      </c>
      <c r="I1277" s="2" t="inlineStr">
        <is>
          <t>Contratación de las obras para la adecuación del local en C/ Chapaprieta, 17, para su uso como dependencias municipales de la policía local de Torrevieja(S/proyecto aprobado expte. 119346/2026), tramitación anticipada del gasto</t>
        </is>
      </c>
      <c r="J1277" s="2" t="inlineStr">
        <is>
          <t>122899/2026</t>
        </is>
      </c>
      <c r="K1277" s="2" t="inlineStr">
        <is>
          <t>Abierto simplificado</t>
        </is>
      </c>
      <c r="L1277" s="6" t="n">
        <v>4</v>
      </c>
      <c r="M1277" s="2" t="n"/>
      <c r="N1277" s="7" t="n">
        <v>0.25</v>
      </c>
      <c r="O1277" s="4" t="n"/>
      <c r="P1277" s="2" t="inlineStr">
        <is>
          <t>45000000; 45216111; 45453100; 45300000; 45400000; 45262700</t>
        </is>
      </c>
      <c r="Q1277" s="8" t="inlineStr">
        <is>
          <t>Ver</t>
        </is>
      </c>
      <c r="R1277" s="8" t="inlineStr">
        <is>
          <t>PCAP</t>
        </is>
      </c>
      <c r="S1277" s="9" t="n">
        <v>46315</v>
      </c>
      <c r="T1277" s="3" t="n">
        <v>46314.34221064814</v>
      </c>
      <c r="U1277" s="2" t="n"/>
    </row>
    <row r="1278">
      <c r="A1278" s="2" t="inlineStr">
        <is>
          <t>Resuelta</t>
        </is>
      </c>
      <c r="B1278" s="3" t="n">
        <v>46272.99930555555</v>
      </c>
      <c r="C1278" s="5" t="n">
        <v>21280</v>
      </c>
      <c r="D1278" s="5" t="n">
        <v>21280</v>
      </c>
      <c r="E1278" s="2" t="inlineStr">
        <is>
          <t>Andalucía</t>
        </is>
      </c>
      <c r="F1278" s="2" t="inlineStr">
        <is>
          <t>Sevilla</t>
        </is>
      </c>
      <c r="G1278" s="2" t="inlineStr">
        <is>
          <t>Los Palacios y Villafranca</t>
        </is>
      </c>
      <c r="H1278" s="2" t="inlineStr">
        <is>
          <t>Alcaldia del Ayuntamiento de Los Palacios y Villafranca</t>
        </is>
      </c>
      <c r="I1278"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1278" s="2" t="inlineStr">
        <is>
          <t>18179/2026</t>
        </is>
      </c>
      <c r="K1278" s="2" t="inlineStr">
        <is>
          <t>Abierto simplificado</t>
        </is>
      </c>
      <c r="L1278" s="6" t="n">
        <v>4</v>
      </c>
      <c r="M1278" s="2" t="n"/>
      <c r="N1278" s="7" t="n">
        <v>0</v>
      </c>
      <c r="O1278" s="4" t="n"/>
      <c r="P1278" s="2" t="inlineStr">
        <is>
          <t>45500000; 60181000</t>
        </is>
      </c>
      <c r="Q1278" s="8" t="inlineStr">
        <is>
          <t>Ver</t>
        </is>
      </c>
      <c r="R1278" s="8" t="inlineStr">
        <is>
          <t>PCAP</t>
        </is>
      </c>
      <c r="S1278" s="9" t="n">
        <v>46310</v>
      </c>
      <c r="T1278" s="3" t="n">
        <v>46314.32074074074</v>
      </c>
      <c r="U1278" s="2" t="inlineStr">
        <is>
          <t>2026-10-16: estado EV → ADJ | 2026-10-20: estado ADJ → RES</t>
        </is>
      </c>
    </row>
    <row r="1279">
      <c r="A1279" s="2" t="inlineStr">
        <is>
          <t>Pendiente de adjudicación</t>
        </is>
      </c>
      <c r="B1279" s="3" t="n">
        <v>46295.99930555555</v>
      </c>
      <c r="C1279" s="5" t="n">
        <v>1109100.79</v>
      </c>
      <c r="D1279" s="5" t="n">
        <v>1109100.79</v>
      </c>
      <c r="E1279" s="2" t="inlineStr">
        <is>
          <t>Comunitat Valenciana</t>
        </is>
      </c>
      <c r="F1279" s="2" t="inlineStr">
        <is>
          <t>Alicante</t>
        </is>
      </c>
      <c r="G1279" s="2" t="n"/>
      <c r="H1279" s="2" t="inlineStr">
        <is>
          <t>Junta de Gobierno del Ayuntamiento de Torrevieja</t>
        </is>
      </c>
      <c r="I1279" s="2" t="inlineStr">
        <is>
          <t>Obras de rehabilitación y acondicionamiento del Centro CEIP Virgen del Carmen, Plan Edificant, actuación 7922, Centro 03008678</t>
        </is>
      </c>
      <c r="J1279" s="2" t="inlineStr">
        <is>
          <t>75285/2026</t>
        </is>
      </c>
      <c r="K1279" s="2" t="inlineStr">
        <is>
          <t>Abierto</t>
        </is>
      </c>
      <c r="L1279" s="6" t="n">
        <v>8</v>
      </c>
      <c r="M1279" s="2" t="n"/>
      <c r="N1279" s="7" t="n">
        <v>0.25</v>
      </c>
      <c r="O1279" s="4" t="n"/>
      <c r="P1279" s="2" t="inlineStr">
        <is>
          <t>45200000; 45214200; 45210000</t>
        </is>
      </c>
      <c r="Q1279" s="8" t="inlineStr">
        <is>
          <t>Ver</t>
        </is>
      </c>
      <c r="R1279" s="8" t="inlineStr">
        <is>
          <t>PCAP</t>
        </is>
      </c>
      <c r="S1279" s="9" t="n">
        <v>46311</v>
      </c>
      <c r="T1279" s="3" t="n">
        <v>46314.31974537037</v>
      </c>
      <c r="U1279" s="2" t="n"/>
    </row>
    <row r="1280">
      <c r="A1280" s="2" t="inlineStr">
        <is>
          <t>Resuelta</t>
        </is>
      </c>
      <c r="B1280" s="3" t="n">
        <v>45852.99930555555</v>
      </c>
      <c r="C1280" s="5" t="n">
        <v>349001.21</v>
      </c>
      <c r="D1280" s="5" t="n">
        <v>349001.21</v>
      </c>
      <c r="E1280" s="2" t="inlineStr">
        <is>
          <t>Andalucía</t>
        </is>
      </c>
      <c r="F1280" s="2" t="inlineStr">
        <is>
          <t>Sevilla</t>
        </is>
      </c>
      <c r="G1280" s="2" t="n"/>
      <c r="H1280" s="2" t="inlineStr">
        <is>
          <t>Presidencia de la Diputación Provincial de Sevilla</t>
        </is>
      </c>
      <c r="I1280" s="2" t="inlineStr">
        <is>
          <t>Obras de terminación del Parque de los Enamorados (reformado)</t>
        </is>
      </c>
      <c r="J1280" s="2" t="inlineStr">
        <is>
          <t>2025/000176-PAAS</t>
        </is>
      </c>
      <c r="K1280" s="2" t="inlineStr">
        <is>
          <t>Abierto simplificado</t>
        </is>
      </c>
      <c r="L1280" s="6" t="n">
        <v>6</v>
      </c>
      <c r="M1280" s="2" t="n"/>
      <c r="N1280" s="7" t="n">
        <v>0</v>
      </c>
      <c r="O1280" s="4" t="n"/>
      <c r="P1280" s="2" t="inlineStr">
        <is>
          <t>45212211</t>
        </is>
      </c>
      <c r="Q1280" s="8" t="inlineStr">
        <is>
          <t>Ver</t>
        </is>
      </c>
      <c r="R1280" s="8" t="inlineStr">
        <is>
          <t>PCAP</t>
        </is>
      </c>
      <c r="S1280" s="9" t="n">
        <v>46315</v>
      </c>
      <c r="T1280" s="3" t="n">
        <v>46314.31835648148</v>
      </c>
      <c r="U1280" s="2" t="n"/>
    </row>
    <row r="1281">
      <c r="A1281" s="2" t="inlineStr">
        <is>
          <t>Resuelta</t>
        </is>
      </c>
      <c r="B1281" s="3" t="n">
        <v>46209.99930555555</v>
      </c>
      <c r="C1281" s="5" t="n">
        <v>276766.94</v>
      </c>
      <c r="D1281" s="5" t="n">
        <v>276766.94</v>
      </c>
      <c r="E1281" s="2" t="inlineStr">
        <is>
          <t>Andalucía</t>
        </is>
      </c>
      <c r="F1281" s="2" t="inlineStr">
        <is>
          <t>Córdoba</t>
        </is>
      </c>
      <c r="G1281" s="2" t="inlineStr">
        <is>
          <t>Fuente Carreteros</t>
        </is>
      </c>
      <c r="H1281" s="2" t="inlineStr">
        <is>
          <t>Diputado delegado de Infraestructuras, Sostenibilidad y Agricultura</t>
        </is>
      </c>
      <c r="I1281" s="2" t="inlineStr">
        <is>
          <t>Contratación de la obra de segunda fase de la nueva Casa Consistorial y Museo en Fuente Carreteros (Córdoba). Obra incluida en los planes provinciales de obras y servicios 2024-2027 (bienio 2026-2027).</t>
        </is>
      </c>
      <c r="J1281" s="2" t="inlineStr">
        <is>
          <t>442/26</t>
        </is>
      </c>
      <c r="K1281" s="2" t="inlineStr">
        <is>
          <t>Abierto</t>
        </is>
      </c>
      <c r="L1281" s="6" t="n">
        <v>9</v>
      </c>
      <c r="M1281" s="2" t="n"/>
      <c r="N1281" s="7" t="n">
        <v>0.25</v>
      </c>
      <c r="O1281" s="4" t="n"/>
      <c r="P1281" s="2" t="inlineStr">
        <is>
          <t>45200000; 45212000</t>
        </is>
      </c>
      <c r="Q1281" s="8" t="inlineStr">
        <is>
          <t>Ver</t>
        </is>
      </c>
      <c r="R1281" s="8" t="inlineStr">
        <is>
          <t>PCAP</t>
        </is>
      </c>
      <c r="S1281" s="9" t="n">
        <v>46315</v>
      </c>
      <c r="T1281" s="3" t="n">
        <v>46314.30722222223</v>
      </c>
      <c r="U1281" s="2" t="n"/>
    </row>
    <row r="1282">
      <c r="A1282" s="2" t="inlineStr">
        <is>
          <t>En plazo</t>
        </is>
      </c>
      <c r="B1282" s="3" t="n">
        <v>46335.58333333334</v>
      </c>
      <c r="C1282" s="5" t="n">
        <v>274306.2</v>
      </c>
      <c r="D1282" s="5" t="n">
        <v>274306.2</v>
      </c>
      <c r="E1282" s="2" t="inlineStr">
        <is>
          <t>Andalucía</t>
        </is>
      </c>
      <c r="F1282" s="2" t="inlineStr">
        <is>
          <t>Granada</t>
        </is>
      </c>
      <c r="G1282" s="2" t="inlineStr">
        <is>
          <t>Albolote (Granada)</t>
        </is>
      </c>
      <c r="H1282" s="2" t="inlineStr">
        <is>
          <t>Junta de Gobierno del Ayuntamiento de Albolote</t>
        </is>
      </c>
      <c r="I1282" s="2" t="inlineStr">
        <is>
          <t>Obras de reposición y mejora de parques infantiles de Albolote.</t>
        </is>
      </c>
      <c r="J1282" s="2" t="inlineStr">
        <is>
          <t>3265/2026</t>
        </is>
      </c>
      <c r="K1282" s="2" t="inlineStr">
        <is>
          <t>Abierto simplificado</t>
        </is>
      </c>
      <c r="L1282" s="6" t="n">
        <v>5</v>
      </c>
      <c r="M1282" s="2" t="inlineStr">
        <is>
          <t>C6-2</t>
        </is>
      </c>
      <c r="N1282" s="7" t="n">
        <v>0.2</v>
      </c>
      <c r="O1282" s="4" t="n"/>
      <c r="P1282" s="2" t="inlineStr">
        <is>
          <t>45100000; 37535200; 45432111; 37535210; 37535230; 37535260; 37535270; 37535220; 37535250; 45112210; 45432110; 45330000; 37535240; 45310000; 45259000; 45432100</t>
        </is>
      </c>
      <c r="Q1282" s="8" t="inlineStr">
        <is>
          <t>Ver</t>
        </is>
      </c>
      <c r="R1282" s="8" t="inlineStr">
        <is>
          <t>PCAP</t>
        </is>
      </c>
      <c r="S1282" s="9" t="n">
        <v>46315</v>
      </c>
      <c r="T1282" s="3" t="n">
        <v>46313.48210648148</v>
      </c>
      <c r="U1282" s="2" t="n"/>
    </row>
    <row r="1283">
      <c r="A1283" s="2" t="inlineStr">
        <is>
          <t>Resuelta</t>
        </is>
      </c>
      <c r="B1283" s="3" t="n">
        <v>46274.99930555555</v>
      </c>
      <c r="C1283" s="5" t="n">
        <v>39223.53</v>
      </c>
      <c r="D1283" s="5" t="n">
        <v>39223.53</v>
      </c>
      <c r="E1283" s="2" t="inlineStr">
        <is>
          <t>Comunitat Valenciana</t>
        </is>
      </c>
      <c r="F1283" s="2" t="inlineStr">
        <is>
          <t>Alicante</t>
        </is>
      </c>
      <c r="G1283" s="2" t="inlineStr">
        <is>
          <t>SALINAS</t>
        </is>
      </c>
      <c r="H1283" s="2" t="inlineStr">
        <is>
          <t>Alcaldía del Ayuntamiento de Salinas</t>
        </is>
      </c>
      <c r="I1283" s="2" t="inlineStr">
        <is>
          <t>Adecuación y pavimentación del camino del Alto de Don Pedro mediante triple tratamiento de gravilla en Salinas</t>
        </is>
      </c>
      <c r="J1283" s="2" t="inlineStr">
        <is>
          <t>684/2026</t>
        </is>
      </c>
      <c r="K1283" s="2" t="inlineStr">
        <is>
          <t>Abierto simplificado</t>
        </is>
      </c>
      <c r="L1283" s="6" t="n">
        <v>0.5</v>
      </c>
      <c r="M1283" s="2" t="n"/>
      <c r="N1283" s="7" t="n">
        <v>0</v>
      </c>
      <c r="O1283" s="4" t="n"/>
      <c r="P1283" s="2" t="inlineStr">
        <is>
          <t>45233222; 45233160</t>
        </is>
      </c>
      <c r="Q1283" s="8" t="inlineStr">
        <is>
          <t>Ver</t>
        </is>
      </c>
      <c r="R1283" s="8" t="inlineStr">
        <is>
          <t>PCAP</t>
        </is>
      </c>
      <c r="S1283" s="9" t="n">
        <v>46314</v>
      </c>
      <c r="T1283" s="3" t="n">
        <v>46312.79313657407</v>
      </c>
      <c r="U1283" s="2" t="n"/>
    </row>
    <row r="1284">
      <c r="A1284" s="2" t="inlineStr">
        <is>
          <t>En plazo</t>
        </is>
      </c>
      <c r="B1284" s="3" t="n">
        <v>46331.625</v>
      </c>
      <c r="C1284" s="5" t="n">
        <v>258229.57</v>
      </c>
      <c r="D1284" s="5" t="n">
        <v>258229.57</v>
      </c>
      <c r="E1284" s="2" t="inlineStr">
        <is>
          <t>Comunitat Valenciana</t>
        </is>
      </c>
      <c r="F1284" s="2" t="inlineStr">
        <is>
          <t>Valencia</t>
        </is>
      </c>
      <c r="G1284" s="2" t="inlineStr">
        <is>
          <t>L' Alcúdia de Crespins</t>
        </is>
      </c>
      <c r="H1284" s="2" t="inlineStr">
        <is>
          <t>Alcaldía del Ayuntamiento de L'Alcudia de Crespins</t>
        </is>
      </c>
      <c r="I1284" s="2" t="inlineStr">
        <is>
          <t>Obra de regeneración urbana, accesibilidad universal y reparaciones puntuales en diversas calles del término municipal, integradas en el Plan Abierto de Inversiones 2024-2027(Obra n.º 1014_24/25/COP)</t>
        </is>
      </c>
      <c r="J1284" s="2" t="inlineStr">
        <is>
          <t>3048550Y</t>
        </is>
      </c>
      <c r="K1284" s="2" t="inlineStr">
        <is>
          <t>Abierto simplificado</t>
        </is>
      </c>
      <c r="L1284" s="6" t="n">
        <v>1.6</v>
      </c>
      <c r="M1284" s="2" t="n"/>
      <c r="N1284" s="7" t="n">
        <v>0</v>
      </c>
      <c r="O1284" s="4" t="n"/>
      <c r="P1284" s="2" t="inlineStr">
        <is>
          <t>45233252; 45233222</t>
        </is>
      </c>
      <c r="Q1284" s="8" t="inlineStr">
        <is>
          <t>Ver</t>
        </is>
      </c>
      <c r="R1284" s="8" t="inlineStr">
        <is>
          <t>PCAP</t>
        </is>
      </c>
      <c r="S1284" s="9" t="n">
        <v>46314</v>
      </c>
      <c r="T1284" s="3" t="n">
        <v>46311.8287037037</v>
      </c>
      <c r="U1284" s="2" t="n"/>
    </row>
    <row r="1285">
      <c r="A1285" s="2" t="inlineStr">
        <is>
          <t>En plazo</t>
        </is>
      </c>
      <c r="B1285" s="3" t="n">
        <v>46331.58333333334</v>
      </c>
      <c r="C1285" s="5" t="n">
        <v>138178.15</v>
      </c>
      <c r="D1285" s="5" t="n">
        <v>138178.15</v>
      </c>
      <c r="E1285" s="2" t="inlineStr">
        <is>
          <t>Andalucía</t>
        </is>
      </c>
      <c r="F1285" s="2" t="inlineStr">
        <is>
          <t>Cádiz</t>
        </is>
      </c>
      <c r="G1285" s="2" t="inlineStr">
        <is>
          <t>La Línea de la Concepción</t>
        </is>
      </c>
      <c r="H1285" s="2" t="inlineStr">
        <is>
          <t>Alcaldía del Ayuntamiento de la Línea de la Concepción</t>
        </is>
      </c>
      <c r="I1285" s="2" t="inlineStr">
        <is>
          <t>Obra de reurbanización de Plaza Fariñas de La Línea de la Concepción (Cádiz)</t>
        </is>
      </c>
      <c r="J1285" s="2" t="inlineStr">
        <is>
          <t>94/26</t>
        </is>
      </c>
      <c r="K1285" s="2" t="inlineStr">
        <is>
          <t>Abierto simplificado</t>
        </is>
      </c>
      <c r="L1285" s="6" t="n">
        <v>2.3</v>
      </c>
      <c r="M1285" s="2" t="inlineStr">
        <is>
          <t>C4-1</t>
        </is>
      </c>
      <c r="N1285" s="7" t="n">
        <v>0.25</v>
      </c>
      <c r="O1285" s="4" t="n"/>
      <c r="P1285" s="2" t="inlineStr">
        <is>
          <t>45453100; 45453000; 45000000; 45400000; 45450000</t>
        </is>
      </c>
      <c r="Q1285" s="8" t="inlineStr">
        <is>
          <t>Ver</t>
        </is>
      </c>
      <c r="R1285" s="8" t="inlineStr">
        <is>
          <t>PCAP</t>
        </is>
      </c>
      <c r="S1285" s="9" t="n">
        <v>46314</v>
      </c>
      <c r="T1285" s="3" t="n">
        <v>46311.7465162037</v>
      </c>
      <c r="U1285" s="2" t="n"/>
    </row>
    <row r="1286">
      <c r="A1286" s="2" t="inlineStr">
        <is>
          <t>Pendiente de adjudicación</t>
        </is>
      </c>
      <c r="B1286" s="3" t="n">
        <v>46296.99930555555</v>
      </c>
      <c r="C1286" s="5" t="n">
        <v>223140.5</v>
      </c>
      <c r="D1286" s="5" t="n">
        <v>223140.5</v>
      </c>
      <c r="E1286" s="2" t="inlineStr">
        <is>
          <t>Comunitat Valenciana</t>
        </is>
      </c>
      <c r="F1286" s="2" t="inlineStr">
        <is>
          <t>Valencia</t>
        </is>
      </c>
      <c r="G1286" s="2" t="inlineStr">
        <is>
          <t>Almàssera</t>
        </is>
      </c>
      <c r="H1286" s="2" t="inlineStr">
        <is>
          <t>Junta de Gobierno del Ayuntamiento de Almàssera</t>
        </is>
      </c>
      <c r="I1286" s="2" t="inlineStr">
        <is>
          <t>Obra reurbanización C. Maestro Serrano de Almàssera (Pla Obert de la Diputació)</t>
        </is>
      </c>
      <c r="J1286" s="2" t="inlineStr">
        <is>
          <t>3965/2026</t>
        </is>
      </c>
      <c r="K1286" s="2" t="inlineStr">
        <is>
          <t>Abierto simplificado</t>
        </is>
      </c>
      <c r="L1286" s="6" t="n">
        <v>3</v>
      </c>
      <c r="M1286" s="2" t="n"/>
      <c r="N1286" s="7" t="n">
        <v>0</v>
      </c>
      <c r="O1286" s="4" t="n"/>
      <c r="P1286" s="2" t="inlineStr">
        <is>
          <t>45233252</t>
        </is>
      </c>
      <c r="Q1286" s="8" t="inlineStr">
        <is>
          <t>Ver</t>
        </is>
      </c>
      <c r="R1286" s="8" t="inlineStr">
        <is>
          <t>PCAP</t>
        </is>
      </c>
      <c r="S1286" s="9" t="n">
        <v>46310</v>
      </c>
      <c r="T1286" s="3" t="n">
        <v>46311.69923611111</v>
      </c>
      <c r="U1286" s="2" t="n"/>
    </row>
    <row r="1287">
      <c r="A1287" s="2" t="inlineStr">
        <is>
          <t>Resuelta</t>
        </is>
      </c>
      <c r="B1287" s="3" t="n">
        <v>46244.99930555555</v>
      </c>
      <c r="C1287" s="5" t="n">
        <v>541689.28</v>
      </c>
      <c r="D1287" s="5" t="n">
        <v>541689.28</v>
      </c>
      <c r="E1287" s="2" t="inlineStr">
        <is>
          <t>Comunitat Valenciana</t>
        </is>
      </c>
      <c r="F1287" s="2" t="inlineStr">
        <is>
          <t>Castellón</t>
        </is>
      </c>
      <c r="G1287" s="2" t="inlineStr">
        <is>
          <t>Castellón de la Plana</t>
        </is>
      </c>
      <c r="H1287" s="2" t="inlineStr">
        <is>
          <t>Secretaría General de Coordinación Territorial</t>
        </is>
      </c>
      <c r="I1287" s="2" t="inlineStr">
        <is>
          <t>Obras de Rehabilitación de fachadas y cubiertas del Edificio Sede de la Subdelegación del Gobierno en Castellón</t>
        </is>
      </c>
      <c r="J1287" s="2" t="inlineStr">
        <is>
          <t>202686026060</t>
        </is>
      </c>
      <c r="K1287" s="2" t="inlineStr">
        <is>
          <t>Abierto simplificado</t>
        </is>
      </c>
      <c r="L1287" s="6" t="n">
        <v>6</v>
      </c>
      <c r="M1287" s="2" t="n"/>
      <c r="N1287" s="7" t="n">
        <v>0</v>
      </c>
      <c r="O1287" s="4" t="n"/>
      <c r="P1287" s="2" t="inlineStr">
        <is>
          <t>45210000</t>
        </is>
      </c>
      <c r="Q1287" s="8" t="inlineStr">
        <is>
          <t>Ver</t>
        </is>
      </c>
      <c r="R1287" s="8" t="inlineStr">
        <is>
          <t>PCAP</t>
        </is>
      </c>
      <c r="S1287" s="9" t="n">
        <v>46314</v>
      </c>
      <c r="T1287" s="3" t="n">
        <v>46311.66878472222</v>
      </c>
      <c r="U1287" s="2" t="n"/>
    </row>
    <row r="1288">
      <c r="A1288" s="2" t="inlineStr">
        <is>
          <t>En plazo</t>
        </is>
      </c>
      <c r="B1288" s="3" t="n">
        <v>46337.99930555555</v>
      </c>
      <c r="C1288" s="5" t="n">
        <v>269668.44</v>
      </c>
      <c r="D1288" s="5" t="n">
        <v>323602.13</v>
      </c>
      <c r="E1288" s="2" t="inlineStr">
        <is>
          <t>Andalucía</t>
        </is>
      </c>
      <c r="F1288" s="2" t="inlineStr">
        <is>
          <t>Huelva</t>
        </is>
      </c>
      <c r="G1288" s="2" t="inlineStr">
        <is>
          <t>Moguer</t>
        </is>
      </c>
      <c r="H1288" s="2" t="inlineStr">
        <is>
          <t>Alcaldía del Ayuntamiento de Moguer</t>
        </is>
      </c>
      <c r="I1288" s="2" t="inlineStr">
        <is>
          <t>Obras para la mejora de red de saneamiento y abastecimiento de aguas y asfalto del Polígono Industrial El Algarrobito</t>
        </is>
      </c>
      <c r="J1288" s="2" t="inlineStr">
        <is>
          <t>11564/2026 MEJORA POLIGONO ALGARROBITO</t>
        </is>
      </c>
      <c r="K1288" s="2" t="inlineStr">
        <is>
          <t>Abierto</t>
        </is>
      </c>
      <c r="L1288" s="6" t="n">
        <v>5</v>
      </c>
      <c r="M1288" s="2" t="n"/>
      <c r="N1288" s="7" t="n">
        <v>0</v>
      </c>
      <c r="O1288" s="4" t="n">
        <v>2</v>
      </c>
      <c r="P1288" s="2" t="inlineStr">
        <is>
          <t>45233140; 45232410; 45231300; 45233222</t>
        </is>
      </c>
      <c r="Q1288" s="8" t="inlineStr">
        <is>
          <t>Ver</t>
        </is>
      </c>
      <c r="R1288" s="8" t="inlineStr">
        <is>
          <t>PCAP</t>
        </is>
      </c>
      <c r="S1288" s="9" t="n">
        <v>46314</v>
      </c>
      <c r="T1288" s="3" t="n">
        <v>46311.64524305556</v>
      </c>
      <c r="U1288" s="2" t="n"/>
    </row>
    <row r="1289">
      <c r="A1289" s="2" t="inlineStr">
        <is>
          <t>Resuelta</t>
        </is>
      </c>
      <c r="B1289" s="3" t="n">
        <v>46273.99930555555</v>
      </c>
      <c r="C1289" s="5" t="n">
        <v>454901.03</v>
      </c>
      <c r="D1289" s="5" t="n">
        <v>454901.03</v>
      </c>
      <c r="E1289" s="2" t="inlineStr">
        <is>
          <t>Comunitat Valenciana</t>
        </is>
      </c>
      <c r="F1289" s="2" t="inlineStr">
        <is>
          <t>Valencia</t>
        </is>
      </c>
      <c r="G1289" s="2" t="n"/>
      <c r="H1289" s="2" t="inlineStr">
        <is>
          <t>Pleno del Ayuntamiento de Marines</t>
        </is>
      </c>
      <c r="I1289" s="2" t="inlineStr">
        <is>
          <t>Reurbanización de las calles Miguel Hernández, Gátova y Colón en el T.M. de Marines (Valencia)</t>
        </is>
      </c>
      <c r="J1289" s="2" t="inlineStr">
        <is>
          <t>455/2026</t>
        </is>
      </c>
      <c r="K1289" s="2" t="inlineStr">
        <is>
          <t>Abierto simplificado</t>
        </is>
      </c>
      <c r="L1289" s="6" t="n">
        <v>4</v>
      </c>
      <c r="M1289" s="2" t="n"/>
      <c r="N1289" s="7" t="n">
        <v>0</v>
      </c>
      <c r="O1289" s="4" t="n"/>
      <c r="P1289" s="2" t="inlineStr">
        <is>
          <t>45211360; 45231300; 45233252; 45111100; 45112500; 45232150; 45233222; 45111200; 45233120; 45311000; 45112000; 45233221; 45316110; 45233290</t>
        </is>
      </c>
      <c r="Q1289" s="8" t="inlineStr">
        <is>
          <t>Ver</t>
        </is>
      </c>
      <c r="R1289" s="8" t="inlineStr">
        <is>
          <t>PCAP</t>
        </is>
      </c>
      <c r="S1289" s="9" t="n">
        <v>46314</v>
      </c>
      <c r="T1289" s="3" t="n">
        <v>46311.61202546296</v>
      </c>
      <c r="U1289" s="2" t="n"/>
    </row>
    <row r="1290">
      <c r="A1290" s="2" t="inlineStr">
        <is>
          <t>En plazo</t>
        </is>
      </c>
      <c r="B1290" s="3" t="n">
        <v>46331.99930555555</v>
      </c>
      <c r="C1290" s="5" t="n">
        <v>810884.09</v>
      </c>
      <c r="D1290" s="5" t="n">
        <v>810884.09</v>
      </c>
      <c r="E1290" s="2" t="inlineStr">
        <is>
          <t>Comunitat Valenciana</t>
        </is>
      </c>
      <c r="F1290" s="2" t="inlineStr">
        <is>
          <t>Castellón</t>
        </is>
      </c>
      <c r="G1290" s="2" t="n"/>
      <c r="H1290" s="2" t="inlineStr">
        <is>
          <t>Junta de Gobierno del Ayuntamiento de Borriana</t>
        </is>
      </c>
      <c r="I1290" s="2" t="inlineStr">
        <is>
          <t>Ejecución de las obras "Acondicionamiento del Cami Fondo entre la avda. Vicente Cañada Blanch y la avda. Unión Europea" (PM 8/2026).</t>
        </is>
      </c>
      <c r="J1290" s="2" t="inlineStr">
        <is>
          <t>BURR 16353/2026-PM 8/2026</t>
        </is>
      </c>
      <c r="K1290" s="2" t="inlineStr">
        <is>
          <t>Abierto simplificado</t>
        </is>
      </c>
      <c r="L1290" s="6" t="n">
        <v>6</v>
      </c>
      <c r="M1290" s="2" t="inlineStr">
        <is>
          <t>G4-3</t>
        </is>
      </c>
      <c r="N1290" s="7" t="n">
        <v>0.25</v>
      </c>
      <c r="O1290" s="4" t="n"/>
      <c r="P1290" s="2" t="inlineStr">
        <is>
          <t>45230000</t>
        </is>
      </c>
      <c r="Q1290" s="8" t="inlineStr">
        <is>
          <t>Ver</t>
        </is>
      </c>
      <c r="R1290" s="8" t="inlineStr">
        <is>
          <t>PCAP</t>
        </is>
      </c>
      <c r="S1290" s="9" t="n">
        <v>46314</v>
      </c>
      <c r="T1290" s="3" t="n">
        <v>46311.61008101852</v>
      </c>
      <c r="U1290" s="2" t="n"/>
    </row>
    <row r="1291">
      <c r="A1291" s="2" t="inlineStr">
        <is>
          <t>En plazo</t>
        </is>
      </c>
      <c r="B1291" s="3" t="n">
        <v>46324.5</v>
      </c>
      <c r="C1291" s="5" t="n">
        <v>20327126.55</v>
      </c>
      <c r="D1291" s="5" t="n">
        <v>21140211.61</v>
      </c>
      <c r="E1291" s="2" t="inlineStr">
        <is>
          <t>Andalucía</t>
        </is>
      </c>
      <c r="F1291" s="2" t="inlineStr">
        <is>
          <t>Málaga</t>
        </is>
      </c>
      <c r="G1291" s="2" t="inlineStr">
        <is>
          <t>Málaga</t>
        </is>
      </c>
      <c r="H1291" s="2" t="inlineStr">
        <is>
          <t>Aena. Consejo de Administración</t>
        </is>
      </c>
      <c r="I1291" s="2" t="inlineStr">
        <is>
          <t>Actuaciones En Pavimento En Rodadura A Y Salidas Asociadas. Aeropuerto De Málaga - Costa Del Sol.</t>
        </is>
      </c>
      <c r="J1291" s="2" t="inlineStr">
        <is>
          <t>DIN-442/2026</t>
        </is>
      </c>
      <c r="K1291" s="2" t="inlineStr">
        <is>
          <t>Licitación con negociación</t>
        </is>
      </c>
      <c r="L1291" s="6" t="n">
        <v>37</v>
      </c>
      <c r="M1291" s="2" t="n"/>
      <c r="N1291" s="7" t="n">
        <v>0</v>
      </c>
      <c r="O1291" s="4" t="n"/>
      <c r="P1291" s="2" t="inlineStr">
        <is>
          <t>45235311</t>
        </is>
      </c>
      <c r="Q1291" s="8" t="inlineStr">
        <is>
          <t>Ver</t>
        </is>
      </c>
      <c r="R1291" s="8" t="inlineStr">
        <is>
          <t>PCAP</t>
        </is>
      </c>
      <c r="S1291" s="9" t="n">
        <v>46314</v>
      </c>
      <c r="T1291" s="3" t="n">
        <v>46311.60924768518</v>
      </c>
      <c r="U1291" s="2" t="n"/>
    </row>
    <row r="1292">
      <c r="A1292" s="2" t="inlineStr">
        <is>
          <t>Resuelta</t>
        </is>
      </c>
      <c r="B1292" s="3" t="n">
        <v>46237.99930555555</v>
      </c>
      <c r="C1292" s="5" t="n">
        <v>1652892.57</v>
      </c>
      <c r="D1292" s="5" t="n">
        <v>702479.34</v>
      </c>
      <c r="E1292" s="2" t="inlineStr">
        <is>
          <t>Comunitat Valenciana</t>
        </is>
      </c>
      <c r="F1292" s="2" t="inlineStr">
        <is>
          <t>Valencia</t>
        </is>
      </c>
      <c r="G1292" s="2" t="n"/>
      <c r="H1292" s="2" t="inlineStr">
        <is>
          <t>Alcaldia del Ayuntamiento de Ontinyent</t>
        </is>
      </c>
      <c r="I1292" s="2" t="inlineStr">
        <is>
          <t>Contratación de las obras del Plan de mejora de eficiencia urbana de Ontinyent</t>
        </is>
      </c>
      <c r="J1292" s="2" t="inlineStr">
        <is>
          <t>2923165C</t>
        </is>
      </c>
      <c r="K1292" s="2" t="inlineStr">
        <is>
          <t>Abierto simplificado</t>
        </is>
      </c>
      <c r="L1292" s="6" t="n">
        <v>8</v>
      </c>
      <c r="M1292" s="2" t="inlineStr">
        <is>
          <t>G6-4</t>
        </is>
      </c>
      <c r="N1292" s="7" t="n">
        <v>0.25</v>
      </c>
      <c r="O1292" s="4" t="n"/>
      <c r="P1292" s="2" t="inlineStr">
        <is>
          <t>45233200; 45233222; 37535200; 45233223; 45233252; 45233251; 45236210</t>
        </is>
      </c>
      <c r="Q1292" s="8" t="inlineStr">
        <is>
          <t>Ver</t>
        </is>
      </c>
      <c r="R1292" s="8" t="inlineStr">
        <is>
          <t>PCAP</t>
        </is>
      </c>
      <c r="S1292" s="9" t="n">
        <v>46310</v>
      </c>
      <c r="T1292" s="3" t="n">
        <v>46311.6081712963</v>
      </c>
      <c r="U1292" s="2" t="inlineStr">
        <is>
          <t>2026-10-19: estado ADJ → RES</t>
        </is>
      </c>
    </row>
    <row r="1293">
      <c r="A1293" s="2" t="inlineStr">
        <is>
          <t>En plazo</t>
        </is>
      </c>
      <c r="B1293" s="3" t="n">
        <v>46336.99930555555</v>
      </c>
      <c r="C1293" s="5" t="n">
        <v>115671.92</v>
      </c>
      <c r="D1293" s="5" t="n">
        <v>127239.11</v>
      </c>
      <c r="E1293" s="2" t="inlineStr">
        <is>
          <t>Comunitat Valenciana</t>
        </is>
      </c>
      <c r="F1293" s="2" t="inlineStr">
        <is>
          <t>Alicante</t>
        </is>
      </c>
      <c r="G1293" s="2" t="inlineStr">
        <is>
          <t>ALICANTE</t>
        </is>
      </c>
      <c r="H1293" s="2" t="inlineStr">
        <is>
          <t>Departamento de Salud de San Juan Alicante. Dirección Económica-Gerencia</t>
        </is>
      </c>
      <c r="I1293" s="2" t="inlineStr">
        <is>
          <t>Obra de impermeabilización de las terrazas del Centro de Salud El Campello del Departamento de Salud de Alicante-Sant Joan d´Alacant, en condiciones de seguridad y salud laboral, así como de prácticas respetuosas con el medioambiente.</t>
        </is>
      </c>
      <c r="J1293" s="2" t="inlineStr">
        <is>
          <t>PAS 258/2026</t>
        </is>
      </c>
      <c r="K1293" s="2" t="inlineStr">
        <is>
          <t>Abierto simplificado</t>
        </is>
      </c>
      <c r="L1293" s="6" t="n">
        <v>3</v>
      </c>
      <c r="M1293" s="2" t="n"/>
      <c r="N1293" s="7" t="n">
        <v>0.2</v>
      </c>
      <c r="O1293" s="4" t="n"/>
      <c r="P1293" s="2" t="inlineStr">
        <is>
          <t>45261420</t>
        </is>
      </c>
      <c r="Q1293" s="8" t="inlineStr">
        <is>
          <t>Ver</t>
        </is>
      </c>
      <c r="R1293" s="8" t="inlineStr">
        <is>
          <t>PCAP</t>
        </is>
      </c>
      <c r="S1293" s="9" t="n">
        <v>46314</v>
      </c>
      <c r="T1293" s="3" t="n">
        <v>46311.60664351852</v>
      </c>
      <c r="U1293" s="2" t="n"/>
    </row>
    <row r="1294">
      <c r="A1294" s="2" t="inlineStr">
        <is>
          <t>Resuelta</t>
        </is>
      </c>
      <c r="B1294" s="3" t="n">
        <v>45876.99930555555</v>
      </c>
      <c r="C1294" s="5" t="n">
        <v>1861725.22</v>
      </c>
      <c r="D1294" s="5" t="n">
        <v>2234070.26</v>
      </c>
      <c r="E1294" s="2" t="inlineStr">
        <is>
          <t>Comunitat Valenciana</t>
        </is>
      </c>
      <c r="F1294" s="2" t="inlineStr">
        <is>
          <t>Valencia</t>
        </is>
      </c>
      <c r="G1294" s="2" t="n"/>
      <c r="H1294" s="2" t="inlineStr">
        <is>
          <t>Junta de Gobierno del Ayuntamiento de Picanya</t>
        </is>
      </c>
      <c r="I1294" s="2" t="inlineStr">
        <is>
          <t>Contrato de obras de reconstrucción y reparación aparcamiento subterráneo Av. Sanchis Guarner</t>
        </is>
      </c>
      <c r="J1294" s="2" t="inlineStr">
        <is>
          <t>2351294M</t>
        </is>
      </c>
      <c r="K1294" s="2" t="inlineStr">
        <is>
          <t>Abierto</t>
        </is>
      </c>
      <c r="L1294" s="6" t="n">
        <v>12</v>
      </c>
      <c r="M1294" s="2" t="inlineStr">
        <is>
          <t>C2-4</t>
        </is>
      </c>
      <c r="N1294" s="7" t="n">
        <v>0.45</v>
      </c>
      <c r="O1294" s="4" t="n"/>
      <c r="P1294" s="2" t="inlineStr">
        <is>
          <t>45000000; 45200000</t>
        </is>
      </c>
      <c r="Q1294" s="8" t="inlineStr">
        <is>
          <t>Ver</t>
        </is>
      </c>
      <c r="R1294" s="8" t="inlineStr">
        <is>
          <t>PCAP</t>
        </is>
      </c>
      <c r="S1294" s="9" t="n">
        <v>46310</v>
      </c>
      <c r="T1294" s="3" t="n">
        <v>46311.60600694444</v>
      </c>
      <c r="U1294" s="2" t="n"/>
    </row>
    <row r="1295">
      <c r="A1295" s="2" t="inlineStr">
        <is>
          <t>En plazo</t>
        </is>
      </c>
      <c r="B1295" s="3" t="n">
        <v>46329.79166666666</v>
      </c>
      <c r="C1295" s="5" t="n">
        <v>1071077.53</v>
      </c>
      <c r="D1295" s="5" t="n">
        <v>1071077.53</v>
      </c>
      <c r="E1295" s="2" t="inlineStr">
        <is>
          <t>Andalucía</t>
        </is>
      </c>
      <c r="F1295" s="2" t="inlineStr">
        <is>
          <t>Almería</t>
        </is>
      </c>
      <c r="G1295" s="2" t="inlineStr">
        <is>
          <t>Almería</t>
        </is>
      </c>
      <c r="H1295" s="2" t="inlineStr">
        <is>
          <t>Presidencia de la Autoridad Portuaria de Almería</t>
        </is>
      </c>
      <c r="I1295" s="2" t="inlineStr">
        <is>
          <t>Obras de Reforma de Pasarelas 4 y 5 en Puerto de Almería</t>
        </is>
      </c>
      <c r="J1295" s="2" t="inlineStr">
        <is>
          <t>31/O/A/AL26</t>
        </is>
      </c>
      <c r="K1295" s="2" t="inlineStr">
        <is>
          <t>Abierto</t>
        </is>
      </c>
      <c r="L1295" s="6" t="n">
        <v>12</v>
      </c>
      <c r="M1295" s="2" t="inlineStr">
        <is>
          <t>C3-4</t>
        </is>
      </c>
      <c r="N1295" s="7" t="n">
        <v>0.25</v>
      </c>
      <c r="O1295" s="4" t="n"/>
      <c r="P1295" s="2" t="inlineStr">
        <is>
          <t>45223210; 45223100</t>
        </is>
      </c>
      <c r="Q1295" s="8" t="inlineStr">
        <is>
          <t>Ver</t>
        </is>
      </c>
      <c r="R1295" s="8" t="inlineStr">
        <is>
          <t>PCAP</t>
        </is>
      </c>
      <c r="S1295" s="9" t="n">
        <v>46310</v>
      </c>
      <c r="T1295" s="3" t="n">
        <v>46311.60087962963</v>
      </c>
      <c r="U1295" s="2" t="n"/>
    </row>
    <row r="1296">
      <c r="A1296" s="2" t="inlineStr">
        <is>
          <t>Pendiente de adjudicación</t>
        </is>
      </c>
      <c r="B1296" s="3" t="n">
        <v>46308.99930555555</v>
      </c>
      <c r="C1296" s="5" t="n">
        <v>337455.6</v>
      </c>
      <c r="D1296" s="5" t="n">
        <v>337455.6</v>
      </c>
      <c r="E1296" s="2" t="inlineStr">
        <is>
          <t>Comunitat Valenciana</t>
        </is>
      </c>
      <c r="F1296" s="2" t="inlineStr">
        <is>
          <t>Alicante</t>
        </is>
      </c>
      <c r="G1296" s="2" t="inlineStr">
        <is>
          <t>Catral</t>
        </is>
      </c>
      <c r="H1296" s="2" t="inlineStr">
        <is>
          <t>Junta de Gobierno Local del Ayuntamiento de Catral</t>
        </is>
      </c>
      <c r="I1296" s="2" t="inlineStr">
        <is>
          <t>Suministro, obra, instalación, comunicaciones y configuración de los elementos necesarios para ampliar el sistema de seguridad ciudadana y de tráfico.</t>
        </is>
      </c>
      <c r="J1296" s="2" t="inlineStr">
        <is>
          <t>2292/2026</t>
        </is>
      </c>
      <c r="K1296" s="2" t="inlineStr">
        <is>
          <t>Abierto simplificado</t>
        </is>
      </c>
      <c r="L1296" s="6" t="n">
        <v>6</v>
      </c>
      <c r="M1296" s="2" t="n"/>
      <c r="N1296" s="7" t="n">
        <v>0</v>
      </c>
      <c r="O1296" s="4" t="n"/>
      <c r="P1296" s="2" t="inlineStr">
        <is>
          <t>45314000; 35125300; 32523000; 32323500; 32562000</t>
        </is>
      </c>
      <c r="Q1296" s="8" t="inlineStr">
        <is>
          <t>Ver</t>
        </is>
      </c>
      <c r="R1296" s="8" t="inlineStr">
        <is>
          <t>PCAP</t>
        </is>
      </c>
      <c r="S1296" s="9" t="n">
        <v>46314</v>
      </c>
      <c r="T1296" s="3" t="n">
        <v>46311.59895833334</v>
      </c>
      <c r="U1296" s="2" t="n"/>
    </row>
    <row r="1297">
      <c r="A1297" s="2" t="inlineStr">
        <is>
          <t>Resuelta</t>
        </is>
      </c>
      <c r="B1297" s="3" t="n"/>
      <c r="C1297" s="5" t="n">
        <v>889811.04</v>
      </c>
      <c r="D1297" s="5" t="n">
        <v>1076671.36</v>
      </c>
      <c r="E1297" s="2" t="inlineStr">
        <is>
          <t>Andalucía</t>
        </is>
      </c>
      <c r="F1297" s="2" t="inlineStr">
        <is>
          <t>Granada</t>
        </is>
      </c>
      <c r="G1297" s="2" t="n"/>
      <c r="H1297" s="2" t="inlineStr">
        <is>
          <t>Demarcación de Carreteras del Estado en Andalucía Oriental</t>
        </is>
      </c>
      <c r="I1297" s="2" t="inlineStr">
        <is>
          <t>Reparación de daños extraordinarios motivados por episodios metereológicos excepcionales entre el 20 de enero y 15 de febrero de 2026 en la provincia de Almería en la nacional N-340a. LOTE 4</t>
        </is>
      </c>
      <c r="J1297" s="2" t="inlineStr">
        <is>
          <t>EM32-AL-260006.L4</t>
        </is>
      </c>
      <c r="K1297" s="2" t="inlineStr">
        <is>
          <t>Negociado sin publicidad</t>
        </is>
      </c>
      <c r="L1297" s="6" t="n">
        <v>4</v>
      </c>
      <c r="M1297" s="2" t="n"/>
      <c r="N1297" s="7" t="n"/>
      <c r="O1297" s="4" t="n"/>
      <c r="P1297" s="2" t="inlineStr">
        <is>
          <t>45000000</t>
        </is>
      </c>
      <c r="Q1297" s="8" t="inlineStr">
        <is>
          <t>Ver</t>
        </is>
      </c>
      <c r="R1297" s="2" t="n"/>
      <c r="S1297" s="9" t="n">
        <v>46314</v>
      </c>
      <c r="T1297" s="3" t="n">
        <v>46311.5981712963</v>
      </c>
      <c r="U1297" s="2" t="n"/>
    </row>
    <row r="1298">
      <c r="A1298" s="2" t="inlineStr">
        <is>
          <t>En plazo</t>
        </is>
      </c>
      <c r="B1298" s="3" t="n">
        <v>46331.99930555555</v>
      </c>
      <c r="C1298" s="5" t="n">
        <v>82243.75999999999</v>
      </c>
      <c r="D1298" s="5" t="n">
        <v>82243.75999999999</v>
      </c>
      <c r="E1298" s="2" t="inlineStr">
        <is>
          <t>Andalucía</t>
        </is>
      </c>
      <c r="F1298" s="2" t="inlineStr">
        <is>
          <t>Córdoba</t>
        </is>
      </c>
      <c r="G1298" s="2" t="inlineStr">
        <is>
          <t>CABRA</t>
        </is>
      </c>
      <c r="H1298" s="2" t="inlineStr">
        <is>
          <t>Alcaldía del Ayuntamiento de Cabra</t>
        </is>
      </c>
      <c r="I1298" s="2" t="inlineStr">
        <is>
          <t>Contrato de Obras para la Reforma de los Jardines situados en el PAU R2- FASE I de la localidad de Cabra (Córdoba)</t>
        </is>
      </c>
      <c r="J1298" s="2" t="inlineStr">
        <is>
          <t>2026/28058</t>
        </is>
      </c>
      <c r="K1298" s="2" t="inlineStr">
        <is>
          <t>Abierto simplificado</t>
        </is>
      </c>
      <c r="L1298" s="6" t="n">
        <v>2</v>
      </c>
      <c r="M1298" s="2" t="n"/>
      <c r="N1298" s="7" t="n">
        <v>0</v>
      </c>
      <c r="O1298" s="4" t="n"/>
      <c r="P1298" s="2" t="inlineStr">
        <is>
          <t>45000000; 45112712</t>
        </is>
      </c>
      <c r="Q1298" s="8" t="inlineStr">
        <is>
          <t>Ver</t>
        </is>
      </c>
      <c r="R1298" s="8" t="inlineStr">
        <is>
          <t>PCAP</t>
        </is>
      </c>
      <c r="S1298" s="9" t="n">
        <v>46314</v>
      </c>
      <c r="T1298" s="3" t="n">
        <v>46311.59704861111</v>
      </c>
      <c r="U1298" s="2" t="n"/>
    </row>
    <row r="1299">
      <c r="A1299" s="2" t="inlineStr">
        <is>
          <t>Resuelta</t>
        </is>
      </c>
      <c r="B1299" s="3" t="n"/>
      <c r="C1299" s="5" t="n">
        <v>762784.24</v>
      </c>
      <c r="D1299" s="5" t="n">
        <v>922968.9399999999</v>
      </c>
      <c r="E1299" s="2" t="inlineStr">
        <is>
          <t>Andalucía</t>
        </is>
      </c>
      <c r="F1299" s="2" t="inlineStr">
        <is>
          <t>Granada</t>
        </is>
      </c>
      <c r="G1299" s="2" t="n"/>
      <c r="H1299" s="2" t="inlineStr">
        <is>
          <t>Demarcación de Carreteras del Estado en Andalucía Oriental</t>
        </is>
      </c>
      <c r="I1299" s="2" t="inlineStr">
        <is>
          <t>Reparación de daños extraordinarios motivados por episodios metereológicos excepcionales entre el 20 de enero y 15 de febrero de 2026 en la provincia de Almería en la nacional N-341. LOTE 3</t>
        </is>
      </c>
      <c r="J1299" s="2" t="inlineStr">
        <is>
          <t>EM32-AL-260006.L3</t>
        </is>
      </c>
      <c r="K1299" s="2" t="inlineStr">
        <is>
          <t>Negociado sin publicidad</t>
        </is>
      </c>
      <c r="L1299" s="6" t="n">
        <v>4</v>
      </c>
      <c r="M1299" s="2" t="n"/>
      <c r="N1299" s="7" t="n"/>
      <c r="O1299" s="4" t="n"/>
      <c r="P1299" s="2" t="inlineStr">
        <is>
          <t>45000000</t>
        </is>
      </c>
      <c r="Q1299" s="8" t="inlineStr">
        <is>
          <t>Ver</t>
        </is>
      </c>
      <c r="R1299" s="2" t="n"/>
      <c r="S1299" s="9" t="n">
        <v>46314</v>
      </c>
      <c r="T1299" s="3" t="n">
        <v>46311.59630787037</v>
      </c>
      <c r="U1299" s="2" t="n"/>
    </row>
    <row r="1300">
      <c r="A1300" s="2" t="inlineStr">
        <is>
          <t>Adjudicada</t>
        </is>
      </c>
      <c r="B1300" s="3" t="n">
        <v>46272.99930555555</v>
      </c>
      <c r="C1300" s="5" t="n">
        <v>2096364.47</v>
      </c>
      <c r="D1300" s="5" t="n">
        <v>2096364.47</v>
      </c>
      <c r="E1300" s="2" t="inlineStr">
        <is>
          <t>Andalucía</t>
        </is>
      </c>
      <c r="F1300" s="2" t="inlineStr">
        <is>
          <t>Jaén</t>
        </is>
      </c>
      <c r="G1300" s="2" t="inlineStr">
        <is>
          <t>Alcalá la Real (Jaén)</t>
        </is>
      </c>
      <c r="H1300" s="2" t="inlineStr">
        <is>
          <t>Junta de Gobierno del Ayuntamiento de Alcalá la Real</t>
        </is>
      </c>
      <c r="I1300" s="2" t="inlineStr">
        <is>
          <t>Contratación de las obras necesarias para la ejecución de la Fase 1 del proyecto relativo a la reforma integral de la piscina municipal de verano de Alcalá la Real Jaén, en el marco de los planes de actuación integrados de entidades locales EDIL, en desarrollo urbano sostenible, cofinanciados con cargo al Fondo Europeo de Desarrollo Regional FEDER 2021-2027</t>
        </is>
      </c>
      <c r="J1300" s="2" t="inlineStr">
        <is>
          <t>6886/2026</t>
        </is>
      </c>
      <c r="K1300" s="2" t="inlineStr">
        <is>
          <t>Abierto</t>
        </is>
      </c>
      <c r="L1300" s="6" t="n">
        <v>7</v>
      </c>
      <c r="M1300" s="2" t="inlineStr">
        <is>
          <t>C4-4; E7-4</t>
        </is>
      </c>
      <c r="N1300" s="7" t="n">
        <v>0</v>
      </c>
      <c r="O1300" s="4" t="n"/>
      <c r="P1300" s="2" t="inlineStr">
        <is>
          <t>45220000; 45211350; 45212212</t>
        </is>
      </c>
      <c r="Q1300" s="8" t="inlineStr">
        <is>
          <t>Ver</t>
        </is>
      </c>
      <c r="R1300" s="8" t="inlineStr">
        <is>
          <t>PCAP</t>
        </is>
      </c>
      <c r="S1300" s="9" t="n">
        <v>46314</v>
      </c>
      <c r="T1300" s="3" t="n">
        <v>46311.59550925926</v>
      </c>
      <c r="U1300" s="2" t="n"/>
    </row>
    <row r="1301">
      <c r="A1301" s="2" t="inlineStr">
        <is>
          <t>Resuelta</t>
        </is>
      </c>
      <c r="B1301" s="3" t="n">
        <v>46237.99930555555</v>
      </c>
      <c r="C1301" s="5" t="n">
        <v>702479.34</v>
      </c>
      <c r="D1301" s="5" t="n">
        <v>702479.34</v>
      </c>
      <c r="E1301" s="2" t="inlineStr">
        <is>
          <t>Comunitat Valenciana</t>
        </is>
      </c>
      <c r="F1301" s="2" t="inlineStr">
        <is>
          <t>Valencia</t>
        </is>
      </c>
      <c r="G1301" s="2" t="inlineStr">
        <is>
          <t>Ontinyent</t>
        </is>
      </c>
      <c r="H1301" s="2" t="inlineStr">
        <is>
          <t>Alcaldia del Ayuntamiento de Ontinyent</t>
        </is>
      </c>
      <c r="I1301" s="2" t="inlineStr">
        <is>
          <t>Contratación de las obras de renovación de las infraestructuras hidráulicas en el entorno del mirador de la calle Joan Belda Pastor</t>
        </is>
      </c>
      <c r="J1301" s="2" t="inlineStr">
        <is>
          <t>2935099C</t>
        </is>
      </c>
      <c r="K1301" s="2" t="inlineStr">
        <is>
          <t>Abierto simplificado</t>
        </is>
      </c>
      <c r="L1301" s="6" t="n">
        <v>6</v>
      </c>
      <c r="M1301" s="2" t="inlineStr">
        <is>
          <t>E1-2; G6-3</t>
        </is>
      </c>
      <c r="N1301" s="7" t="n">
        <v>0.25</v>
      </c>
      <c r="O1301" s="4" t="n"/>
      <c r="P1301" s="2" t="inlineStr">
        <is>
          <t>45232400; 45316000; 45316100; 44162500; 45233200; 45233222; 45233252; 45232410</t>
        </is>
      </c>
      <c r="Q1301" s="8" t="inlineStr">
        <is>
          <t>Ver</t>
        </is>
      </c>
      <c r="R1301" s="8" t="inlineStr">
        <is>
          <t>PCAP</t>
        </is>
      </c>
      <c r="S1301" s="9" t="n">
        <v>46310</v>
      </c>
      <c r="T1301" s="3" t="n">
        <v>46311.59497685185</v>
      </c>
      <c r="U1301" s="2" t="inlineStr">
        <is>
          <t>2026-10-19: estado ADJ → RES</t>
        </is>
      </c>
    </row>
    <row r="1302">
      <c r="A1302" s="2" t="inlineStr">
        <is>
          <t>Resuelta</t>
        </is>
      </c>
      <c r="B1302" s="3" t="n"/>
      <c r="C1302" s="5" t="n">
        <v>771267.4300000001</v>
      </c>
      <c r="D1302" s="5" t="n">
        <v>933233.59</v>
      </c>
      <c r="E1302" s="2" t="inlineStr">
        <is>
          <t>Andalucía</t>
        </is>
      </c>
      <c r="F1302" s="2" t="inlineStr">
        <is>
          <t>Granada</t>
        </is>
      </c>
      <c r="G1302" s="2" t="n"/>
      <c r="H1302" s="2" t="inlineStr">
        <is>
          <t>Demarcación de Carreteras del Estado en Andalucía Oriental</t>
        </is>
      </c>
      <c r="I1302" s="2" t="inlineStr">
        <is>
          <t>Reparación de daños extraordinarios motivados por episodios metereológicos excepcionales entre el 20 de enero y 15 de febrero de 2026 en la provincia de Almería en la autovía A-7. LOTE 2</t>
        </is>
      </c>
      <c r="J1302" s="2" t="inlineStr">
        <is>
          <t>EM32-AL-260006.L2</t>
        </is>
      </c>
      <c r="K1302" s="2" t="inlineStr">
        <is>
          <t>Negociado sin publicidad</t>
        </is>
      </c>
      <c r="L1302" s="6" t="n">
        <v>4</v>
      </c>
      <c r="M1302" s="2" t="n"/>
      <c r="N1302" s="7" t="n"/>
      <c r="O1302" s="4" t="n"/>
      <c r="P1302" s="2" t="inlineStr">
        <is>
          <t>45000000</t>
        </is>
      </c>
      <c r="Q1302" s="8" t="inlineStr">
        <is>
          <t>Ver</t>
        </is>
      </c>
      <c r="R1302" s="2" t="n"/>
      <c r="S1302" s="9" t="n">
        <v>46314</v>
      </c>
      <c r="T1302" s="3" t="n">
        <v>46311.59454861111</v>
      </c>
      <c r="U1302" s="2" t="n"/>
    </row>
    <row r="1303">
      <c r="A1303" s="2" t="inlineStr">
        <is>
          <t>Pendiente de adjudicación</t>
        </is>
      </c>
      <c r="B1303" s="3" t="n">
        <v>46300.99930555555</v>
      </c>
      <c r="C1303" s="5" t="n">
        <v>1725633.52</v>
      </c>
      <c r="D1303" s="5" t="n">
        <v>1725633.52</v>
      </c>
      <c r="E1303" s="2" t="inlineStr">
        <is>
          <t>Andalucía</t>
        </is>
      </c>
      <c r="F1303" s="2" t="inlineStr">
        <is>
          <t>Jaén</t>
        </is>
      </c>
      <c r="G1303" s="2" t="n"/>
      <c r="H1303" s="2" t="inlineStr">
        <is>
          <t>Alcaldía del Ayuntamiento de Úbeda</t>
        </is>
      </c>
      <c r="I1303" s="2" t="inlineStr">
        <is>
          <t>"Construcción de Pabellón Polideportivo en Úbeda", en el Marco del Plan de Actuación integrado Úbeda-Baeza (Plan Edil), financiado por el Fondo Europeo de Desarrollo Regional (Feder) 2021-2027.</t>
        </is>
      </c>
      <c r="J1303" s="2" t="inlineStr">
        <is>
          <t>OBR3952/2026</t>
        </is>
      </c>
      <c r="K1303" s="2" t="inlineStr">
        <is>
          <t>Abierto simplificado</t>
        </is>
      </c>
      <c r="L1303" s="6" t="n">
        <v>9</v>
      </c>
      <c r="M1303" s="2" t="n"/>
      <c r="N1303" s="7" t="n">
        <v>0</v>
      </c>
      <c r="O1303" s="4" t="n"/>
      <c r="P1303" s="2" t="inlineStr">
        <is>
          <t>45212225</t>
        </is>
      </c>
      <c r="Q1303" s="8" t="inlineStr">
        <is>
          <t>Ver</t>
        </is>
      </c>
      <c r="R1303" s="8" t="inlineStr">
        <is>
          <t>PCAP</t>
        </is>
      </c>
      <c r="S1303" s="9" t="n">
        <v>46314</v>
      </c>
      <c r="T1303" s="3" t="n">
        <v>46311.59300925926</v>
      </c>
      <c r="U1303" s="2" t="n"/>
    </row>
    <row r="1304">
      <c r="A1304" s="2" t="inlineStr">
        <is>
          <t>Resuelta</t>
        </is>
      </c>
      <c r="B1304" s="3" t="n">
        <v>45852.99930555555</v>
      </c>
      <c r="C1304" s="5" t="n">
        <v>1060054.18</v>
      </c>
      <c r="D1304" s="5" t="n">
        <v>1060054.18</v>
      </c>
      <c r="E1304" s="2" t="inlineStr">
        <is>
          <t>Andalucía</t>
        </is>
      </c>
      <c r="F1304" s="2" t="inlineStr">
        <is>
          <t>Jaén</t>
        </is>
      </c>
      <c r="G1304" s="2" t="n"/>
      <c r="H1304" s="2" t="inlineStr">
        <is>
          <t>Concejalía de Economía, Hacienda y Patrimonio del Ayuntamiento de Martos</t>
        </is>
      </c>
      <c r="I1304" s="2" t="inlineStr">
        <is>
          <t>Contrato de obras para ejecutar proyecto básico y de ejecución de obras de reforma y mejora del estadio Ciudad de Martos</t>
        </is>
      </c>
      <c r="J1304" s="2" t="inlineStr">
        <is>
          <t>2025/6303</t>
        </is>
      </c>
      <c r="K1304" s="2" t="inlineStr">
        <is>
          <t>Abierto</t>
        </is>
      </c>
      <c r="L1304" s="6" t="n">
        <v>7</v>
      </c>
      <c r="M1304" s="2" t="n"/>
      <c r="N1304" s="7" t="n">
        <v>0.4</v>
      </c>
      <c r="O1304" s="4" t="n"/>
      <c r="P1304" s="2" t="inlineStr">
        <is>
          <t>45212200; 45212290</t>
        </is>
      </c>
      <c r="Q1304" s="8" t="inlineStr">
        <is>
          <t>Ver</t>
        </is>
      </c>
      <c r="R1304" s="8" t="inlineStr">
        <is>
          <t>PCAP</t>
        </is>
      </c>
      <c r="S1304" s="9" t="n">
        <v>46314</v>
      </c>
      <c r="T1304" s="3" t="n">
        <v>46311.5909375</v>
      </c>
      <c r="U1304" s="2" t="n"/>
    </row>
    <row r="1305">
      <c r="A1305" s="2" t="inlineStr">
        <is>
          <t>Adjudicada</t>
        </is>
      </c>
      <c r="B1305" s="3" t="n">
        <v>46259.99930555555</v>
      </c>
      <c r="C1305" s="5" t="n">
        <v>1074378.69</v>
      </c>
      <c r="D1305" s="5" t="n">
        <v>1074378.69</v>
      </c>
      <c r="E1305" s="2" t="inlineStr">
        <is>
          <t>Andalucía</t>
        </is>
      </c>
      <c r="F1305" s="2" t="inlineStr">
        <is>
          <t>Málaga</t>
        </is>
      </c>
      <c r="G1305" s="2" t="n"/>
      <c r="H1305" s="2" t="inlineStr">
        <is>
          <t>Alcaldía del Ayuntamiento de Casarabonela</t>
        </is>
      </c>
      <c r="I1305" s="2" t="inlineStr">
        <is>
          <t>El objeto del contrato, es la ejecución de las obras correspondientes al proyecto denominado CONSTRUCCION DE PABELLON POLIDEPORTIVO CUBIERTO MUNICIPAL</t>
        </is>
      </c>
      <c r="J1305" s="2" t="inlineStr">
        <is>
          <t>C2026523</t>
        </is>
      </c>
      <c r="K1305" s="2" t="inlineStr">
        <is>
          <t>Abierto simplificado</t>
        </is>
      </c>
      <c r="L1305" s="6" t="n">
        <v>12</v>
      </c>
      <c r="M1305" s="2" t="inlineStr">
        <is>
          <t>C3-4</t>
        </is>
      </c>
      <c r="N1305" s="7" t="n">
        <v>0</v>
      </c>
      <c r="O1305" s="4" t="n"/>
      <c r="P1305" s="2" t="inlineStr">
        <is>
          <t>45212225</t>
        </is>
      </c>
      <c r="Q1305" s="8" t="inlineStr">
        <is>
          <t>Ver</t>
        </is>
      </c>
      <c r="R1305" s="8" t="inlineStr">
        <is>
          <t>PCAP</t>
        </is>
      </c>
      <c r="S1305" s="9" t="n">
        <v>46314</v>
      </c>
      <c r="T1305" s="3" t="n">
        <v>46311.58930555556</v>
      </c>
      <c r="U1305" s="2" t="n"/>
    </row>
    <row r="1306">
      <c r="A1306" s="2" t="inlineStr">
        <is>
          <t>Pendiente de adjudicación</t>
        </is>
      </c>
      <c r="B1306" s="3" t="n">
        <v>46295.99930555555</v>
      </c>
      <c r="C1306" s="5" t="n">
        <v>138372.09</v>
      </c>
      <c r="D1306" s="5" t="n">
        <v>114357.1</v>
      </c>
      <c r="E1306" s="2" t="inlineStr">
        <is>
          <t>Comunitat Valenciana</t>
        </is>
      </c>
      <c r="F1306" s="2" t="inlineStr">
        <is>
          <t>Valencia</t>
        </is>
      </c>
      <c r="G1306" s="2" t="n"/>
      <c r="H1306" s="2" t="inlineStr">
        <is>
          <t>Alcaldía del Ayuntamiento de Albalat de la Ribera</t>
        </is>
      </c>
      <c r="I1306" s="2" t="inlineStr">
        <is>
          <t>Obras de restauración de la cubierta y otras actuaciones en la iglesia parroquial de Sant Pere Apóstol de Albalat de la Ribera (Valencia)</t>
        </is>
      </c>
      <c r="J1306" s="2" t="inlineStr">
        <is>
          <t>280/2026</t>
        </is>
      </c>
      <c r="K1306" s="2" t="inlineStr">
        <is>
          <t>Abierto simplificado</t>
        </is>
      </c>
      <c r="L1306" s="6" t="n">
        <v>3</v>
      </c>
      <c r="M1306" s="2" t="n"/>
      <c r="N1306" s="7" t="n">
        <v>0</v>
      </c>
      <c r="O1306" s="4" t="n"/>
      <c r="P1306" s="2" t="inlineStr">
        <is>
          <t>45454100; 45212360; 45212350</t>
        </is>
      </c>
      <c r="Q1306" s="8" t="inlineStr">
        <is>
          <t>Ver</t>
        </is>
      </c>
      <c r="R1306" s="8" t="inlineStr">
        <is>
          <t>PCAP</t>
        </is>
      </c>
      <c r="S1306" s="9" t="n">
        <v>46310</v>
      </c>
      <c r="T1306" s="3" t="n">
        <v>46311.58828703704</v>
      </c>
      <c r="U1306" s="2" t="n"/>
    </row>
    <row r="1307">
      <c r="A1307" s="2" t="inlineStr">
        <is>
          <t>Pendiente de adjudicación</t>
        </is>
      </c>
      <c r="B1307" s="3" t="n">
        <v>46309.99930555555</v>
      </c>
      <c r="C1307" s="5" t="n">
        <v>1985396.63</v>
      </c>
      <c r="D1307" s="5" t="n">
        <v>1985396.63</v>
      </c>
      <c r="E1307" s="2" t="inlineStr">
        <is>
          <t>Comunitat Valenciana</t>
        </is>
      </c>
      <c r="F1307" s="2" t="inlineStr">
        <is>
          <t>Valencia</t>
        </is>
      </c>
      <c r="G1307" s="2" t="n"/>
      <c r="H1307" s="2" t="inlineStr">
        <is>
          <t>Concejalía Delegada de Contratación del Ajuntament de Tavernes de la Valldigna</t>
        </is>
      </c>
      <c r="I1307" s="2" t="inlineStr">
        <is>
          <t>Reparación y restitución fase i colector playa. Impulsión y estación de bombeo Av. Marina</t>
        </is>
      </c>
      <c r="J1307" s="2" t="inlineStr">
        <is>
          <t>3009277C</t>
        </is>
      </c>
      <c r="K1307" s="2" t="inlineStr">
        <is>
          <t>Abierto simplificado</t>
        </is>
      </c>
      <c r="L1307" s="6" t="n">
        <v>12</v>
      </c>
      <c r="M1307" s="2" t="n"/>
      <c r="N1307" s="7" t="n">
        <v>0</v>
      </c>
      <c r="O1307" s="4" t="n"/>
      <c r="P1307" s="2" t="inlineStr">
        <is>
          <t>45000000</t>
        </is>
      </c>
      <c r="Q1307" s="8" t="inlineStr">
        <is>
          <t>Ver</t>
        </is>
      </c>
      <c r="R1307" s="8" t="inlineStr">
        <is>
          <t>PCAP</t>
        </is>
      </c>
      <c r="S1307" s="9" t="n">
        <v>46314</v>
      </c>
      <c r="T1307" s="3" t="n">
        <v>46311.58587962963</v>
      </c>
      <c r="U1307" s="2" t="n"/>
    </row>
    <row r="1308">
      <c r="A1308" s="2" t="inlineStr">
        <is>
          <t>Resuelta</t>
        </is>
      </c>
      <c r="B1308" s="3" t="n">
        <v>46287</v>
      </c>
      <c r="C1308" s="5" t="n">
        <v>58929.51</v>
      </c>
      <c r="D1308" s="5" t="n">
        <v>58929.51</v>
      </c>
      <c r="E1308" s="2" t="inlineStr">
        <is>
          <t>Comunitat Valenciana</t>
        </is>
      </c>
      <c r="F1308" s="2" t="inlineStr">
        <is>
          <t>Valencia</t>
        </is>
      </c>
      <c r="G1308" s="2" t="inlineStr">
        <is>
          <t>Massalfassar</t>
        </is>
      </c>
      <c r="H1308" s="2" t="inlineStr">
        <is>
          <t>Alcaldia del Ayuntamiento de Massalfassar</t>
        </is>
      </c>
      <c r="I1308" s="2" t="inlineStr">
        <is>
          <t>Contrato de obras, por procedimiento abierto simplificado, para la creación de equipamiento en solar municipal. Pla Obert d'Inversions 2024-2027 (POI) Expediente 478/26/COP</t>
        </is>
      </c>
      <c r="J1308" s="2" t="inlineStr">
        <is>
          <t>1413/2026</t>
        </is>
      </c>
      <c r="K1308" s="2" t="inlineStr">
        <is>
          <t>Abierto simplificado</t>
        </is>
      </c>
      <c r="L1308" s="6" t="n">
        <v>3</v>
      </c>
      <c r="M1308" s="2" t="n"/>
      <c r="N1308" s="7" t="n">
        <v>0</v>
      </c>
      <c r="O1308" s="4" t="n"/>
      <c r="P1308" s="2" t="inlineStr">
        <is>
          <t>45261000</t>
        </is>
      </c>
      <c r="Q1308" s="8" t="inlineStr">
        <is>
          <t>Ver</t>
        </is>
      </c>
      <c r="R1308" s="8" t="inlineStr">
        <is>
          <t>PCAP</t>
        </is>
      </c>
      <c r="S1308" s="9" t="n">
        <v>46314</v>
      </c>
      <c r="T1308" s="3" t="n">
        <v>46311.58290509259</v>
      </c>
      <c r="U1308" s="2" t="n"/>
    </row>
    <row r="1309">
      <c r="A1309" s="2" t="inlineStr">
        <is>
          <t>Pendiente de adjudicación</t>
        </is>
      </c>
      <c r="B1309" s="3" t="n">
        <v>46310.99930555555</v>
      </c>
      <c r="C1309" s="5" t="n">
        <v>331695.73</v>
      </c>
      <c r="D1309" s="5" t="n">
        <v>331695.73</v>
      </c>
      <c r="E1309" s="2" t="inlineStr">
        <is>
          <t>Andalucía</t>
        </is>
      </c>
      <c r="F1309" s="2" t="inlineStr">
        <is>
          <t>Jaén</t>
        </is>
      </c>
      <c r="G1309" s="2" t="inlineStr">
        <is>
          <t>Alcalá la Real (Jaén)</t>
        </is>
      </c>
      <c r="H1309" s="2" t="inlineStr">
        <is>
          <t>Alcaldia del Ayuntamiento de Alcalá la Real</t>
        </is>
      </c>
      <c r="I1309" s="2" t="inlineStr">
        <is>
          <t>Obras necesarias para la instalación solar fotovoltaica con placas solares de autoconsumo colectivo en la cubierta de diversos edificios municipales en el marco de los Planes de Actuación Integrados de Entidades Locales (EDIL), en desarrollo Urbano Sostenible, cofinanciados con cargo al Fondo Europeo de Desarrollo Regional (FEDER) 2021-2027.</t>
        </is>
      </c>
      <c r="J1309" s="2" t="inlineStr">
        <is>
          <t>7608/2026</t>
        </is>
      </c>
      <c r="K1309" s="2" t="inlineStr">
        <is>
          <t>Abierto simplificado</t>
        </is>
      </c>
      <c r="L1309" s="6" t="n">
        <v>1.7</v>
      </c>
      <c r="M1309" s="2" t="n"/>
      <c r="N1309" s="7" t="n">
        <v>0</v>
      </c>
      <c r="O1309" s="4" t="n">
        <v>2</v>
      </c>
      <c r="P1309" s="2" t="inlineStr">
        <is>
          <t>45261215; 45315600; 09331200; 09332000</t>
        </is>
      </c>
      <c r="Q1309" s="8" t="inlineStr">
        <is>
          <t>Ver</t>
        </is>
      </c>
      <c r="R1309" s="8" t="inlineStr">
        <is>
          <t>PCAP</t>
        </is>
      </c>
      <c r="S1309" s="9" t="n">
        <v>46314</v>
      </c>
      <c r="T1309" s="3" t="n">
        <v>46311.5818287037</v>
      </c>
      <c r="U1309" s="2" t="n"/>
    </row>
    <row r="1310">
      <c r="A1310" s="2" t="inlineStr">
        <is>
          <t>Resuelta</t>
        </is>
      </c>
      <c r="B1310" s="3" t="n">
        <v>46290.41666666666</v>
      </c>
      <c r="C1310" s="5" t="n">
        <v>141802.81</v>
      </c>
      <c r="D1310" s="5" t="n">
        <v>141802.81</v>
      </c>
      <c r="E1310" s="2" t="inlineStr">
        <is>
          <t>Comunitat Valenciana</t>
        </is>
      </c>
      <c r="F1310" s="2" t="inlineStr">
        <is>
          <t>Castellón</t>
        </is>
      </c>
      <c r="G1310" s="2" t="inlineStr">
        <is>
          <t>Gaibiel</t>
        </is>
      </c>
      <c r="H1310" s="2" t="inlineStr">
        <is>
          <t>Pleno del Ayuntamiento de Gaibiel</t>
        </is>
      </c>
      <c r="I1310" s="2" t="inlineStr">
        <is>
          <t>Obra "renovación de la red de abastecimiento y acondicionamiento de la calle Cueva Santa, Calle Pastora y diversas calles de Gaibiel”</t>
        </is>
      </c>
      <c r="J1310" s="2" t="inlineStr">
        <is>
          <t>165/2026</t>
        </is>
      </c>
      <c r="K1310" s="2" t="inlineStr">
        <is>
          <t>Abierto simplificado</t>
        </is>
      </c>
      <c r="L1310" s="6" t="n">
        <v>2</v>
      </c>
      <c r="M1310" s="2" t="n"/>
      <c r="N1310" s="7" t="n">
        <v>0</v>
      </c>
      <c r="O1310" s="4" t="n"/>
      <c r="P1310" s="2" t="inlineStr">
        <is>
          <t>45233252; 45232410; 44162500</t>
        </is>
      </c>
      <c r="Q1310" s="8" t="inlineStr">
        <is>
          <t>Ver</t>
        </is>
      </c>
      <c r="R1310" s="8" t="inlineStr">
        <is>
          <t>PCAP</t>
        </is>
      </c>
      <c r="S1310" s="9" t="n">
        <v>46310</v>
      </c>
      <c r="T1310" s="3" t="n">
        <v>46311.57826388889</v>
      </c>
      <c r="U1310" s="2" t="inlineStr">
        <is>
          <t>2026-10-19: estado ADJ → RES</t>
        </is>
      </c>
    </row>
    <row r="1311">
      <c r="A1311" s="2" t="inlineStr">
        <is>
          <t>Resuelta</t>
        </is>
      </c>
      <c r="B1311" s="3" t="n">
        <v>46210.58333333334</v>
      </c>
      <c r="C1311" s="5" t="n">
        <v>2496440.19</v>
      </c>
      <c r="D1311" s="5" t="n">
        <v>2496440.19</v>
      </c>
      <c r="E1311" s="2" t="inlineStr">
        <is>
          <t>Andalucía</t>
        </is>
      </c>
      <c r="F1311" s="2" t="inlineStr">
        <is>
          <t>Cádiz</t>
        </is>
      </c>
      <c r="G1311" s="2" t="n"/>
      <c r="H1311" s="2" t="inlineStr">
        <is>
          <t>Presidencia de la Autoridad Portuaria de la Bahía de Algeciras</t>
        </is>
      </c>
      <c r="I1311" s="2" t="inlineStr">
        <is>
          <t>Reurbanización de explanada liberada junto a PCF para preembarque de vehículos pesados.</t>
        </is>
      </c>
      <c r="J1311" s="2" t="inlineStr">
        <is>
          <t>2026-043</t>
        </is>
      </c>
      <c r="K1311" s="2" t="inlineStr">
        <is>
          <t>Abierto</t>
        </is>
      </c>
      <c r="L1311" s="6" t="n">
        <v>8</v>
      </c>
      <c r="M1311" s="2" t="inlineStr">
        <is>
          <t>G4-3</t>
        </is>
      </c>
      <c r="N1311" s="7" t="n">
        <v>0.4</v>
      </c>
      <c r="O1311" s="4" t="n"/>
      <c r="P1311" s="2" t="inlineStr">
        <is>
          <t>45233000</t>
        </is>
      </c>
      <c r="Q1311" s="8" t="inlineStr">
        <is>
          <t>Ver</t>
        </is>
      </c>
      <c r="R1311" s="8" t="inlineStr">
        <is>
          <t>PCAP</t>
        </is>
      </c>
      <c r="S1311" s="9" t="n">
        <v>46314</v>
      </c>
      <c r="T1311" s="3" t="n">
        <v>46311.57743055555</v>
      </c>
      <c r="U1311" s="2" t="n"/>
    </row>
    <row r="1312">
      <c r="A1312" s="2" t="inlineStr">
        <is>
          <t>En plazo</t>
        </is>
      </c>
      <c r="B1312" s="3" t="n">
        <v>46331.99930555555</v>
      </c>
      <c r="C1312" s="5" t="n">
        <v>168008.01</v>
      </c>
      <c r="D1312" s="5" t="n">
        <v>168008.01</v>
      </c>
      <c r="E1312" s="2" t="inlineStr">
        <is>
          <t>Comunitat Valenciana</t>
        </is>
      </c>
      <c r="F1312" s="2" t="inlineStr">
        <is>
          <t>Alicante</t>
        </is>
      </c>
      <c r="G1312" s="2" t="n"/>
      <c r="H1312" s="2" t="inlineStr">
        <is>
          <t>Alcaldía del Ayuntamiento de San Miguel de Salinas</t>
        </is>
      </c>
      <c r="I1312" s="2" t="inlineStr">
        <is>
          <t>Reurbanización de la calle Joaquín Martínez y adyacentes de San Miguel de Salinas.</t>
        </is>
      </c>
      <c r="J1312" s="2" t="inlineStr">
        <is>
          <t>2369/2026</t>
        </is>
      </c>
      <c r="K1312" s="2" t="inlineStr">
        <is>
          <t>Abierto simplificado</t>
        </is>
      </c>
      <c r="L1312" s="6" t="n">
        <v>4</v>
      </c>
      <c r="M1312" s="2" t="n"/>
      <c r="N1312" s="7" t="n">
        <v>0</v>
      </c>
      <c r="O1312" s="4" t="n"/>
      <c r="P1312" s="2" t="inlineStr">
        <is>
          <t>45231300; 45240000; 45233200</t>
        </is>
      </c>
      <c r="Q1312" s="8" t="inlineStr">
        <is>
          <t>Ver</t>
        </is>
      </c>
      <c r="R1312" s="8" t="inlineStr">
        <is>
          <t>PCAP</t>
        </is>
      </c>
      <c r="S1312" s="9" t="n">
        <v>46314</v>
      </c>
      <c r="T1312" s="3" t="n">
        <v>46311.57722222222</v>
      </c>
      <c r="U1312" s="2" t="n"/>
    </row>
    <row r="1313">
      <c r="A1313" s="2" t="inlineStr">
        <is>
          <t>Pendiente de adjudicación</t>
        </is>
      </c>
      <c r="B1313" s="3" t="n">
        <v>46261.58333333334</v>
      </c>
      <c r="C1313" s="5" t="n">
        <v>82644.63</v>
      </c>
      <c r="D1313" s="5" t="n">
        <v>82644.63</v>
      </c>
      <c r="E1313" s="2" t="inlineStr">
        <is>
          <t>Andalucía</t>
        </is>
      </c>
      <c r="F1313" s="2" t="inlineStr">
        <is>
          <t>Cádiz</t>
        </is>
      </c>
      <c r="G1313" s="2" t="n"/>
      <c r="H1313" s="2" t="inlineStr">
        <is>
          <t>Presidencia de la E.L.A. de Guadalcacín</t>
        </is>
      </c>
      <c r="I1313" s="2" t="inlineStr">
        <is>
          <t>La ejecución del proyecto de obras consistente en Rehabilitación de edificación municipal en calle Santa M.ª del Pino, 27</t>
        </is>
      </c>
      <c r="J1313" s="2" t="inlineStr">
        <is>
          <t>2026/EGE_02/000006</t>
        </is>
      </c>
      <c r="K1313" s="2" t="inlineStr">
        <is>
          <t>Abierto simplificado</t>
        </is>
      </c>
      <c r="L1313" s="6" t="n">
        <v>5</v>
      </c>
      <c r="M1313" s="2" t="n"/>
      <c r="N1313" s="7" t="n"/>
      <c r="O1313" s="4" t="n"/>
      <c r="P1313" s="2" t="inlineStr">
        <is>
          <t>45000000; 45262330</t>
        </is>
      </c>
      <c r="Q1313" s="8" t="inlineStr">
        <is>
          <t>Ver</t>
        </is>
      </c>
      <c r="R1313" s="8" t="inlineStr">
        <is>
          <t>PCAP</t>
        </is>
      </c>
      <c r="S1313" s="9" t="n">
        <v>46314</v>
      </c>
      <c r="T1313" s="3" t="n">
        <v>46311.57686342593</v>
      </c>
      <c r="U1313" s="2" t="n"/>
    </row>
    <row r="1314">
      <c r="A1314" s="2" t="inlineStr">
        <is>
          <t>En plazo</t>
        </is>
      </c>
      <c r="B1314" s="3" t="n">
        <v>46331.99930555555</v>
      </c>
      <c r="C1314" s="5" t="n">
        <v>173219.8</v>
      </c>
      <c r="D1314" s="5" t="n">
        <v>173219.8</v>
      </c>
      <c r="E1314" s="2" t="inlineStr">
        <is>
          <t>Comunitat Valenciana</t>
        </is>
      </c>
      <c r="F1314" s="2" t="inlineStr">
        <is>
          <t>Valencia</t>
        </is>
      </c>
      <c r="G1314" s="2" t="n"/>
      <c r="H1314" s="2" t="inlineStr">
        <is>
          <t>Alcaldia del Ayuntamiento de Alcasser</t>
        </is>
      </c>
      <c r="I1314" s="2" t="inlineStr">
        <is>
          <t>Ampliación del campo de fútbol municipal de Alcàsser</t>
        </is>
      </c>
      <c r="J1314" s="2" t="inlineStr">
        <is>
          <t>3543/2026</t>
        </is>
      </c>
      <c r="K1314" s="2" t="inlineStr">
        <is>
          <t>Abierto simplificado</t>
        </is>
      </c>
      <c r="L1314" s="6" t="n">
        <v>2</v>
      </c>
      <c r="M1314" s="2" t="inlineStr">
        <is>
          <t>C9-1; C2-1</t>
        </is>
      </c>
      <c r="N1314" s="7" t="n">
        <v>0</v>
      </c>
      <c r="O1314" s="4" t="n"/>
      <c r="P1314" s="2" t="inlineStr">
        <is>
          <t>45421140; 45262311; 45233293; 45212210; 45232451; 45233260</t>
        </is>
      </c>
      <c r="Q1314" s="8" t="inlineStr">
        <is>
          <t>Ver</t>
        </is>
      </c>
      <c r="R1314" s="8" t="inlineStr">
        <is>
          <t>PCAP</t>
        </is>
      </c>
      <c r="S1314" s="9" t="n">
        <v>46314</v>
      </c>
      <c r="T1314" s="3" t="n">
        <v>46311.57620370371</v>
      </c>
      <c r="U1314" s="2" t="n"/>
    </row>
    <row r="1315">
      <c r="A1315" s="2" t="inlineStr">
        <is>
          <t>Resuelta</t>
        </is>
      </c>
      <c r="B1315" s="3" t="n">
        <v>45908.99930555555</v>
      </c>
      <c r="C1315" s="5" t="n">
        <v>1549586.78</v>
      </c>
      <c r="D1315" s="5" t="n">
        <v>1549586.78</v>
      </c>
      <c r="E1315" s="2" t="inlineStr">
        <is>
          <t>Comunitat Valenciana</t>
        </is>
      </c>
      <c r="F1315" s="2" t="inlineStr">
        <is>
          <t>Castellón</t>
        </is>
      </c>
      <c r="G1315" s="2" t="n"/>
      <c r="H1315" s="2" t="inlineStr">
        <is>
          <t>Rectorado de la Universidad Jaume I</t>
        </is>
      </c>
      <c r="I1315" s="2" t="inlineStr">
        <is>
          <t>Elaboración de los proyectos técnicos y la ejecución de las obras de ampliación del Centro de Investigación en Robótica y Tecnologías Subacuáticas (CIRTESU)</t>
        </is>
      </c>
      <c r="J1315" s="2" t="inlineStr">
        <is>
          <t>OB/2/25</t>
        </is>
      </c>
      <c r="K1315" s="2" t="inlineStr">
        <is>
          <t>Abierto</t>
        </is>
      </c>
      <c r="L1315" s="6" t="n">
        <v>14</v>
      </c>
      <c r="M1315" s="2" t="inlineStr">
        <is>
          <t>C4-4</t>
        </is>
      </c>
      <c r="N1315" s="7" t="n">
        <v>0.5</v>
      </c>
      <c r="O1315" s="4" t="n"/>
      <c r="P1315" s="2" t="inlineStr">
        <is>
          <t>45214000; 71242000</t>
        </is>
      </c>
      <c r="Q1315" s="8" t="inlineStr">
        <is>
          <t>Ver</t>
        </is>
      </c>
      <c r="R1315" s="8" t="inlineStr">
        <is>
          <t>PCAP</t>
        </is>
      </c>
      <c r="S1315" s="9" t="n">
        <v>46314</v>
      </c>
      <c r="T1315" s="3" t="n">
        <v>46311.57609953704</v>
      </c>
      <c r="U1315" s="2" t="n"/>
    </row>
    <row r="1316">
      <c r="A1316" s="2" t="inlineStr">
        <is>
          <t>Pendiente de adjudicación</t>
        </is>
      </c>
      <c r="B1316" s="3" t="n">
        <v>46080.99930555555</v>
      </c>
      <c r="C1316" s="5" t="n">
        <v>206603.39</v>
      </c>
      <c r="D1316" s="5" t="n">
        <v>206603.39</v>
      </c>
      <c r="E1316" s="2" t="inlineStr">
        <is>
          <t>Comunitat Valenciana</t>
        </is>
      </c>
      <c r="F1316" s="2" t="inlineStr">
        <is>
          <t>Alicante</t>
        </is>
      </c>
      <c r="G1316" s="2" t="n"/>
      <c r="H1316" s="2" t="inlineStr">
        <is>
          <t>Presidencia de la Diputación Provincial de Alicante</t>
        </is>
      </c>
      <c r="I1316" s="2" t="inlineStr">
        <is>
          <t>Obras renovación de la conducción general de reutilización, tramo EDAR Benidorm/CN-332-Fase I. Comunidad de Regantes Canal Bajo del Algar</t>
        </is>
      </c>
      <c r="J1316" s="2" t="inlineStr">
        <is>
          <t>O6S-318/2025</t>
        </is>
      </c>
      <c r="K1316" s="2" t="inlineStr">
        <is>
          <t>Abierto simplificado</t>
        </is>
      </c>
      <c r="L1316" s="6" t="n">
        <v>3</v>
      </c>
      <c r="M1316" s="2" t="n"/>
      <c r="N1316" s="7" t="n">
        <v>0.25</v>
      </c>
      <c r="O1316" s="4" t="n"/>
      <c r="P1316" s="2" t="inlineStr">
        <is>
          <t>45232121</t>
        </is>
      </c>
      <c r="Q1316" s="8" t="inlineStr">
        <is>
          <t>Ver</t>
        </is>
      </c>
      <c r="R1316" s="8" t="inlineStr">
        <is>
          <t>PCAP</t>
        </is>
      </c>
      <c r="S1316" s="9" t="n">
        <v>46314</v>
      </c>
      <c r="T1316" s="3" t="n">
        <v>46311.57388888889</v>
      </c>
      <c r="U1316" s="2" t="n"/>
    </row>
    <row r="1317">
      <c r="A1317" s="2" t="inlineStr">
        <is>
          <t>En plazo</t>
        </is>
      </c>
      <c r="B1317" s="3" t="n">
        <v>46331.99930555555</v>
      </c>
      <c r="C1317" s="5" t="n">
        <v>163953.61</v>
      </c>
      <c r="D1317" s="5" t="n">
        <v>163953.61</v>
      </c>
      <c r="E1317" s="2" t="inlineStr">
        <is>
          <t>Andalucía</t>
        </is>
      </c>
      <c r="F1317" s="2" t="inlineStr">
        <is>
          <t>Málaga</t>
        </is>
      </c>
      <c r="G1317" s="2" t="n"/>
      <c r="H1317" s="2" t="inlineStr">
        <is>
          <t>Alcaldía del Ayuntamiento de Alcaucín</t>
        </is>
      </c>
      <c r="I1317" s="2" t="inlineStr">
        <is>
          <t>Ejecución de las obras que comprenden la rehabilitación de la cubierta de la ermita y la restauración de su techo, y la reforma de la edificación aneja para almacén de enseres, sala y aseos, en una única planta, sobre una edificación existente de 1936.</t>
        </is>
      </c>
      <c r="J1317" s="2" t="inlineStr">
        <is>
          <t>1564/2026_ERMITA</t>
        </is>
      </c>
      <c r="K1317" s="2" t="inlineStr">
        <is>
          <t>Abierto simplificado</t>
        </is>
      </c>
      <c r="L1317" s="6" t="n">
        <v>5</v>
      </c>
      <c r="M1317" s="2" t="n"/>
      <c r="N1317" s="7" t="n">
        <v>0</v>
      </c>
      <c r="O1317" s="4" t="n"/>
      <c r="P1317" s="2" t="inlineStr">
        <is>
          <t>45000000; 45453000; 45454000; 45454100</t>
        </is>
      </c>
      <c r="Q1317" s="8" t="inlineStr">
        <is>
          <t>Ver</t>
        </is>
      </c>
      <c r="R1317" s="8" t="inlineStr">
        <is>
          <t>PCAP</t>
        </is>
      </c>
      <c r="S1317" s="9" t="n">
        <v>46314</v>
      </c>
      <c r="T1317" s="3" t="n">
        <v>46311.57319444444</v>
      </c>
      <c r="U1317" s="2" t="n"/>
    </row>
    <row r="1318">
      <c r="A1318" s="2" t="inlineStr">
        <is>
          <t>Resuelta</t>
        </is>
      </c>
      <c r="B1318" s="3" t="n">
        <v>46230.99930555555</v>
      </c>
      <c r="C1318" s="5" t="n">
        <v>782875</v>
      </c>
      <c r="D1318" s="5" t="n">
        <v>782875</v>
      </c>
      <c r="E1318" s="2" t="inlineStr">
        <is>
          <t>Andalucía</t>
        </is>
      </c>
      <c r="F1318" s="2" t="inlineStr">
        <is>
          <t>Sevilla</t>
        </is>
      </c>
      <c r="G1318" s="2" t="n"/>
      <c r="H1318" s="2" t="inlineStr">
        <is>
          <t>Alcaldía del Ayuntamiento de Lantejuela</t>
        </is>
      </c>
      <c r="I1318" s="2" t="inlineStr">
        <is>
          <t>Obras reforma en complejo polideportivo municipal</t>
        </is>
      </c>
      <c r="J1318" s="2" t="inlineStr">
        <is>
          <t>P4105200B-2026/000117-PAA</t>
        </is>
      </c>
      <c r="K1318" s="2" t="inlineStr">
        <is>
          <t>Abierto</t>
        </is>
      </c>
      <c r="L1318" s="6" t="n">
        <v>3</v>
      </c>
      <c r="M1318" s="2" t="n"/>
      <c r="N1318" s="7" t="n">
        <v>0</v>
      </c>
      <c r="O1318" s="4" t="n">
        <v>2</v>
      </c>
      <c r="P1318" s="2" t="inlineStr">
        <is>
          <t>45212200</t>
        </is>
      </c>
      <c r="Q1318" s="8" t="inlineStr">
        <is>
          <t>Ver</t>
        </is>
      </c>
      <c r="R1318" s="8" t="inlineStr">
        <is>
          <t>PCAP</t>
        </is>
      </c>
      <c r="S1318" s="9" t="n">
        <v>46314</v>
      </c>
      <c r="T1318" s="3" t="n">
        <v>46311.57081018519</v>
      </c>
      <c r="U1318" s="2" t="n"/>
    </row>
    <row r="1319">
      <c r="A1319" s="2" t="inlineStr">
        <is>
          <t>Adjudicada</t>
        </is>
      </c>
      <c r="B1319" s="3" t="n">
        <v>46290.41666666666</v>
      </c>
      <c r="C1319" s="5" t="n">
        <v>200000</v>
      </c>
      <c r="D1319" s="5" t="n">
        <v>200000</v>
      </c>
      <c r="E1319" s="2" t="inlineStr">
        <is>
          <t>Andalucía</t>
        </is>
      </c>
      <c r="F1319" s="2" t="inlineStr">
        <is>
          <t>Cádiz</t>
        </is>
      </c>
      <c r="G1319" s="2" t="n"/>
      <c r="H1319" s="2" t="inlineStr">
        <is>
          <t>Comité Central de Compras de Navantia S.A., S.M.E.</t>
        </is>
      </c>
      <c r="I1319" s="2" t="inlineStr">
        <is>
          <t>La presente licitación tiene por objeto la contratación del de la redacción de proyecto y ejecución de la obra de rehabilitación de los pilares de los soportales del edificio de Dirección en Navantia Puerto Real.</t>
        </is>
      </c>
      <c r="J1319" s="2" t="inlineStr">
        <is>
          <t>5100070526 - PROY Y OBRA REHAB PILARES</t>
        </is>
      </c>
      <c r="K1319" s="2" t="inlineStr">
        <is>
          <t>Normas internas</t>
        </is>
      </c>
      <c r="L1319" s="6" t="n">
        <v>4</v>
      </c>
      <c r="M1319" s="2" t="n"/>
      <c r="N1319" s="7" t="n">
        <v>1</v>
      </c>
      <c r="O1319" s="4" t="n"/>
      <c r="P1319" s="2" t="inlineStr">
        <is>
          <t>45000000</t>
        </is>
      </c>
      <c r="Q1319" s="8" t="inlineStr">
        <is>
          <t>Ver</t>
        </is>
      </c>
      <c r="R1319" s="8" t="inlineStr">
        <is>
          <t>PCAP</t>
        </is>
      </c>
      <c r="S1319" s="9" t="n">
        <v>46314</v>
      </c>
      <c r="T1319" s="3" t="n">
        <v>46311.56300925926</v>
      </c>
      <c r="U1319" s="2" t="n"/>
    </row>
    <row r="1320">
      <c r="A1320" s="2" t="inlineStr">
        <is>
          <t>Pendiente de adjudicación</t>
        </is>
      </c>
      <c r="B1320" s="3" t="n">
        <v>46296.5</v>
      </c>
      <c r="C1320" s="5" t="n">
        <v>11878734.88</v>
      </c>
      <c r="D1320" s="5" t="n">
        <v>11878734.88</v>
      </c>
      <c r="E1320" s="2" t="inlineStr">
        <is>
          <t>Andalucía</t>
        </is>
      </c>
      <c r="F1320" s="2" t="inlineStr">
        <is>
          <t>Málaga</t>
        </is>
      </c>
      <c r="G1320" s="2" t="n"/>
      <c r="H1320" s="2" t="inlineStr">
        <is>
          <t>Consejo de Administración de la Sociedad de Infraestructuras y Equipamientos Penitenciarios y de la Seguridad del Estado, S.M.E., S.A</t>
        </is>
      </c>
      <c r="I1320" s="2" t="inlineStr">
        <is>
          <t>Obra de primer establecimiento del acuartelamiento de la Guardia Civil en Alhaurín de la Torre (Málaga) (26.037.NGC3029.OB.02)</t>
        </is>
      </c>
      <c r="J1320" s="2" t="inlineStr">
        <is>
          <t>26.037.NGC3029.OB.02</t>
        </is>
      </c>
      <c r="K1320" s="2" t="inlineStr">
        <is>
          <t>Abierto</t>
        </is>
      </c>
      <c r="L1320" s="6" t="n">
        <v>20</v>
      </c>
      <c r="M1320" s="2" t="inlineStr">
        <is>
          <t>C*-6</t>
        </is>
      </c>
      <c r="N1320" s="7" t="n">
        <v>0.3</v>
      </c>
      <c r="O1320" s="4" t="n"/>
      <c r="P1320" s="2" t="inlineStr">
        <is>
          <t>45216110</t>
        </is>
      </c>
      <c r="Q1320" s="8" t="inlineStr">
        <is>
          <t>Ver</t>
        </is>
      </c>
      <c r="R1320" s="8" t="inlineStr">
        <is>
          <t>PCAP</t>
        </is>
      </c>
      <c r="S1320" s="9" t="n">
        <v>46314</v>
      </c>
      <c r="T1320" s="3" t="n">
        <v>46311.56296296296</v>
      </c>
      <c r="U1320" s="2" t="n"/>
    </row>
    <row r="1321">
      <c r="A1321" s="2" t="inlineStr">
        <is>
          <t>Pendiente de adjudicación</t>
        </is>
      </c>
      <c r="B1321" s="3" t="n">
        <v>46260.99930555555</v>
      </c>
      <c r="C1321" s="5" t="n">
        <v>570515.13</v>
      </c>
      <c r="D1321" s="5" t="n">
        <v>570515.13</v>
      </c>
      <c r="E1321" s="2" t="inlineStr">
        <is>
          <t>Andalucía</t>
        </is>
      </c>
      <c r="F1321" s="2" t="inlineStr">
        <is>
          <t>Almería</t>
        </is>
      </c>
      <c r="G1321" s="2" t="inlineStr">
        <is>
          <t>SAN JOSÉ (NÍJAR)</t>
        </is>
      </c>
      <c r="H1321" s="2" t="inlineStr">
        <is>
          <t>Alcaldía del Ayuntamiento de Níjar</t>
        </is>
      </c>
      <c r="I1321" s="2" t="inlineStr">
        <is>
          <t>Pavimentación de calles en San José, T.M. de Níjar</t>
        </is>
      </c>
      <c r="J1321" s="2" t="inlineStr">
        <is>
          <t>4610/2026</t>
        </is>
      </c>
      <c r="K1321" s="2" t="inlineStr">
        <is>
          <t>Abierto simplificado</t>
        </is>
      </c>
      <c r="L1321" s="6" t="n">
        <v>5</v>
      </c>
      <c r="M1321" s="2" t="inlineStr">
        <is>
          <t>G4-3</t>
        </is>
      </c>
      <c r="N1321" s="7" t="n">
        <v>0.25</v>
      </c>
      <c r="O1321" s="4" t="n"/>
      <c r="P1321" s="2" t="inlineStr">
        <is>
          <t>45233222</t>
        </is>
      </c>
      <c r="Q1321" s="8" t="inlineStr">
        <is>
          <t>Ver</t>
        </is>
      </c>
      <c r="R1321" s="8" t="inlineStr">
        <is>
          <t>PCAP</t>
        </is>
      </c>
      <c r="S1321" s="9" t="n">
        <v>46314</v>
      </c>
      <c r="T1321" s="3" t="n">
        <v>46311.56215277778</v>
      </c>
      <c r="U1321" s="2" t="n"/>
    </row>
    <row r="1322">
      <c r="A1322" s="2" t="inlineStr">
        <is>
          <t>Resuelta</t>
        </is>
      </c>
      <c r="B1322" s="3" t="n">
        <v>46273.99930555555</v>
      </c>
      <c r="C1322" s="5" t="n">
        <v>68392.8</v>
      </c>
      <c r="D1322" s="5" t="n">
        <v>68392.8</v>
      </c>
      <c r="E1322" s="2" t="inlineStr">
        <is>
          <t>Andalucía</t>
        </is>
      </c>
      <c r="F1322" s="2" t="inlineStr">
        <is>
          <t>Sevilla</t>
        </is>
      </c>
      <c r="G1322" s="2" t="inlineStr">
        <is>
          <t>Valencina de la Concepción</t>
        </is>
      </c>
      <c r="H1322" s="2" t="inlineStr">
        <is>
          <t>Alcaldía del Ayuntamiento de Valencina de la Concepción</t>
        </is>
      </c>
      <c r="I1322" s="2" t="inlineStr">
        <is>
          <t>contrato de obra para el centro de transformación para biblioteca municipal de Valencina de la Concepción.</t>
        </is>
      </c>
      <c r="J1322" s="2" t="inlineStr">
        <is>
          <t>766/2026</t>
        </is>
      </c>
      <c r="K1322" s="2" t="inlineStr">
        <is>
          <t>Abierto simplificado</t>
        </is>
      </c>
      <c r="L1322" s="6" t="n">
        <v>2</v>
      </c>
      <c r="M1322" s="2" t="n"/>
      <c r="N1322" s="7" t="n">
        <v>0</v>
      </c>
      <c r="O1322" s="4" t="n"/>
      <c r="P1322" s="2" t="inlineStr">
        <is>
          <t>45317200; 45315500; 45315600</t>
        </is>
      </c>
      <c r="Q1322" s="8" t="inlineStr">
        <is>
          <t>Ver</t>
        </is>
      </c>
      <c r="R1322" s="8" t="inlineStr">
        <is>
          <t>PCAP</t>
        </is>
      </c>
      <c r="S1322" s="9" t="n">
        <v>46314</v>
      </c>
      <c r="T1322" s="3" t="n">
        <v>46311.56148148148</v>
      </c>
      <c r="U1322" s="2" t="n"/>
    </row>
    <row r="1323">
      <c r="A1323" s="2" t="inlineStr">
        <is>
          <t>Resuelta</t>
        </is>
      </c>
      <c r="B1323" s="3" t="n">
        <v>46303.45833333334</v>
      </c>
      <c r="C1323" s="5" t="n">
        <v>16426.75</v>
      </c>
      <c r="D1323" s="5" t="n">
        <v>16426.75</v>
      </c>
      <c r="E1323" s="2" t="inlineStr">
        <is>
          <t>Comunitat Valenciana</t>
        </is>
      </c>
      <c r="F1323" s="2" t="inlineStr">
        <is>
          <t>Castellón</t>
        </is>
      </c>
      <c r="G1323" s="2" t="inlineStr">
        <is>
          <t>Castellon de la Plana</t>
        </is>
      </c>
      <c r="H1323" s="2" t="inlineStr">
        <is>
          <t>Jefatura de Intendencia de Asuntos Económicos Este</t>
        </is>
      </c>
      <c r="I1323" s="2" t="inlineStr">
        <is>
          <t>Sustitución de tuberías metálicas de agua fría y caliente en la RM. La Plana núcleo Castalia - Castellón</t>
        </is>
      </c>
      <c r="J1323" s="2" t="inlineStr">
        <is>
          <t>2026/ETSAE0327/00006244E</t>
        </is>
      </c>
      <c r="K1323" s="2" t="inlineStr">
        <is>
          <t>Abierto</t>
        </is>
      </c>
      <c r="L1323" s="6" t="n">
        <v>1</v>
      </c>
      <c r="M1323" s="2" t="n"/>
      <c r="N1323" s="7" t="n">
        <v>0</v>
      </c>
      <c r="O1323" s="4" t="n"/>
      <c r="P1323" s="2" t="inlineStr">
        <is>
          <t>45232150</t>
        </is>
      </c>
      <c r="Q1323" s="8" t="inlineStr">
        <is>
          <t>Ver</t>
        </is>
      </c>
      <c r="R1323" s="8" t="inlineStr">
        <is>
          <t>PCAP</t>
        </is>
      </c>
      <c r="S1323" s="9" t="n">
        <v>46314</v>
      </c>
      <c r="T1323" s="3" t="n">
        <v>46311.55954861111</v>
      </c>
      <c r="U1323" s="2" t="n"/>
    </row>
    <row r="1324">
      <c r="A1324" s="2" t="inlineStr">
        <is>
          <t>En plazo</t>
        </is>
      </c>
      <c r="B1324" s="3" t="n">
        <v>46331.99930555555</v>
      </c>
      <c r="C1324" s="5" t="n">
        <v>87591.34</v>
      </c>
      <c r="D1324" s="5" t="n">
        <v>87591.34</v>
      </c>
      <c r="E1324" s="2" t="inlineStr">
        <is>
          <t>Comunitat Valenciana</t>
        </is>
      </c>
      <c r="F1324" s="2" t="inlineStr">
        <is>
          <t>Valencia</t>
        </is>
      </c>
      <c r="G1324" s="2" t="n"/>
      <c r="H1324" s="2" t="inlineStr">
        <is>
          <t>Junta de Gobierno del Ayuntamiento de Burjassot</t>
        </is>
      </c>
      <c r="I1324" s="2" t="inlineStr">
        <is>
          <t>Obras de adecuación de los revestimientos del macetero separador de calzadas en la Avenida de Pi i Margall de Burjassot.</t>
        </is>
      </c>
      <c r="J1324" s="2" t="inlineStr">
        <is>
          <t>2026/11037N</t>
        </is>
      </c>
      <c r="K1324" s="2" t="inlineStr">
        <is>
          <t>Abierto simplificado</t>
        </is>
      </c>
      <c r="L1324" s="6" t="n">
        <v>1.9</v>
      </c>
      <c r="M1324" s="2" t="n"/>
      <c r="N1324" s="7" t="n">
        <v>0</v>
      </c>
      <c r="O1324" s="4" t="n"/>
      <c r="P1324" s="2" t="inlineStr">
        <is>
          <t>45432210</t>
        </is>
      </c>
      <c r="Q1324" s="8" t="inlineStr">
        <is>
          <t>Ver</t>
        </is>
      </c>
      <c r="R1324" s="8" t="inlineStr">
        <is>
          <t>PCAP</t>
        </is>
      </c>
      <c r="S1324" s="9" t="n">
        <v>46314</v>
      </c>
      <c r="T1324" s="3" t="n">
        <v>46311.55550925926</v>
      </c>
      <c r="U1324" s="2" t="n"/>
    </row>
    <row r="1325">
      <c r="A1325" s="2" t="inlineStr">
        <is>
          <t>Resuelta</t>
        </is>
      </c>
      <c r="B1325" s="3" t="n">
        <v>46303.5</v>
      </c>
      <c r="C1325" s="5" t="n">
        <v>39571.06</v>
      </c>
      <c r="D1325" s="5" t="n">
        <v>39571.06</v>
      </c>
      <c r="E1325" s="2" t="inlineStr">
        <is>
          <t>Andalucía</t>
        </is>
      </c>
      <c r="F1325" s="2" t="inlineStr">
        <is>
          <t>Cádiz</t>
        </is>
      </c>
      <c r="G1325" s="2" t="n"/>
      <c r="H1325" s="2" t="inlineStr">
        <is>
          <t>Jefatura de Intendencia de Asuntos Económicos Sur</t>
        </is>
      </c>
      <c r="I1325" s="2" t="inlineStr">
        <is>
          <t>OBRA TC 202-23/26 de instalación de un grupo electrógeno para el edificio del botiquín, Acto Camposoto, Cádiz</t>
        </is>
      </c>
      <c r="J1325" s="2" t="inlineStr">
        <is>
          <t>2026/ETSAE0226/00007132E</t>
        </is>
      </c>
      <c r="K1325" s="2" t="inlineStr">
        <is>
          <t>Abierto</t>
        </is>
      </c>
      <c r="L1325" s="6" t="n">
        <v>2</v>
      </c>
      <c r="M1325" s="2" t="n"/>
      <c r="N1325" s="7" t="n">
        <v>0</v>
      </c>
      <c r="O1325" s="4" t="n"/>
      <c r="P1325" s="2" t="inlineStr">
        <is>
          <t>45216200</t>
        </is>
      </c>
      <c r="Q1325" s="8" t="inlineStr">
        <is>
          <t>Ver</t>
        </is>
      </c>
      <c r="R1325" s="8" t="inlineStr">
        <is>
          <t>PCAP</t>
        </is>
      </c>
      <c r="S1325" s="9" t="n">
        <v>46314</v>
      </c>
      <c r="T1325" s="3" t="n">
        <v>46311.55506944445</v>
      </c>
      <c r="U1325" s="2" t="n"/>
    </row>
    <row r="1326">
      <c r="A1326" s="2" t="inlineStr">
        <is>
          <t>Resuelta</t>
        </is>
      </c>
      <c r="B1326" s="3" t="n">
        <v>46251.58333333334</v>
      </c>
      <c r="C1326" s="5" t="n">
        <v>396668.93</v>
      </c>
      <c r="D1326" s="5" t="n">
        <v>396668.93</v>
      </c>
      <c r="E1326" s="2" t="inlineStr">
        <is>
          <t>Comunitat Valenciana</t>
        </is>
      </c>
      <c r="F1326" s="2" t="inlineStr">
        <is>
          <t>Alicante</t>
        </is>
      </c>
      <c r="G1326" s="2" t="n"/>
      <c r="H1326" s="2" t="inlineStr">
        <is>
          <t>Alcaldía del Ayuntamiento de El Verger</t>
        </is>
      </c>
      <c r="I1326" s="2" t="inlineStr">
        <is>
          <t>Reordenació i rehabilitació espai urbà en els carrers Escorxador i Sant Antoni</t>
        </is>
      </c>
      <c r="J1326" s="2" t="inlineStr">
        <is>
          <t>1011/2026</t>
        </is>
      </c>
      <c r="K1326" s="2" t="inlineStr">
        <is>
          <t>Abierto simplificado</t>
        </is>
      </c>
      <c r="L1326" s="6" t="n">
        <v>4</v>
      </c>
      <c r="M1326" s="2" t="n"/>
      <c r="N1326" s="7" t="n">
        <v>0.25</v>
      </c>
      <c r="O1326" s="4" t="n"/>
      <c r="P1326" s="2" t="inlineStr">
        <is>
          <t>45233140</t>
        </is>
      </c>
      <c r="Q1326" s="8" t="inlineStr">
        <is>
          <t>Ver</t>
        </is>
      </c>
      <c r="R1326" s="8" t="inlineStr">
        <is>
          <t>PCAP</t>
        </is>
      </c>
      <c r="S1326" s="9" t="n">
        <v>46314</v>
      </c>
      <c r="T1326" s="3" t="n">
        <v>46311.55229166667</v>
      </c>
      <c r="U1326" s="2" t="n"/>
    </row>
    <row r="1327">
      <c r="A1327" s="2" t="inlineStr">
        <is>
          <t>Pendiente de adjudicación</t>
        </is>
      </c>
      <c r="B1327" s="3" t="n">
        <v>46286.99930555555</v>
      </c>
      <c r="C1327" s="5" t="n">
        <v>578512.39</v>
      </c>
      <c r="D1327" s="5" t="n">
        <v>636363.63</v>
      </c>
      <c r="E1327" s="2" t="inlineStr">
        <is>
          <t>Comunitat Valenciana</t>
        </is>
      </c>
      <c r="F1327" s="2" t="inlineStr">
        <is>
          <t>Valencia</t>
        </is>
      </c>
      <c r="G1327" s="2" t="n"/>
      <c r="H1327" s="2" t="inlineStr">
        <is>
          <t>Junta de Gobierno del Ajuntament de València</t>
        </is>
      </c>
      <c r="I1327" s="2" t="inlineStr">
        <is>
          <t>Obras correspondientes al proyecto de edificio modular prefabricado, anexo al Palau Velòdrom Lluís Puig, como zona de calentamiento para el campeonato de Europa de atletismo 2027.-</t>
        </is>
      </c>
      <c r="J1327" s="2" t="inlineStr">
        <is>
          <t>04101/2026/195-O</t>
        </is>
      </c>
      <c r="K1327" s="2" t="inlineStr">
        <is>
          <t>Abierto simplificado</t>
        </is>
      </c>
      <c r="L1327" s="6" t="n">
        <v>3</v>
      </c>
      <c r="M1327" s="2" t="inlineStr">
        <is>
          <t>C3-3</t>
        </is>
      </c>
      <c r="N1327" s="7" t="n">
        <v>0</v>
      </c>
      <c r="O1327" s="4" t="n"/>
      <c r="P1327" s="2" t="inlineStr">
        <is>
          <t>45210000</t>
        </is>
      </c>
      <c r="Q1327" s="8" t="inlineStr">
        <is>
          <t>Ver</t>
        </is>
      </c>
      <c r="R1327" s="8" t="inlineStr">
        <is>
          <t>PCAP</t>
        </is>
      </c>
      <c r="S1327" s="9" t="n">
        <v>46314</v>
      </c>
      <c r="T1327" s="3" t="n">
        <v>46311.55215277777</v>
      </c>
      <c r="U1327" s="2" t="n"/>
    </row>
    <row r="1328">
      <c r="A1328" s="2" t="inlineStr">
        <is>
          <t>Resuelta</t>
        </is>
      </c>
      <c r="B1328" s="3" t="n">
        <v>46198.99930555555</v>
      </c>
      <c r="C1328" s="5" t="n">
        <v>67352.97</v>
      </c>
      <c r="D1328" s="5" t="n">
        <v>67352.97</v>
      </c>
      <c r="E1328" s="2" t="inlineStr">
        <is>
          <t>Andalucía</t>
        </is>
      </c>
      <c r="F1328" s="2" t="inlineStr">
        <is>
          <t>Jaén</t>
        </is>
      </c>
      <c r="G1328" s="2" t="inlineStr">
        <is>
          <t>JAEN</t>
        </is>
      </c>
      <c r="H1328" s="2" t="inlineStr">
        <is>
          <t>Presidencia de la Diputación Provincial de Jaén</t>
        </is>
      </c>
      <c r="I1328" s="2" t="inlineStr">
        <is>
          <t>Contrato de Obras de JA-3406 acceso Norte a Lahiguera, mejora de firme.</t>
        </is>
      </c>
      <c r="J1328" s="2" t="inlineStr">
        <is>
          <t>CO-2025/002281</t>
        </is>
      </c>
      <c r="K1328" s="2" t="inlineStr">
        <is>
          <t>Abierto simplificado</t>
        </is>
      </c>
      <c r="L1328" s="6" t="n">
        <v>2</v>
      </c>
      <c r="M1328" s="2" t="n"/>
      <c r="N1328" s="7" t="n">
        <v>0</v>
      </c>
      <c r="O1328" s="4" t="n"/>
      <c r="P1328" s="2" t="inlineStr">
        <is>
          <t>45233223</t>
        </is>
      </c>
      <c r="Q1328" s="8" t="inlineStr">
        <is>
          <t>Ver</t>
        </is>
      </c>
      <c r="R1328" s="8" t="inlineStr">
        <is>
          <t>PCAP</t>
        </is>
      </c>
      <c r="S1328" s="9" t="n">
        <v>46314</v>
      </c>
      <c r="T1328" s="3" t="n">
        <v>46311.54702546296</v>
      </c>
      <c r="U1328" s="2" t="n"/>
    </row>
    <row r="1329">
      <c r="A1329" s="2" t="inlineStr">
        <is>
          <t>En plazo</t>
        </is>
      </c>
      <c r="B1329" s="3" t="n">
        <v>46331.99930555555</v>
      </c>
      <c r="C1329" s="5" t="n">
        <v>330578.51</v>
      </c>
      <c r="D1329" s="5" t="n">
        <v>330578.51</v>
      </c>
      <c r="E1329" s="2" t="inlineStr">
        <is>
          <t>Andalucía</t>
        </is>
      </c>
      <c r="F1329" s="2" t="inlineStr">
        <is>
          <t>Granada</t>
        </is>
      </c>
      <c r="G1329" s="2" t="n"/>
      <c r="H1329" s="2" t="inlineStr">
        <is>
          <t>Alcaldía del Ayuntamiento de Las Gabias</t>
        </is>
      </c>
      <c r="I1329" s="2" t="inlineStr">
        <is>
          <t>Plan de Asfaltado Fase 4 Las Gabias, 2026.</t>
        </is>
      </c>
      <c r="J1329" s="2" t="inlineStr">
        <is>
          <t>2694/2026</t>
        </is>
      </c>
      <c r="K1329" s="2" t="inlineStr">
        <is>
          <t>Abierto simplificado</t>
        </is>
      </c>
      <c r="L1329" s="6" t="n">
        <v>3</v>
      </c>
      <c r="M1329" s="2" t="n"/>
      <c r="N1329" s="7" t="n">
        <v>0</v>
      </c>
      <c r="O1329" s="4" t="n"/>
      <c r="P1329" s="2" t="inlineStr">
        <is>
          <t>45233200; 45233222; 45233252</t>
        </is>
      </c>
      <c r="Q1329" s="8" t="inlineStr">
        <is>
          <t>Ver</t>
        </is>
      </c>
      <c r="R1329" s="8" t="inlineStr">
        <is>
          <t>PCAP</t>
        </is>
      </c>
      <c r="S1329" s="9" t="n">
        <v>46314</v>
      </c>
      <c r="T1329" s="3" t="n">
        <v>46311.54699074074</v>
      </c>
      <c r="U1329" s="2" t="n"/>
    </row>
    <row r="1330">
      <c r="A1330" s="2" t="inlineStr">
        <is>
          <t>Pendiente de adjudicación</t>
        </is>
      </c>
      <c r="B1330" s="3" t="n">
        <v>46286.99930555555</v>
      </c>
      <c r="C1330" s="5" t="n">
        <v>617370.65</v>
      </c>
      <c r="D1330" s="5" t="n">
        <v>679107.72</v>
      </c>
      <c r="E1330" s="2" t="inlineStr">
        <is>
          <t>Comunitat Valenciana</t>
        </is>
      </c>
      <c r="F1330" s="2" t="inlineStr">
        <is>
          <t>Valencia</t>
        </is>
      </c>
      <c r="G1330" s="2" t="n"/>
      <c r="H1330" s="2" t="inlineStr">
        <is>
          <t>Junta de Gobierno del Ajuntament de València</t>
        </is>
      </c>
      <c r="I1330" s="2" t="inlineStr">
        <is>
          <t>Ejecución de las obras correspondientes al proyecto básico y de ejecución denominado Reparación filtraciones en el Palau Velòdrom Lluís Puig.</t>
        </is>
      </c>
      <c r="J1330" s="2" t="inlineStr">
        <is>
          <t>04101/2026/173-O</t>
        </is>
      </c>
      <c r="K1330" s="2" t="inlineStr">
        <is>
          <t>Abierto simplificado</t>
        </is>
      </c>
      <c r="L1330" s="6" t="n">
        <v>4</v>
      </c>
      <c r="M1330" s="2" t="inlineStr">
        <is>
          <t>C*-3</t>
        </is>
      </c>
      <c r="N1330" s="7" t="n">
        <v>0</v>
      </c>
      <c r="O1330" s="4" t="n"/>
      <c r="P1330" s="2" t="inlineStr">
        <is>
          <t>45212200; 45315600; 45300000; 45350000</t>
        </is>
      </c>
      <c r="Q1330" s="8" t="inlineStr">
        <is>
          <t>Ver</t>
        </is>
      </c>
      <c r="R1330" s="8" t="inlineStr">
        <is>
          <t>PCAP</t>
        </is>
      </c>
      <c r="S1330" s="9" t="n">
        <v>46314</v>
      </c>
      <c r="T1330" s="3" t="n">
        <v>46311.54684027778</v>
      </c>
      <c r="U1330" s="2" t="n"/>
    </row>
    <row r="1331">
      <c r="A1331" s="2" t="inlineStr">
        <is>
          <t>Pendiente de adjudicación</t>
        </is>
      </c>
      <c r="B1331" s="3" t="n">
        <v>46217.99930555555</v>
      </c>
      <c r="C1331" s="5" t="n">
        <v>289256.2</v>
      </c>
      <c r="D1331" s="5" t="n">
        <v>289256.2</v>
      </c>
      <c r="E1331" s="2" t="inlineStr">
        <is>
          <t>Comunitat Valenciana</t>
        </is>
      </c>
      <c r="F1331" s="2" t="inlineStr">
        <is>
          <t>Alicante</t>
        </is>
      </c>
      <c r="G1331" s="2" t="n"/>
      <c r="H1331" s="2" t="inlineStr">
        <is>
          <t>Presidencia de la Diputación Provincial de Alicante</t>
        </is>
      </c>
      <c r="I1331" s="2" t="inlineStr">
        <is>
          <t>"Obras de acondicionamiento del camino rural La Ancornia, en el municipio de Tibi (2024.PLA.253)"</t>
        </is>
      </c>
      <c r="J1331" s="2" t="inlineStr">
        <is>
          <t>O6S-032/2026</t>
        </is>
      </c>
      <c r="K1331" s="2" t="inlineStr">
        <is>
          <t>Abierto simplificado</t>
        </is>
      </c>
      <c r="L1331" s="6" t="n">
        <v>3</v>
      </c>
      <c r="M1331" s="2" t="n"/>
      <c r="N1331" s="7" t="n">
        <v>0</v>
      </c>
      <c r="O1331" s="4" t="n"/>
      <c r="P1331" s="2" t="inlineStr">
        <is>
          <t>45200000</t>
        </is>
      </c>
      <c r="Q1331" s="8" t="inlineStr">
        <is>
          <t>Ver</t>
        </is>
      </c>
      <c r="R1331" s="8" t="inlineStr">
        <is>
          <t>PCAP</t>
        </is>
      </c>
      <c r="S1331" s="9" t="n">
        <v>46314</v>
      </c>
      <c r="T1331" s="3" t="n">
        <v>46311.54403935185</v>
      </c>
      <c r="U1331" s="2" t="n"/>
    </row>
    <row r="1332">
      <c r="A1332" s="2" t="inlineStr">
        <is>
          <t>Pendiente de adjudicación</t>
        </is>
      </c>
      <c r="B1332" s="3" t="n">
        <v>46260.99930555555</v>
      </c>
      <c r="C1332" s="5" t="n">
        <v>123754.76</v>
      </c>
      <c r="D1332" s="5" t="n">
        <v>123754.76</v>
      </c>
      <c r="E1332" s="2" t="inlineStr">
        <is>
          <t>Andalucía</t>
        </is>
      </c>
      <c r="F1332" s="2" t="inlineStr">
        <is>
          <t>Almería</t>
        </is>
      </c>
      <c r="G1332" s="2" t="inlineStr">
        <is>
          <t>FERNÁN PÉREZ (NÍJAR)</t>
        </is>
      </c>
      <c r="H1332" s="2" t="inlineStr">
        <is>
          <t>Alcaldía del Ayuntamiento de Níjar</t>
        </is>
      </c>
      <c r="I1332" s="2" t="inlineStr">
        <is>
          <t>Acondicionamiento de la calle Entrada de Fernán Pérez, T.M. de Níjar.</t>
        </is>
      </c>
      <c r="J1332" s="2" t="inlineStr">
        <is>
          <t>4605/2026</t>
        </is>
      </c>
      <c r="K1332" s="2" t="inlineStr">
        <is>
          <t>Abierto simplificado</t>
        </is>
      </c>
      <c r="L1332" s="6" t="n">
        <v>2</v>
      </c>
      <c r="M1332" s="2" t="n"/>
      <c r="N1332" s="7" t="n">
        <v>0.25</v>
      </c>
      <c r="O1332" s="4" t="n"/>
      <c r="P1332" s="2" t="inlineStr">
        <is>
          <t>45233252</t>
        </is>
      </c>
      <c r="Q1332" s="8" t="inlineStr">
        <is>
          <t>Ver</t>
        </is>
      </c>
      <c r="R1332" s="8" t="inlineStr">
        <is>
          <t>PCAP</t>
        </is>
      </c>
      <c r="S1332" s="9" t="n">
        <v>46314</v>
      </c>
      <c r="T1332" s="3" t="n">
        <v>46311.54278935185</v>
      </c>
      <c r="U1332" s="2" t="n"/>
    </row>
    <row r="1333">
      <c r="A1333" s="2" t="inlineStr">
        <is>
          <t>Resuelta</t>
        </is>
      </c>
      <c r="B1333" s="3" t="n">
        <v>46269.41666666666</v>
      </c>
      <c r="C1333" s="5" t="n">
        <v>122695.86</v>
      </c>
      <c r="D1333" s="5" t="n">
        <v>122695.86</v>
      </c>
      <c r="E1333" s="2" t="inlineStr">
        <is>
          <t>Andalucía</t>
        </is>
      </c>
      <c r="F1333" s="2" t="inlineStr">
        <is>
          <t>Málaga</t>
        </is>
      </c>
      <c r="G1333" s="2" t="n"/>
      <c r="H1333" s="2" t="inlineStr">
        <is>
          <t>Empresa de Transformación Agraria S.A.,S.M.E., M.P., (TRAGSA)</t>
        </is>
      </c>
      <c r="I1333" s="2" t="inlineStr">
        <is>
          <t>Suministro y ejecución de instalación de calefacción mediante canalización vista de acero inoxidable e instalación de radiadores en varios edificios públicos del municipio Benarrabá (Málaga)</t>
        </is>
      </c>
      <c r="J1333" s="2" t="inlineStr">
        <is>
          <t>TSA0083515</t>
        </is>
      </c>
      <c r="K1333" s="2" t="inlineStr">
        <is>
          <t>Abierto simplificado</t>
        </is>
      </c>
      <c r="L1333" s="6" t="n">
        <v>4</v>
      </c>
      <c r="M1333" s="2" t="inlineStr">
        <is>
          <t>J2-1</t>
        </is>
      </c>
      <c r="N1333" s="7" t="n">
        <v>0</v>
      </c>
      <c r="O1333" s="4" t="n"/>
      <c r="P1333" s="2" t="inlineStr">
        <is>
          <t>45331000</t>
        </is>
      </c>
      <c r="Q1333" s="8" t="inlineStr">
        <is>
          <t>Ver</t>
        </is>
      </c>
      <c r="R1333" s="8" t="inlineStr">
        <is>
          <t>PCAP</t>
        </is>
      </c>
      <c r="S1333" s="9" t="n">
        <v>46314</v>
      </c>
      <c r="T1333" s="3" t="n">
        <v>46311.53839120371</v>
      </c>
      <c r="U1333" s="2" t="n"/>
    </row>
    <row r="1334">
      <c r="A1334" s="2" t="inlineStr">
        <is>
          <t>Adjudicada</t>
        </is>
      </c>
      <c r="B1334" s="3" t="n">
        <v>46303.75</v>
      </c>
      <c r="C1334" s="5" t="n">
        <v>79212.27</v>
      </c>
      <c r="D1334" s="5" t="n">
        <v>79212.27</v>
      </c>
      <c r="E1334" s="2" t="inlineStr">
        <is>
          <t>Andalucía</t>
        </is>
      </c>
      <c r="F1334" s="2" t="inlineStr">
        <is>
          <t>Almería</t>
        </is>
      </c>
      <c r="G1334" s="2" t="inlineStr">
        <is>
          <t>Cuevas del Almanzora</t>
        </is>
      </c>
      <c r="H1334" s="2" t="inlineStr">
        <is>
          <t>Alcaldía del Ayuntamiento de Cuevas del Almanzora</t>
        </is>
      </c>
      <c r="I1334" s="2" t="inlineStr">
        <is>
          <t>Contrato derivado SDA-OBRA, actuaciones para mejorar la recogida, conducción y evacuación de las aguas pluviales, puntos travesía carretera provincial AL-8105, en la Mulería., según memoria adjunta en pdf</t>
        </is>
      </c>
      <c r="J1334" s="2" t="inlineStr">
        <is>
          <t>2026/354400/006-025/00010</t>
        </is>
      </c>
      <c r="K1334" s="2" t="inlineStr">
        <is>
          <t>Restringido</t>
        </is>
      </c>
      <c r="L1334" s="6" t="n">
        <v>2</v>
      </c>
      <c r="M1334" s="2" t="n"/>
      <c r="N1334" s="7" t="n">
        <v>0</v>
      </c>
      <c r="O1334" s="4" t="n">
        <v>2</v>
      </c>
      <c r="P1334" s="2" t="inlineStr">
        <is>
          <t>45200000; 45232410; 45232400</t>
        </is>
      </c>
      <c r="Q1334" s="8" t="inlineStr">
        <is>
          <t>Ver</t>
        </is>
      </c>
      <c r="R1334" s="2" t="n"/>
      <c r="S1334" s="9" t="n">
        <v>46314</v>
      </c>
      <c r="T1334" s="3" t="n">
        <v>46311.53803240741</v>
      </c>
      <c r="U1334" s="2" t="n"/>
    </row>
    <row r="1335">
      <c r="A1335" s="2" t="inlineStr">
        <is>
          <t>En plazo</t>
        </is>
      </c>
      <c r="B1335" s="3" t="n">
        <v>46332.5</v>
      </c>
      <c r="C1335" s="5" t="n">
        <v>183476.33</v>
      </c>
      <c r="D1335" s="5" t="n">
        <v>183476.33</v>
      </c>
      <c r="E1335" s="2" t="inlineStr">
        <is>
          <t>Comunitat Valenciana</t>
        </is>
      </c>
      <c r="F1335" s="2" t="inlineStr">
        <is>
          <t>Alicante</t>
        </is>
      </c>
      <c r="G1335" s="2" t="n"/>
      <c r="H1335" s="2" t="inlineStr">
        <is>
          <t>Junta de Gobierno del Ayuntamiento de Alcoy</t>
        </is>
      </c>
      <c r="I1335" s="2" t="inlineStr">
        <is>
          <t>Obra para la renovación del pavimento de la pista de atletismo del Polideportivo Francisco Laporta, incluido su marcaje</t>
        </is>
      </c>
      <c r="J1335" s="2" t="inlineStr">
        <is>
          <t>C.1723</t>
        </is>
      </c>
      <c r="K1335" s="2" t="inlineStr">
        <is>
          <t>Abierto simplificado</t>
        </is>
      </c>
      <c r="L1335" s="6" t="n">
        <v>2</v>
      </c>
      <c r="M1335" s="2" t="n"/>
      <c r="N1335" s="7" t="n">
        <v>0</v>
      </c>
      <c r="O1335" s="4" t="n"/>
      <c r="P1335" s="2" t="inlineStr">
        <is>
          <t>45236119; 45212200</t>
        </is>
      </c>
      <c r="Q1335" s="8" t="inlineStr">
        <is>
          <t>Ver</t>
        </is>
      </c>
      <c r="R1335" s="8" t="inlineStr">
        <is>
          <t>PCAP</t>
        </is>
      </c>
      <c r="S1335" s="9" t="n">
        <v>46314</v>
      </c>
      <c r="T1335" s="3" t="n">
        <v>46311.53155092592</v>
      </c>
      <c r="U1335" s="2" t="n"/>
    </row>
    <row r="1336">
      <c r="A1336" s="2" t="inlineStr">
        <is>
          <t>Pendiente de adjudicación</t>
        </is>
      </c>
      <c r="B1336" s="3" t="n">
        <v>46286.99930555555</v>
      </c>
      <c r="C1336" s="5" t="n">
        <v>7042000.26</v>
      </c>
      <c r="D1336" s="5" t="n">
        <v>7746200.28</v>
      </c>
      <c r="E1336" s="2" t="inlineStr">
        <is>
          <t>Comunitat Valenciana</t>
        </is>
      </c>
      <c r="F1336" s="2" t="inlineStr">
        <is>
          <t>Valencia</t>
        </is>
      </c>
      <c r="G1336" s="2" t="n"/>
      <c r="H1336" s="2" t="inlineStr">
        <is>
          <t>Junta de Gobierno del Ajuntament de València</t>
        </is>
      </c>
      <c r="I1336" s="2" t="inlineStr">
        <is>
          <t>Obras de un nuevo auditorio en Benicalap (València)</t>
        </is>
      </c>
      <c r="J1336" s="2" t="inlineStr">
        <is>
          <t>04101/2026/176-O</t>
        </is>
      </c>
      <c r="K1336" s="2" t="inlineStr">
        <is>
          <t>Abierto</t>
        </is>
      </c>
      <c r="L1336" s="6" t="n">
        <v>19</v>
      </c>
      <c r="M1336" s="2" t="inlineStr">
        <is>
          <t>C*-5</t>
        </is>
      </c>
      <c r="N1336" s="7" t="n">
        <v>0</v>
      </c>
      <c r="O1336" s="4" t="n"/>
      <c r="P1336" s="2" t="inlineStr">
        <is>
          <t>45212321</t>
        </is>
      </c>
      <c r="Q1336" s="8" t="inlineStr">
        <is>
          <t>Ver</t>
        </is>
      </c>
      <c r="R1336" s="8" t="inlineStr">
        <is>
          <t>PCAP</t>
        </is>
      </c>
      <c r="S1336" s="9" t="n">
        <v>46314</v>
      </c>
      <c r="T1336" s="3" t="n">
        <v>46311.52954861111</v>
      </c>
      <c r="U1336" s="2" t="n"/>
    </row>
    <row r="1337">
      <c r="A1337" s="2" t="inlineStr">
        <is>
          <t>En plazo</t>
        </is>
      </c>
      <c r="B1337" s="3" t="n">
        <v>46335.99930555555</v>
      </c>
      <c r="C1337" s="5" t="n">
        <v>4895758.65</v>
      </c>
      <c r="D1337" s="5" t="n">
        <v>4895758.65</v>
      </c>
      <c r="E1337" s="2" t="inlineStr">
        <is>
          <t>Comunitat Valenciana</t>
        </is>
      </c>
      <c r="F1337" s="2" t="inlineStr">
        <is>
          <t>Valencia</t>
        </is>
      </c>
      <c r="G1337" s="2" t="inlineStr">
        <is>
          <t>Estivella</t>
        </is>
      </c>
      <c r="H1337" s="2" t="inlineStr">
        <is>
          <t>Pleno del Ayuntamiento de Estivella</t>
        </is>
      </c>
      <c r="I1337" s="2" t="inlineStr">
        <is>
          <t>Demolició i reposició del CENTRE CEIP EL BRAÇAL en la mateixa parcel·la</t>
        </is>
      </c>
      <c r="J1337" s="2" t="inlineStr">
        <is>
          <t>271/2026</t>
        </is>
      </c>
      <c r="K1337" s="2" t="inlineStr">
        <is>
          <t>Abierto</t>
        </is>
      </c>
      <c r="L1337" s="6" t="n">
        <v>18</v>
      </c>
      <c r="M1337" s="2" t="inlineStr">
        <is>
          <t>C*-5</t>
        </is>
      </c>
      <c r="N1337" s="7" t="n">
        <v>0.2</v>
      </c>
      <c r="O1337" s="4" t="n"/>
      <c r="P1337" s="2" t="inlineStr">
        <is>
          <t>45214000</t>
        </is>
      </c>
      <c r="Q1337" s="8" t="inlineStr">
        <is>
          <t>Ver</t>
        </is>
      </c>
      <c r="R1337" s="8" t="inlineStr">
        <is>
          <t>PCAP</t>
        </is>
      </c>
      <c r="S1337" s="9" t="n">
        <v>46310</v>
      </c>
      <c r="T1337" s="3" t="n">
        <v>46311.52895833334</v>
      </c>
      <c r="U1337" s="2" t="n"/>
    </row>
    <row r="1338">
      <c r="A1338" s="2" t="inlineStr">
        <is>
          <t>Adjudicada</t>
        </is>
      </c>
      <c r="B1338" s="3" t="n">
        <v>46274.58333333334</v>
      </c>
      <c r="C1338" s="5" t="n">
        <v>66207.45</v>
      </c>
      <c r="D1338" s="5" t="n">
        <v>66207.45</v>
      </c>
      <c r="E1338" s="2" t="inlineStr">
        <is>
          <t>Andalucía</t>
        </is>
      </c>
      <c r="F1338" s="2" t="inlineStr">
        <is>
          <t>Granada</t>
        </is>
      </c>
      <c r="G1338" s="2" t="inlineStr">
        <is>
          <t>Albolote (Granada)</t>
        </is>
      </c>
      <c r="H1338" s="2" t="inlineStr">
        <is>
          <t>Junta de Gobierno del Ayuntamiento de Albolote</t>
        </is>
      </c>
      <c r="I1338" s="2" t="inlineStr">
        <is>
          <t>Obras de reparación e impermeabilización de sótano de edificio de servicios múltiples de Albolote.</t>
        </is>
      </c>
      <c r="J1338" s="2" t="inlineStr">
        <is>
          <t>2790/2026</t>
        </is>
      </c>
      <c r="K1338" s="2" t="inlineStr">
        <is>
          <t>Abierto simplificado</t>
        </is>
      </c>
      <c r="L1338" s="6" t="n">
        <v>2</v>
      </c>
      <c r="M1338" s="2" t="inlineStr">
        <is>
          <t>C6-1</t>
        </is>
      </c>
      <c r="N1338" s="7" t="n">
        <v>0</v>
      </c>
      <c r="O1338" s="4" t="n"/>
      <c r="P1338" s="2" t="inlineStr">
        <is>
          <t>45000000; 45321000; 45330000; 45262650; 45300000; 45320000; 45323000; 45430000; 45111100; 45262670; 45310000</t>
        </is>
      </c>
      <c r="Q1338" s="8" t="inlineStr">
        <is>
          <t>Ver</t>
        </is>
      </c>
      <c r="R1338" s="8" t="inlineStr">
        <is>
          <t>PCAP</t>
        </is>
      </c>
      <c r="S1338" s="9" t="n">
        <v>46310</v>
      </c>
      <c r="T1338" s="3" t="n">
        <v>46311.52792824074</v>
      </c>
      <c r="U1338" s="2" t="inlineStr">
        <is>
          <t>2026-10-19: estado EV → ADJ</t>
        </is>
      </c>
    </row>
    <row r="1339">
      <c r="A1339" s="2" t="inlineStr">
        <is>
          <t>Pendiente de adjudicación</t>
        </is>
      </c>
      <c r="B1339" s="3" t="n">
        <v>45532.99930555555</v>
      </c>
      <c r="C1339" s="5" t="n">
        <v>160540.65</v>
      </c>
      <c r="D1339" s="5" t="n">
        <v>160540.65</v>
      </c>
      <c r="E1339" s="2" t="inlineStr">
        <is>
          <t>Comunitat Valenciana</t>
        </is>
      </c>
      <c r="F1339" s="2" t="inlineStr">
        <is>
          <t>Castellón</t>
        </is>
      </c>
      <c r="G1339" s="2" t="inlineStr">
        <is>
          <t>La Vall d'Alba</t>
        </is>
      </c>
      <c r="H1339" s="2" t="inlineStr">
        <is>
          <t>Junta de Gobierno Local del Ayuntamiento de Vall d'Alba</t>
        </is>
      </c>
      <c r="I1339" s="2" t="inlineStr">
        <is>
          <t>digitalización del ciclo integral del agua</t>
        </is>
      </c>
      <c r="J1339" s="2" t="inlineStr">
        <is>
          <t>792/2024</t>
        </is>
      </c>
      <c r="K1339" s="2" t="inlineStr">
        <is>
          <t>Abierto</t>
        </is>
      </c>
      <c r="L1339" s="6" t="n">
        <v>5</v>
      </c>
      <c r="M1339" s="2" t="n"/>
      <c r="N1339" s="7" t="n">
        <v>0.4</v>
      </c>
      <c r="O1339" s="4" t="n"/>
      <c r="P1339" s="2" t="inlineStr">
        <is>
          <t>45314000; 38420000</t>
        </is>
      </c>
      <c r="Q1339" s="8" t="inlineStr">
        <is>
          <t>Ver</t>
        </is>
      </c>
      <c r="R1339" s="8" t="inlineStr">
        <is>
          <t>PCAP</t>
        </is>
      </c>
      <c r="S1339" s="9" t="n">
        <v>46314</v>
      </c>
      <c r="T1339" s="3" t="n">
        <v>46311.52769675926</v>
      </c>
      <c r="U1339" s="2" t="n"/>
    </row>
    <row r="1340">
      <c r="A1340" s="2" t="inlineStr">
        <is>
          <t>Pendiente de adjudicación</t>
        </is>
      </c>
      <c r="B1340" s="3" t="n">
        <v>46283.99930555555</v>
      </c>
      <c r="C1340" s="5" t="n">
        <v>987793.33</v>
      </c>
      <c r="D1340" s="5" t="n">
        <v>987793.33</v>
      </c>
      <c r="E1340" s="2" t="inlineStr">
        <is>
          <t>Andalucía</t>
        </is>
      </c>
      <c r="F1340" s="2" t="inlineStr">
        <is>
          <t>Sevilla</t>
        </is>
      </c>
      <c r="G1340" s="2" t="inlineStr">
        <is>
          <t>Alcalá de Guadaíra</t>
        </is>
      </c>
      <c r="H1340" s="2" t="inlineStr">
        <is>
          <t>Junta de Gobierno Local del Ayuntamiento de Alcalá de Guadaíra</t>
        </is>
      </c>
      <c r="I1340" s="2" t="inlineStr">
        <is>
          <t>obra de ejecución de actuaciones de mejoras en los parques de ribera del tramo urbano del río Guadaíra en Alcalá de Guadaíra (C-2026/026)</t>
        </is>
      </c>
      <c r="J1340" s="2" t="inlineStr">
        <is>
          <t>5126/2026</t>
        </is>
      </c>
      <c r="K1340" s="2" t="inlineStr">
        <is>
          <t>Abierto simplificado</t>
        </is>
      </c>
      <c r="L1340" s="6" t="n">
        <v>5</v>
      </c>
      <c r="M1340" s="2" t="n"/>
      <c r="N1340" s="7" t="n">
        <v>0.25</v>
      </c>
      <c r="O1340" s="4" t="n"/>
      <c r="P1340" s="2" t="inlineStr">
        <is>
          <t>45112700; 03451300; 45112100; 45233142; 45233200; 03452000; 77310000; 45232120; 34928400</t>
        </is>
      </c>
      <c r="Q1340" s="8" t="inlineStr">
        <is>
          <t>Ver</t>
        </is>
      </c>
      <c r="R1340" s="8" t="inlineStr">
        <is>
          <t>PCAP</t>
        </is>
      </c>
      <c r="S1340" s="9" t="n">
        <v>46310</v>
      </c>
      <c r="T1340" s="3" t="n">
        <v>46311.52603009259</v>
      </c>
      <c r="U1340" s="2" t="n"/>
    </row>
    <row r="1341">
      <c r="A1341" s="2" t="inlineStr">
        <is>
          <t>Resuelta</t>
        </is>
      </c>
      <c r="B1341" s="3" t="n">
        <v>46209.58333333334</v>
      </c>
      <c r="C1341" s="5" t="n">
        <v>361357.6</v>
      </c>
      <c r="D1341" s="5" t="n">
        <v>361357.6</v>
      </c>
      <c r="E1341" s="2" t="inlineStr">
        <is>
          <t>Andalucía</t>
        </is>
      </c>
      <c r="F1341" s="2" t="inlineStr">
        <is>
          <t>Cádiz</t>
        </is>
      </c>
      <c r="G1341" s="2" t="inlineStr">
        <is>
          <t>CÁDIZ</t>
        </is>
      </c>
      <c r="H1341" s="2" t="inlineStr">
        <is>
          <t>Presidencia de la Autoridad Portuaria de la Bahía de Cádiz</t>
        </is>
      </c>
      <c r="I1341" s="2" t="inlineStr">
        <is>
          <t>Rehabilitación y mejora de las condiciones de seguridad del paso superior del dique de abrigo del Paseo Almirante Pascual Pery (CA-009-26)</t>
        </is>
      </c>
      <c r="J1341" s="2" t="inlineStr">
        <is>
          <t>112/2026</t>
        </is>
      </c>
      <c r="K1341" s="2" t="inlineStr">
        <is>
          <t>Abierto simplificado</t>
        </is>
      </c>
      <c r="L1341" s="6" t="n">
        <v>5</v>
      </c>
      <c r="M1341" s="2" t="inlineStr">
        <is>
          <t>C2-3</t>
        </is>
      </c>
      <c r="N1341" s="7" t="n">
        <v>0.25</v>
      </c>
      <c r="O1341" s="4" t="n"/>
      <c r="P1341" s="2" t="inlineStr">
        <is>
          <t>45200000; 45400000; 45220000; 45110000</t>
        </is>
      </c>
      <c r="Q1341" s="8" t="inlineStr">
        <is>
          <t>Ver</t>
        </is>
      </c>
      <c r="R1341" s="8" t="inlineStr">
        <is>
          <t>PCAP</t>
        </is>
      </c>
      <c r="S1341" s="9" t="n">
        <v>46314</v>
      </c>
      <c r="T1341" s="3" t="n">
        <v>46311.5255787037</v>
      </c>
      <c r="U1341" s="2" t="n"/>
    </row>
    <row r="1342">
      <c r="A1342" s="2" t="inlineStr">
        <is>
          <t>En plazo</t>
        </is>
      </c>
      <c r="B1342" s="3" t="n">
        <v>46332.5</v>
      </c>
      <c r="C1342" s="5" t="n">
        <v>1959411.99</v>
      </c>
      <c r="D1342" s="5" t="n">
        <v>1959411.99</v>
      </c>
      <c r="E1342" s="2" t="inlineStr">
        <is>
          <t>Comunitat Valenciana</t>
        </is>
      </c>
      <c r="F1342" s="2" t="inlineStr">
        <is>
          <t>Alicante</t>
        </is>
      </c>
      <c r="G1342" s="2" t="inlineStr">
        <is>
          <t>Almoradí</t>
        </is>
      </c>
      <c r="H1342" s="2" t="inlineStr">
        <is>
          <t>Junta de Gobierno del Ayuntamiento de Almoradí</t>
        </is>
      </c>
      <c r="I1342"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J1342" s="2" t="inlineStr">
        <is>
          <t>7981/2026</t>
        </is>
      </c>
      <c r="K1342" s="2" t="inlineStr">
        <is>
          <t>Abierto simplificado</t>
        </is>
      </c>
      <c r="L1342" s="6" t="n">
        <v>5</v>
      </c>
      <c r="M1342" s="2" t="n"/>
      <c r="N1342" s="7" t="n">
        <v>0.25</v>
      </c>
      <c r="O1342" s="4" t="n"/>
      <c r="P1342" s="2" t="inlineStr">
        <is>
          <t>45233200; 45211360; 45233253; 45111100; 45233162; 45000000; 45233140</t>
        </is>
      </c>
      <c r="Q1342" s="8" t="inlineStr">
        <is>
          <t>Ver</t>
        </is>
      </c>
      <c r="R1342" s="8" t="inlineStr">
        <is>
          <t>PCAP</t>
        </is>
      </c>
      <c r="S1342" s="9" t="n">
        <v>46314</v>
      </c>
      <c r="T1342" s="3" t="n">
        <v>46311.52456018519</v>
      </c>
      <c r="U1342" s="2" t="n"/>
    </row>
    <row r="1343">
      <c r="A1343" s="2" t="inlineStr">
        <is>
          <t>Resuelta</t>
        </is>
      </c>
      <c r="B1343" s="3" t="n">
        <v>46276.58333333334</v>
      </c>
      <c r="C1343" s="5" t="n">
        <v>91600.75</v>
      </c>
      <c r="D1343" s="5" t="n">
        <v>91600.75</v>
      </c>
      <c r="E1343" s="2" t="inlineStr">
        <is>
          <t>Comunitat Valenciana</t>
        </is>
      </c>
      <c r="F1343" s="2" t="inlineStr">
        <is>
          <t>Valencia</t>
        </is>
      </c>
      <c r="G1343" s="2" t="n"/>
      <c r="H1343" s="2" t="inlineStr">
        <is>
          <t>Concejalía Delegada de Contratación del Ayuntamiento de Gandía</t>
        </is>
      </c>
      <c r="I1343" s="2" t="inlineStr">
        <is>
          <t>Contrato de obras consistente en la ejecución del proyecto de mejora, modernización y dotación de infraestructuras y servicios en el Polígono Rajolar (IVACE ejercicios 2025-2026).</t>
        </is>
      </c>
      <c r="J1343" s="2" t="inlineStr">
        <is>
          <t>CONT-058/2026 (41989/2026)</t>
        </is>
      </c>
      <c r="K1343" s="2" t="inlineStr">
        <is>
          <t>Abierto simplificado</t>
        </is>
      </c>
      <c r="L1343" s="6" t="n">
        <v>2</v>
      </c>
      <c r="M1343" s="2" t="n"/>
      <c r="N1343" s="7" t="n">
        <v>0</v>
      </c>
      <c r="O1343" s="4" t="n"/>
      <c r="P1343" s="2" t="inlineStr">
        <is>
          <t>45233200; 45310000; 45112710</t>
        </is>
      </c>
      <c r="Q1343" s="8" t="inlineStr">
        <is>
          <t>Ver</t>
        </is>
      </c>
      <c r="R1343" s="8" t="inlineStr">
        <is>
          <t>PCAP</t>
        </is>
      </c>
      <c r="S1343" s="9" t="n">
        <v>46310</v>
      </c>
      <c r="T1343" s="3" t="n">
        <v>46311.52333333333</v>
      </c>
      <c r="U1343" s="2" t="inlineStr">
        <is>
          <t>2026-10-19: estado ADJ → RES</t>
        </is>
      </c>
    </row>
    <row r="1344">
      <c r="A1344" s="2" t="inlineStr">
        <is>
          <t>Resuelta</t>
        </is>
      </c>
      <c r="B1344" s="3" t="n">
        <v>46288.99930555555</v>
      </c>
      <c r="C1344" s="5" t="n">
        <v>137181.79</v>
      </c>
      <c r="D1344" s="5" t="n">
        <v>137181.79</v>
      </c>
      <c r="E1344" s="2" t="inlineStr">
        <is>
          <t>Andalucía</t>
        </is>
      </c>
      <c r="F1344" s="2" t="inlineStr">
        <is>
          <t>Granada</t>
        </is>
      </c>
      <c r="G1344" s="2" t="inlineStr">
        <is>
          <t>VALLE DEL ZALABÍ</t>
        </is>
      </c>
      <c r="H1344" s="2" t="inlineStr">
        <is>
          <t>Presidencia de la Diputación Provincial de Granada</t>
        </is>
      </c>
      <c r="I1344" s="2" t="inlineStr">
        <is>
          <t>2024/4/PPOYS-164-C y 2026/4/PPOYS-164/2 "Valle del Zalabí, acondicionamiento de redes y pavimentación en Avenida de la Villa (Zona 1 y 2)</t>
        </is>
      </c>
      <c r="J1344" s="2" t="inlineStr">
        <is>
          <t>OB-053/26</t>
        </is>
      </c>
      <c r="K1344" s="2" t="inlineStr">
        <is>
          <t>Abierto simplificado</t>
        </is>
      </c>
      <c r="L1344" s="6" t="n">
        <v>6</v>
      </c>
      <c r="M1344" s="2" t="inlineStr">
        <is>
          <t>E7-1; G6-1</t>
        </is>
      </c>
      <c r="N1344" s="7" t="n">
        <v>0</v>
      </c>
      <c r="O1344" s="4" t="n"/>
      <c r="P1344" s="2" t="inlineStr">
        <is>
          <t>45231100; 45233252</t>
        </is>
      </c>
      <c r="Q1344" s="8" t="inlineStr">
        <is>
          <t>Ver</t>
        </is>
      </c>
      <c r="R1344" s="8" t="inlineStr">
        <is>
          <t>PCAP</t>
        </is>
      </c>
      <c r="S1344" s="9" t="n">
        <v>46314</v>
      </c>
      <c r="T1344" s="3" t="n">
        <v>46311.51891203703</v>
      </c>
      <c r="U1344" s="2" t="n"/>
    </row>
    <row r="1345">
      <c r="A1345" s="2" t="inlineStr">
        <is>
          <t>En plazo</t>
        </is>
      </c>
      <c r="B1345" s="3" t="n">
        <v>46336.99930555555</v>
      </c>
      <c r="C1345" s="5" t="n">
        <v>292040.41</v>
      </c>
      <c r="D1345" s="5" t="n">
        <v>292040.41</v>
      </c>
      <c r="E1345" s="2" t="inlineStr">
        <is>
          <t>Andalucía</t>
        </is>
      </c>
      <c r="F1345" s="2" t="inlineStr">
        <is>
          <t>Sevilla</t>
        </is>
      </c>
      <c r="G1345" s="2" t="inlineStr">
        <is>
          <t>Las Cabezas de San Juan</t>
        </is>
      </c>
      <c r="H1345" s="2" t="inlineStr">
        <is>
          <t>Alcaldia del Ayuntamiento de Las Cabezas de San Juan</t>
        </is>
      </c>
      <c r="I1345" s="2" t="inlineStr">
        <is>
          <t>Reurbanización entorno tramo C/ Hermanos Álvarez y otras, así como actuaciones en zonas verdes" dentro del programa de fomento de empelo agraria (PFEA) 2026</t>
        </is>
      </c>
      <c r="J1345" s="2" t="inlineStr">
        <is>
          <t>4923/2026</t>
        </is>
      </c>
      <c r="K1345" s="2" t="inlineStr">
        <is>
          <t>Abierto</t>
        </is>
      </c>
      <c r="L1345" s="6" t="n">
        <v>10</v>
      </c>
      <c r="M1345" s="2" t="n"/>
      <c r="N1345" s="7" t="n">
        <v>0</v>
      </c>
      <c r="O1345" s="4" t="n">
        <v>14</v>
      </c>
      <c r="P1345" s="2" t="inlineStr">
        <is>
          <t>45262370; 44112210; 03110000; 44111400; 14210000; 43312400; 44111100; 14622000; 44113620; 44115000; 45421160; 90500000; 35113400; 42416100; 34134000; 34952000</t>
        </is>
      </c>
      <c r="Q1345" s="8" t="inlineStr">
        <is>
          <t>Ver</t>
        </is>
      </c>
      <c r="R1345" s="8" t="inlineStr">
        <is>
          <t>PCAP</t>
        </is>
      </c>
      <c r="S1345" s="9" t="n">
        <v>46311</v>
      </c>
      <c r="T1345" s="3" t="n">
        <v>46311.51694444445</v>
      </c>
      <c r="U1345" s="2" t="n"/>
    </row>
    <row r="1346">
      <c r="A1346" s="2" t="inlineStr">
        <is>
          <t>Resuelta</t>
        </is>
      </c>
      <c r="B1346" s="3" t="n">
        <v>46288.99930555555</v>
      </c>
      <c r="C1346" s="5" t="n">
        <v>151897.52</v>
      </c>
      <c r="D1346" s="5" t="n">
        <v>151897.52</v>
      </c>
      <c r="E1346" s="2" t="inlineStr">
        <is>
          <t>Andalucía</t>
        </is>
      </c>
      <c r="F1346" s="2" t="inlineStr">
        <is>
          <t>Granada</t>
        </is>
      </c>
      <c r="G1346" s="2" t="inlineStr">
        <is>
          <t>POLICAR</t>
        </is>
      </c>
      <c r="H1346" s="2" t="inlineStr">
        <is>
          <t>Presidencia de la Diputación Provincial de Granada</t>
        </is>
      </c>
      <c r="I1346" s="2" t="inlineStr">
        <is>
          <t>2024/4/PPOYS-141-C "Polícar, ejecución de vestuarios masculino y femenino en el recinto de la piscina municipal"</t>
        </is>
      </c>
      <c r="J1346" s="2" t="inlineStr">
        <is>
          <t>OB-036/26</t>
        </is>
      </c>
      <c r="K1346" s="2" t="inlineStr">
        <is>
          <t>Abierto simplificado</t>
        </is>
      </c>
      <c r="L1346" s="6" t="n">
        <v>6</v>
      </c>
      <c r="M1346" s="2" t="inlineStr">
        <is>
          <t>C*-2</t>
        </is>
      </c>
      <c r="N1346" s="7" t="n">
        <v>0</v>
      </c>
      <c r="O1346" s="4" t="n"/>
      <c r="P1346" s="2" t="inlineStr">
        <is>
          <t>45210000</t>
        </is>
      </c>
      <c r="Q1346" s="8" t="inlineStr">
        <is>
          <t>Ver</t>
        </is>
      </c>
      <c r="R1346" s="8" t="inlineStr">
        <is>
          <t>PCAP</t>
        </is>
      </c>
      <c r="S1346" s="9" t="n">
        <v>46314</v>
      </c>
      <c r="T1346" s="3" t="n">
        <v>46311.51609953704</v>
      </c>
      <c r="U1346" s="2" t="n"/>
    </row>
    <row r="1347">
      <c r="A1347" s="2" t="inlineStr">
        <is>
          <t>Plazo vencido</t>
        </is>
      </c>
      <c r="B1347" s="3" t="n">
        <v>46321.99930555555</v>
      </c>
      <c r="C1347" s="5" t="n">
        <v>207955.12</v>
      </c>
      <c r="D1347" s="5" t="n">
        <v>207955.12</v>
      </c>
      <c r="E1347" s="2" t="inlineStr">
        <is>
          <t>Andalucía</t>
        </is>
      </c>
      <c r="F1347" s="2" t="inlineStr">
        <is>
          <t>Sevilla</t>
        </is>
      </c>
      <c r="G1347" s="2" t="n"/>
      <c r="H1347" s="2" t="inlineStr">
        <is>
          <t>Presidencia de la Diputación Provincial de Sevilla</t>
        </is>
      </c>
      <c r="I1347" s="2" t="inlineStr">
        <is>
          <t>Obras de demolición de edificaciones existentes en el Cortijo de Cuarto, perteneciente a la Diputación Provincial de Sevilla.</t>
        </is>
      </c>
      <c r="J1347" s="2" t="inlineStr">
        <is>
          <t>2026/000623-PAAS</t>
        </is>
      </c>
      <c r="K1347" s="2" t="inlineStr">
        <is>
          <t>Abierto simplificado</t>
        </is>
      </c>
      <c r="L1347" s="6" t="n">
        <v>3</v>
      </c>
      <c r="M1347" s="2" t="n"/>
      <c r="N1347" s="7" t="n">
        <v>0</v>
      </c>
      <c r="O1347" s="4" t="n"/>
      <c r="P1347" s="2" t="inlineStr">
        <is>
          <t>45111100</t>
        </is>
      </c>
      <c r="Q1347" s="8" t="inlineStr">
        <is>
          <t>Ver</t>
        </is>
      </c>
      <c r="R1347" s="8" t="inlineStr">
        <is>
          <t>PCAP</t>
        </is>
      </c>
      <c r="S1347" s="9" t="n">
        <v>46314</v>
      </c>
      <c r="T1347" s="3" t="n">
        <v>46311.51569444445</v>
      </c>
      <c r="U1347" s="2" t="n"/>
    </row>
    <row r="1348">
      <c r="A1348" s="2" t="inlineStr">
        <is>
          <t>Pendiente de adjudicación</t>
        </is>
      </c>
      <c r="B1348" s="3" t="n">
        <v>46294.99930555555</v>
      </c>
      <c r="C1348" s="5" t="n">
        <v>504132.23</v>
      </c>
      <c r="D1348" s="5" t="n">
        <v>504132.23</v>
      </c>
      <c r="E1348" s="2" t="inlineStr">
        <is>
          <t>Andalucía</t>
        </is>
      </c>
      <c r="F1348" s="2" t="inlineStr">
        <is>
          <t>Huelva</t>
        </is>
      </c>
      <c r="G1348" s="2" t="n"/>
      <c r="H1348" s="2" t="inlineStr">
        <is>
          <t>Junta de Gobierno del Ayuntamiento de Huelva</t>
        </is>
      </c>
      <c r="I1348" s="2" t="inlineStr">
        <is>
          <t>Obras del proyecto de creación de áreas piloto de transición ecológica, integrado en el Marco del Plan de Actuación Integrado Huelva distrito H-HUB de innovación ecosocial, integrado en las estrategias de desarrollo integrado, Edil.</t>
        </is>
      </c>
      <c r="J1348" s="2" t="inlineStr">
        <is>
          <t>94/2026</t>
        </is>
      </c>
      <c r="K1348" s="2" t="inlineStr">
        <is>
          <t>Abierto simplificado</t>
        </is>
      </c>
      <c r="L1348" s="6" t="n">
        <v>4</v>
      </c>
      <c r="M1348" s="2" t="inlineStr">
        <is>
          <t>G6-2; K6-2</t>
        </is>
      </c>
      <c r="N1348" s="7" t="n">
        <v>0.15</v>
      </c>
      <c r="O1348" s="4" t="n"/>
      <c r="P1348" s="2" t="inlineStr">
        <is>
          <t>45000000; 45233250; 37535200; 45233293; 45112710; 43325000; 45111000</t>
        </is>
      </c>
      <c r="Q1348" s="8" t="inlineStr">
        <is>
          <t>Ver</t>
        </is>
      </c>
      <c r="R1348" s="8" t="inlineStr">
        <is>
          <t>PCAP</t>
        </is>
      </c>
      <c r="S1348" s="9" t="n">
        <v>46314</v>
      </c>
      <c r="T1348" s="3" t="n">
        <v>46311.51415509259</v>
      </c>
      <c r="U1348" s="2" t="n"/>
    </row>
    <row r="1349">
      <c r="A1349" s="2" t="inlineStr">
        <is>
          <t>Pendiente de adjudicación</t>
        </is>
      </c>
      <c r="B1349" s="3" t="n">
        <v>46294.99930555555</v>
      </c>
      <c r="C1349" s="5" t="n">
        <v>377685.95</v>
      </c>
      <c r="D1349" s="5" t="n">
        <v>377685.95</v>
      </c>
      <c r="E1349" s="2" t="inlineStr">
        <is>
          <t>Andalucía</t>
        </is>
      </c>
      <c r="F1349" s="2" t="inlineStr">
        <is>
          <t>Huelva</t>
        </is>
      </c>
      <c r="G1349" s="2" t="n"/>
      <c r="H1349" s="2" t="inlineStr">
        <is>
          <t>Junta de Gobierno del Ayuntamiento de Huelva</t>
        </is>
      </c>
      <c r="I1349" s="2" t="inlineStr">
        <is>
          <t>Obras del proyecto de naturalización y corredores verdes del plan de actuación integrado "Huelva Distrito H-HUB de Innovación Ecosocial" (Plan EDIL)</t>
        </is>
      </c>
      <c r="J1349" s="2" t="inlineStr">
        <is>
          <t>96/2026</t>
        </is>
      </c>
      <c r="K1349" s="2" t="inlineStr">
        <is>
          <t>Abierto simplificado</t>
        </is>
      </c>
      <c r="L1349" s="6" t="n">
        <v>4</v>
      </c>
      <c r="M1349" s="2" t="n"/>
      <c r="N1349" s="7" t="n">
        <v>0.15</v>
      </c>
      <c r="O1349" s="4" t="n"/>
      <c r="P1349" s="2" t="inlineStr">
        <is>
          <t>45000000; 45111000; 45223110; 45233220; 45112710; 45233250; 45233221; 45232120</t>
        </is>
      </c>
      <c r="Q1349" s="8" t="inlineStr">
        <is>
          <t>Ver</t>
        </is>
      </c>
      <c r="R1349" s="8" t="inlineStr">
        <is>
          <t>PCAP</t>
        </is>
      </c>
      <c r="S1349" s="9" t="n">
        <v>46314</v>
      </c>
      <c r="T1349" s="3" t="n">
        <v>46311.51354166667</v>
      </c>
      <c r="U1349" s="2" t="n"/>
    </row>
    <row r="1350">
      <c r="A1350" s="2" t="inlineStr">
        <is>
          <t>Adjudicada</t>
        </is>
      </c>
      <c r="B1350" s="3" t="n">
        <v>46231.99930555555</v>
      </c>
      <c r="C1350" s="5" t="n">
        <v>69750</v>
      </c>
      <c r="D1350" s="5" t="n">
        <v>167400</v>
      </c>
      <c r="E1350" s="2" t="inlineStr">
        <is>
          <t>Andalucía</t>
        </is>
      </c>
      <c r="F1350" s="2" t="inlineStr">
        <is>
          <t>Córdoba</t>
        </is>
      </c>
      <c r="G1350" s="2" t="n"/>
      <c r="H1350" s="2" t="inlineStr">
        <is>
          <t>Consejería Delegada de Aguas de Lucena S.L.</t>
        </is>
      </c>
      <c r="I1350" s="2" t="inlineStr">
        <is>
          <t>Contratación de un servicio para la atención de trabajos de obra civil relacionados con averías, reparaciones, mantenimiento y actuaciones competencia de Aguas de Lucena, S.L., en el término municipal de Lucena.</t>
        </is>
      </c>
      <c r="J1350" s="2" t="inlineStr">
        <is>
          <t>AG-02/2026</t>
        </is>
      </c>
      <c r="K1350" s="2" t="inlineStr">
        <is>
          <t>Abierto simplificado</t>
        </is>
      </c>
      <c r="L1350" s="6" t="n">
        <v>24</v>
      </c>
      <c r="M1350" s="2" t="n"/>
      <c r="N1350" s="7" t="n">
        <v>0</v>
      </c>
      <c r="O1350" s="4" t="n"/>
      <c r="P1350" s="2" t="inlineStr">
        <is>
          <t>45262500; 45262520</t>
        </is>
      </c>
      <c r="Q1350" s="8" t="inlineStr">
        <is>
          <t>Ver</t>
        </is>
      </c>
      <c r="R1350" s="8" t="inlineStr">
        <is>
          <t>PCAP</t>
        </is>
      </c>
      <c r="S1350" s="9" t="n">
        <v>46314</v>
      </c>
      <c r="T1350" s="3" t="n">
        <v>46311.51170138889</v>
      </c>
      <c r="U1350" s="2" t="n"/>
    </row>
    <row r="1351">
      <c r="A1351" s="2" t="inlineStr">
        <is>
          <t>Resuelta</t>
        </is>
      </c>
      <c r="B1351" s="3" t="n">
        <v>46253.58333333334</v>
      </c>
      <c r="C1351" s="5" t="n">
        <v>40408.24</v>
      </c>
      <c r="D1351" s="5" t="n">
        <v>48489.89</v>
      </c>
      <c r="E1351" s="2" t="inlineStr">
        <is>
          <t>Comunitat Valenciana</t>
        </is>
      </c>
      <c r="F1351" s="2" t="inlineStr">
        <is>
          <t>Valencia</t>
        </is>
      </c>
      <c r="G1351" s="2" t="n"/>
      <c r="H1351" s="2" t="inlineStr">
        <is>
          <t>Gerencia umivale Activa, Mutua Colaboradora con la Seguridad Social número 3</t>
        </is>
      </c>
      <c r="I1351" s="2" t="inlineStr">
        <is>
          <t>Trabajos de sustitución de bajante del edificio sito en calle colón de Valencia</t>
        </is>
      </c>
      <c r="J1351" s="2" t="inlineStr">
        <is>
          <t>OBR-26-0261-SOM</t>
        </is>
      </c>
      <c r="K1351" s="2" t="inlineStr">
        <is>
          <t>Abierto</t>
        </is>
      </c>
      <c r="L1351" s="6" t="n">
        <v>2</v>
      </c>
      <c r="M1351" s="2" t="n"/>
      <c r="N1351" s="7" t="n">
        <v>0.3</v>
      </c>
      <c r="O1351" s="4" t="n"/>
      <c r="P1351" s="2" t="inlineStr">
        <is>
          <t>45262660; 45232410; 45262520</t>
        </is>
      </c>
      <c r="Q1351" s="8" t="inlineStr">
        <is>
          <t>Ver</t>
        </is>
      </c>
      <c r="R1351" s="8" t="inlineStr">
        <is>
          <t>PCAP</t>
        </is>
      </c>
      <c r="S1351" s="9" t="n">
        <v>46314</v>
      </c>
      <c r="T1351" s="3" t="n">
        <v>46311.50936342592</v>
      </c>
      <c r="U1351" s="2" t="n"/>
    </row>
    <row r="1352">
      <c r="A1352" s="2" t="inlineStr">
        <is>
          <t>En plazo</t>
        </is>
      </c>
      <c r="B1352" s="3" t="n">
        <v>46332.41666666666</v>
      </c>
      <c r="C1352" s="5" t="n">
        <v>638220.99</v>
      </c>
      <c r="D1352" s="5" t="n">
        <v>638220.99</v>
      </c>
      <c r="E1352" s="2" t="inlineStr">
        <is>
          <t>Andalucía</t>
        </is>
      </c>
      <c r="F1352" s="2" t="inlineStr">
        <is>
          <t>Huelva</t>
        </is>
      </c>
      <c r="G1352" s="2" t="n"/>
      <c r="H1352" s="2" t="inlineStr">
        <is>
          <t>Empresa de Transformación Agraria S.A.,S.M.E., M.P., (TRAGSA)</t>
        </is>
      </c>
      <c r="I1352" s="2" t="inlineStr">
        <is>
          <t>Suministro y ejecución de instalaciones eléctricas, seguridad, comunicaciones y fotovoltaica en edificio administrativo de Huelva, en Plaza de La Constitución, No1, Huelva</t>
        </is>
      </c>
      <c r="J1352" s="2" t="inlineStr">
        <is>
          <t>TSA0083804</t>
        </is>
      </c>
      <c r="K1352" s="2" t="inlineStr">
        <is>
          <t>Abierto simplificado</t>
        </is>
      </c>
      <c r="L1352" s="6" t="n">
        <v>18</v>
      </c>
      <c r="M1352" s="2" t="n"/>
      <c r="N1352" s="7" t="n">
        <v>0</v>
      </c>
      <c r="O1352" s="4" t="n">
        <v>3</v>
      </c>
      <c r="P1352" s="2" t="inlineStr">
        <is>
          <t>45315600; 45315500; 45310000</t>
        </is>
      </c>
      <c r="Q1352" s="8" t="inlineStr">
        <is>
          <t>Ver</t>
        </is>
      </c>
      <c r="R1352" s="8" t="inlineStr">
        <is>
          <t>PCAP</t>
        </is>
      </c>
      <c r="S1352" s="9" t="n">
        <v>46314</v>
      </c>
      <c r="T1352" s="3" t="n">
        <v>46311.50920138889</v>
      </c>
      <c r="U1352" s="2" t="n"/>
    </row>
    <row r="1353">
      <c r="A1353" s="2" t="inlineStr">
        <is>
          <t>Resuelta</t>
        </is>
      </c>
      <c r="B1353" s="3" t="n">
        <v>46280.99930555555</v>
      </c>
      <c r="C1353" s="5" t="n">
        <v>91680.99000000001</v>
      </c>
      <c r="D1353" s="5" t="n">
        <v>91680.99000000001</v>
      </c>
      <c r="E1353" s="2" t="inlineStr">
        <is>
          <t>Andalucía</t>
        </is>
      </c>
      <c r="F1353" s="2" t="inlineStr">
        <is>
          <t>Granada</t>
        </is>
      </c>
      <c r="G1353" s="2" t="inlineStr">
        <is>
          <t>GOR</t>
        </is>
      </c>
      <c r="H1353" s="2" t="inlineStr">
        <is>
          <t>Presidencia de la Diputación Provincial de Granada</t>
        </is>
      </c>
      <c r="I1353" s="2" t="inlineStr">
        <is>
          <t>2026/4/PPOYS-78 "Gor, acondicionamiento de redes y pavimentación en Calle Iglesia y Molinos"</t>
        </is>
      </c>
      <c r="J1353" s="2" t="inlineStr">
        <is>
          <t>OB-054/26</t>
        </is>
      </c>
      <c r="K1353" s="2" t="inlineStr">
        <is>
          <t>Abierto simplificado</t>
        </is>
      </c>
      <c r="L1353" s="6" t="n">
        <v>3</v>
      </c>
      <c r="M1353" s="2" t="inlineStr">
        <is>
          <t>E7-1; G6-1</t>
        </is>
      </c>
      <c r="N1353" s="7" t="n">
        <v>0</v>
      </c>
      <c r="O1353" s="4" t="n"/>
      <c r="P1353" s="2" t="inlineStr">
        <is>
          <t>45231100; 45233252</t>
        </is>
      </c>
      <c r="Q1353" s="8" t="inlineStr">
        <is>
          <t>Ver</t>
        </is>
      </c>
      <c r="R1353" s="8" t="inlineStr">
        <is>
          <t>PCAP</t>
        </is>
      </c>
      <c r="S1353" s="9" t="n">
        <v>46314</v>
      </c>
      <c r="T1353" s="3" t="n">
        <v>46311.50803240741</v>
      </c>
      <c r="U1353" s="2" t="n"/>
    </row>
    <row r="1354">
      <c r="A1354" s="2" t="inlineStr">
        <is>
          <t>Adjudicada</t>
        </is>
      </c>
      <c r="B1354" s="3" t="n">
        <v>46274.58333333334</v>
      </c>
      <c r="C1354" s="5" t="n">
        <v>44855.65</v>
      </c>
      <c r="D1354" s="5" t="n">
        <v>44855.65</v>
      </c>
      <c r="E1354" s="2" t="inlineStr">
        <is>
          <t>Andalucía</t>
        </is>
      </c>
      <c r="F1354" s="2" t="inlineStr">
        <is>
          <t>Granada</t>
        </is>
      </c>
      <c r="G1354" s="2" t="inlineStr">
        <is>
          <t>Albolote (Granada)</t>
        </is>
      </c>
      <c r="H1354" s="2" t="inlineStr">
        <is>
          <t>Junta de Gobierno del Ayuntamiento de Albolote</t>
        </is>
      </c>
      <c r="I1354" s="2" t="inlineStr">
        <is>
          <t>Obras de reparación de daños producidos en el local municipal de ensayo de la banda de música de Albolote.</t>
        </is>
      </c>
      <c r="J1354" s="2" t="inlineStr">
        <is>
          <t>2551/2026</t>
        </is>
      </c>
      <c r="K1354" s="2" t="inlineStr">
        <is>
          <t>Abierto simplificado</t>
        </is>
      </c>
      <c r="L1354" s="6" t="n">
        <v>1</v>
      </c>
      <c r="M1354" s="2" t="inlineStr">
        <is>
          <t>C6-1</t>
        </is>
      </c>
      <c r="N1354" s="7" t="n">
        <v>0</v>
      </c>
      <c r="O1354" s="4" t="n"/>
      <c r="P1354" s="2" t="inlineStr">
        <is>
          <t>45000000; 45300000; 45323000; 45310000; 45321000; 45430000; 45111100; 45262670; 45330000; 45262650; 45320000</t>
        </is>
      </c>
      <c r="Q1354" s="8" t="inlineStr">
        <is>
          <t>Ver</t>
        </is>
      </c>
      <c r="R1354" s="8" t="inlineStr">
        <is>
          <t>PCAP</t>
        </is>
      </c>
      <c r="S1354" s="9" t="n">
        <v>46310</v>
      </c>
      <c r="T1354" s="3" t="n">
        <v>46311.50651620371</v>
      </c>
      <c r="U1354" s="2" t="inlineStr">
        <is>
          <t>2026-10-19: estado EV → ADJ</t>
        </is>
      </c>
    </row>
    <row r="1355">
      <c r="A1355" s="2" t="inlineStr">
        <is>
          <t>Resuelta</t>
        </is>
      </c>
      <c r="B1355" s="3" t="n">
        <v>46279.99930555555</v>
      </c>
      <c r="C1355" s="5" t="n">
        <v>73028.67</v>
      </c>
      <c r="D1355" s="5" t="n">
        <v>73028.67</v>
      </c>
      <c r="E1355" s="2" t="inlineStr">
        <is>
          <t>Andalucía</t>
        </is>
      </c>
      <c r="F1355" s="2" t="inlineStr">
        <is>
          <t>Granada</t>
        </is>
      </c>
      <c r="G1355" s="2" t="inlineStr">
        <is>
          <t>VALOR (MECINA-ALFAHAR)</t>
        </is>
      </c>
      <c r="H1355" s="2" t="inlineStr">
        <is>
          <t>Presidencia de la Diputación Provincial de Granada</t>
        </is>
      </c>
      <c r="I1355" s="2" t="inlineStr">
        <is>
          <t>2026/4/PPOYS-166/2 "Válor, mejora de redes en Mecina Alfahar: C/ Barrio Alto Mecina y C/ Pino"</t>
        </is>
      </c>
      <c r="J1355" s="2" t="inlineStr">
        <is>
          <t>OB-058/26</t>
        </is>
      </c>
      <c r="K1355" s="2" t="inlineStr">
        <is>
          <t>Abierto simplificado</t>
        </is>
      </c>
      <c r="L1355" s="6" t="n">
        <v>4</v>
      </c>
      <c r="M1355" s="2" t="inlineStr">
        <is>
          <t>G6-1; E7-1</t>
        </is>
      </c>
      <c r="N1355" s="7" t="n">
        <v>0</v>
      </c>
      <c r="O1355" s="4" t="n"/>
      <c r="P1355" s="2" t="inlineStr">
        <is>
          <t>45231100; 45233252</t>
        </is>
      </c>
      <c r="Q1355" s="8" t="inlineStr">
        <is>
          <t>Ver</t>
        </is>
      </c>
      <c r="R1355" s="8" t="inlineStr">
        <is>
          <t>PCAP</t>
        </is>
      </c>
      <c r="S1355" s="9" t="n">
        <v>46314</v>
      </c>
      <c r="T1355" s="3" t="n">
        <v>46311.50460648148</v>
      </c>
      <c r="U1355" s="2" t="n"/>
    </row>
    <row r="1356">
      <c r="A1356" s="2" t="inlineStr">
        <is>
          <t>Resuelta</t>
        </is>
      </c>
      <c r="B1356" s="3" t="n">
        <v>46279.99930555555</v>
      </c>
      <c r="C1356" s="5" t="n">
        <v>134085.26</v>
      </c>
      <c r="D1356" s="5" t="n">
        <v>134085.26</v>
      </c>
      <c r="E1356" s="2" t="inlineStr">
        <is>
          <t>Andalucía</t>
        </is>
      </c>
      <c r="F1356" s="2" t="inlineStr">
        <is>
          <t>Granada</t>
        </is>
      </c>
      <c r="G1356" s="2" t="inlineStr">
        <is>
          <t>PINOS PUENTE</t>
        </is>
      </c>
      <c r="H1356" s="2" t="inlineStr">
        <is>
          <t>Presidencia de la Diputación Provincial de Granada</t>
        </is>
      </c>
      <c r="I1356" s="2" t="inlineStr">
        <is>
          <t>2026/4/PPOYS-139/2 "Pinos Puente, reforma calle peatonal y colindantes en Barrio La Paz"</t>
        </is>
      </c>
      <c r="J1356" s="2" t="inlineStr">
        <is>
          <t>OB-059/26</t>
        </is>
      </c>
      <c r="K1356" s="2" t="inlineStr">
        <is>
          <t>Abierto simplificado</t>
        </is>
      </c>
      <c r="L1356" s="6" t="n">
        <v>6</v>
      </c>
      <c r="M1356" s="2" t="inlineStr">
        <is>
          <t>G6-1; E7-1</t>
        </is>
      </c>
      <c r="N1356" s="7" t="n">
        <v>0</v>
      </c>
      <c r="O1356" s="4" t="n"/>
      <c r="P1356" s="2" t="inlineStr">
        <is>
          <t>45231100; 45233252</t>
        </is>
      </c>
      <c r="Q1356" s="8" t="inlineStr">
        <is>
          <t>Ver</t>
        </is>
      </c>
      <c r="R1356" s="8" t="inlineStr">
        <is>
          <t>PCAP</t>
        </is>
      </c>
      <c r="S1356" s="9" t="n">
        <v>46314</v>
      </c>
      <c r="T1356" s="3" t="n">
        <v>46311.5015625</v>
      </c>
      <c r="U1356" s="2" t="n"/>
    </row>
    <row r="1357">
      <c r="A1357" s="2" t="inlineStr">
        <is>
          <t>Resuelta</t>
        </is>
      </c>
      <c r="B1357" s="3" t="n">
        <v>46279.99930555555</v>
      </c>
      <c r="C1357" s="5" t="n">
        <v>107538.84</v>
      </c>
      <c r="D1357" s="5" t="n">
        <v>107538.84</v>
      </c>
      <c r="E1357" s="2" t="inlineStr">
        <is>
          <t>Andalucía</t>
        </is>
      </c>
      <c r="F1357" s="2" t="inlineStr">
        <is>
          <t>Granada</t>
        </is>
      </c>
      <c r="G1357" s="2" t="inlineStr">
        <is>
          <t>CORTES Y GRAENA</t>
        </is>
      </c>
      <c r="H1357" s="2" t="inlineStr">
        <is>
          <t>Presidencia de la Diputación Provincial de Granada</t>
        </is>
      </c>
      <c r="I1357" s="2" t="inlineStr">
        <is>
          <t>2026/4/PPOYS-54/1 "Cortes y Graena, acondicionamiento de redes y pavimentación en C/ Mezquita (Cortes)"</t>
        </is>
      </c>
      <c r="J1357" s="2" t="inlineStr">
        <is>
          <t>OB-062/26</t>
        </is>
      </c>
      <c r="K1357" s="2" t="inlineStr">
        <is>
          <t>Abierto simplificado</t>
        </is>
      </c>
      <c r="L1357" s="6" t="n">
        <v>5</v>
      </c>
      <c r="M1357" s="2" t="inlineStr">
        <is>
          <t>G6-1</t>
        </is>
      </c>
      <c r="N1357" s="7" t="n">
        <v>0</v>
      </c>
      <c r="O1357" s="4" t="n"/>
      <c r="P1357" s="2" t="inlineStr">
        <is>
          <t>45231100; 45233252</t>
        </is>
      </c>
      <c r="Q1357" s="8" t="inlineStr">
        <is>
          <t>Ver</t>
        </is>
      </c>
      <c r="R1357" s="8" t="inlineStr">
        <is>
          <t>PCAP</t>
        </is>
      </c>
      <c r="S1357" s="9" t="n">
        <v>46314</v>
      </c>
      <c r="T1357" s="3" t="n">
        <v>46311.49833333334</v>
      </c>
      <c r="U1357" s="2" t="n"/>
    </row>
    <row r="1358">
      <c r="A1358" s="2" t="inlineStr">
        <is>
          <t>Resuelta</t>
        </is>
      </c>
      <c r="B1358" s="3" t="n">
        <v>46279.99930555555</v>
      </c>
      <c r="C1358" s="5" t="n">
        <v>50609.3</v>
      </c>
      <c r="D1358" s="5" t="n">
        <v>50609.3</v>
      </c>
      <c r="E1358" s="2" t="inlineStr">
        <is>
          <t>Andalucía</t>
        </is>
      </c>
      <c r="F1358" s="2" t="inlineStr">
        <is>
          <t>Granada</t>
        </is>
      </c>
      <c r="G1358" s="2" t="inlineStr">
        <is>
          <t>EL PINAR</t>
        </is>
      </c>
      <c r="H1358" s="2" t="inlineStr">
        <is>
          <t>Presidencia de la Diputación Provincial de Granada</t>
        </is>
      </c>
      <c r="I1358" s="2" t="inlineStr">
        <is>
          <t>2026/4/PPOYS-137/1 "El Pinar, acondicionamiento de redes y pavimentación de Calle Hostal (Tramo II)"</t>
        </is>
      </c>
      <c r="J1358" s="2" t="inlineStr">
        <is>
          <t>OB-040/26</t>
        </is>
      </c>
      <c r="K1358" s="2" t="inlineStr">
        <is>
          <t>Abierto simplificado</t>
        </is>
      </c>
      <c r="L1358" s="6" t="n">
        <v>5</v>
      </c>
      <c r="M1358" s="2" t="inlineStr">
        <is>
          <t>E7-1; G6-1</t>
        </is>
      </c>
      <c r="N1358" s="7" t="n">
        <v>0</v>
      </c>
      <c r="O1358" s="4" t="n"/>
      <c r="P1358" s="2" t="inlineStr">
        <is>
          <t>45231100; 45233252</t>
        </is>
      </c>
      <c r="Q1358" s="8" t="inlineStr">
        <is>
          <t>Ver</t>
        </is>
      </c>
      <c r="R1358" s="8" t="inlineStr">
        <is>
          <t>PCAP</t>
        </is>
      </c>
      <c r="S1358" s="9" t="n">
        <v>46314</v>
      </c>
      <c r="T1358" s="3" t="n">
        <v>46311.49561342593</v>
      </c>
      <c r="U1358" s="2" t="n"/>
    </row>
    <row r="1359">
      <c r="A1359" s="2" t="inlineStr">
        <is>
          <t>Adjudicada</t>
        </is>
      </c>
      <c r="B1359" s="3" t="n">
        <v>46240.99930555555</v>
      </c>
      <c r="C1359" s="5" t="n">
        <v>107687.07</v>
      </c>
      <c r="D1359" s="5" t="n">
        <v>129224.48</v>
      </c>
      <c r="E1359" s="2" t="inlineStr">
        <is>
          <t>Comunitat Valenciana</t>
        </is>
      </c>
      <c r="F1359" s="2" t="inlineStr">
        <is>
          <t>Valencia</t>
        </is>
      </c>
      <c r="G1359" s="2" t="inlineStr">
        <is>
          <t>Godelleta</t>
        </is>
      </c>
      <c r="H1359" s="2" t="inlineStr">
        <is>
          <t>Dirección Territorial de Educación, Investigación, Cultura y Deporte - Valencia</t>
        </is>
      </c>
      <c r="I1359" s="2" t="inlineStr">
        <is>
          <t>Adecuación de seguridad muro de contención en patio edificio escuela infantil en el CEIP Enrique Tierno Galván de Godelleta</t>
        </is>
      </c>
      <c r="J1359" s="2" t="inlineStr">
        <is>
          <t>CMAYOR/2026/39Y16/0074</t>
        </is>
      </c>
      <c r="K1359" s="2" t="inlineStr">
        <is>
          <t>Abierto simplificado</t>
        </is>
      </c>
      <c r="L1359" s="6" t="n">
        <v>3</v>
      </c>
      <c r="M1359" s="2" t="n"/>
      <c r="N1359" s="7" t="n">
        <v>0</v>
      </c>
      <c r="O1359" s="4" t="n"/>
      <c r="P1359" s="2" t="inlineStr">
        <is>
          <t>45214210</t>
        </is>
      </c>
      <c r="Q1359" s="8" t="inlineStr">
        <is>
          <t>Ver</t>
        </is>
      </c>
      <c r="R1359" s="8" t="inlineStr">
        <is>
          <t>PCAP</t>
        </is>
      </c>
      <c r="S1359" s="9" t="n">
        <v>46314</v>
      </c>
      <c r="T1359" s="3" t="n">
        <v>46311.49393518519</v>
      </c>
      <c r="U1359" s="2" t="n"/>
    </row>
    <row r="1360">
      <c r="A1360" s="2" t="inlineStr">
        <is>
          <t>Pendiente de adjudicación</t>
        </is>
      </c>
      <c r="B1360" s="3" t="n">
        <v>46307.99930555555</v>
      </c>
      <c r="C1360" s="5" t="n">
        <v>170658.91</v>
      </c>
      <c r="D1360" s="5" t="n">
        <v>170658.91</v>
      </c>
      <c r="E1360" s="2" t="inlineStr">
        <is>
          <t>Andalucía</t>
        </is>
      </c>
      <c r="F1360" s="2" t="inlineStr">
        <is>
          <t>Málaga</t>
        </is>
      </c>
      <c r="G1360" s="2" t="inlineStr">
        <is>
          <t>Cuevas del Becerro</t>
        </is>
      </c>
      <c r="H1360" s="2" t="inlineStr">
        <is>
          <t>Alcaldía del Ayuntamiento de Cuevas del Becerro</t>
        </is>
      </c>
      <c r="I1360" s="2" t="inlineStr">
        <is>
          <t>Construcción "Camino peatonal al polígono industrial de Cuevas del Becerro"</t>
        </is>
      </c>
      <c r="J1360" s="2" t="inlineStr">
        <is>
          <t>168/2024</t>
        </is>
      </c>
      <c r="K1360" s="2" t="inlineStr">
        <is>
          <t>Abierto simplificado</t>
        </is>
      </c>
      <c r="L1360" s="6" t="n">
        <v>4</v>
      </c>
      <c r="M1360" s="2" t="n"/>
      <c r="N1360" s="7" t="n">
        <v>0.1</v>
      </c>
      <c r="O1360" s="4" t="n"/>
      <c r="P1360" s="2" t="inlineStr">
        <is>
          <t>45233140; 45233222; 45233260</t>
        </is>
      </c>
      <c r="Q1360" s="8" t="inlineStr">
        <is>
          <t>Ver</t>
        </is>
      </c>
      <c r="R1360" s="8" t="inlineStr">
        <is>
          <t>PCAP</t>
        </is>
      </c>
      <c r="S1360" s="9" t="n">
        <v>46314</v>
      </c>
      <c r="T1360" s="3" t="n">
        <v>46311.49105324074</v>
      </c>
      <c r="U1360" s="2" t="n"/>
    </row>
    <row r="1361">
      <c r="A1361" s="2" t="inlineStr">
        <is>
          <t>Adjudicada</t>
        </is>
      </c>
      <c r="B1361" s="3" t="n">
        <v>46287.99930555555</v>
      </c>
      <c r="C1361" s="5" t="n">
        <v>133280</v>
      </c>
      <c r="D1361" s="5" t="n">
        <v>133280</v>
      </c>
      <c r="E1361" s="2" t="inlineStr">
        <is>
          <t>Comunitat Valenciana</t>
        </is>
      </c>
      <c r="F1361" s="2" t="inlineStr">
        <is>
          <t>Valencia</t>
        </is>
      </c>
      <c r="G1361" s="2" t="n"/>
      <c r="H1361" s="2" t="inlineStr">
        <is>
          <t>Alcaldía del Ayuntamiento de Marines</t>
        </is>
      </c>
      <c r="I1361" s="2" t="inlineStr">
        <is>
          <t>"Renovación zona de juegos del Parque del Real de Marines (Valencia)"</t>
        </is>
      </c>
      <c r="J1361" s="2" t="inlineStr">
        <is>
          <t>532/2026</t>
        </is>
      </c>
      <c r="K1361" s="2" t="inlineStr">
        <is>
          <t>Negociado sin publicidad</t>
        </is>
      </c>
      <c r="L1361" s="6" t="n">
        <v>3</v>
      </c>
      <c r="M1361" s="2" t="n"/>
      <c r="N1361" s="7" t="n">
        <v>0</v>
      </c>
      <c r="O1361" s="4" t="n"/>
      <c r="P1361" s="2" t="inlineStr">
        <is>
          <t>45112711; 45233200; 45112723</t>
        </is>
      </c>
      <c r="Q1361" s="8" t="inlineStr">
        <is>
          <t>Ver</t>
        </is>
      </c>
      <c r="R1361" s="8" t="inlineStr">
        <is>
          <t>PCAP</t>
        </is>
      </c>
      <c r="S1361" s="9" t="n">
        <v>46314</v>
      </c>
      <c r="T1361" s="3" t="n">
        <v>46311.49082175926</v>
      </c>
      <c r="U1361" s="2" t="n"/>
    </row>
    <row r="1362">
      <c r="A1362" s="2" t="inlineStr">
        <is>
          <t>En plazo</t>
        </is>
      </c>
      <c r="B1362" s="3" t="n">
        <v>46329.99930555555</v>
      </c>
      <c r="C1362" s="5" t="n">
        <v>54503.79</v>
      </c>
      <c r="D1362" s="5" t="n">
        <v>54503.79</v>
      </c>
      <c r="E1362" s="2" t="inlineStr">
        <is>
          <t>Andalucía</t>
        </is>
      </c>
      <c r="F1362" s="2" t="inlineStr">
        <is>
          <t>Córdoba</t>
        </is>
      </c>
      <c r="G1362" s="2" t="inlineStr">
        <is>
          <t>VILLA DEL RIO</t>
        </is>
      </c>
      <c r="H1362" s="2" t="inlineStr">
        <is>
          <t>Alcaldía del Ayuntamiento de Villa del Río</t>
        </is>
      </c>
      <c r="I1362" s="2" t="inlineStr">
        <is>
          <t>Contratación de la obra de impermeabilización de la cubierta del antiguo castillo Ayuntamiento.</t>
        </is>
      </c>
      <c r="J1362" s="2" t="inlineStr">
        <is>
          <t>8168/2026</t>
        </is>
      </c>
      <c r="K1362" s="2" t="inlineStr">
        <is>
          <t>Abierto simplificado</t>
        </is>
      </c>
      <c r="L1362" s="6" t="n">
        <v>3</v>
      </c>
      <c r="M1362" s="2" t="n"/>
      <c r="N1362" s="7" t="n">
        <v>0</v>
      </c>
      <c r="O1362" s="4" t="n"/>
      <c r="P1362" s="2" t="inlineStr">
        <is>
          <t>45261420</t>
        </is>
      </c>
      <c r="Q1362" s="8" t="inlineStr">
        <is>
          <t>Ver</t>
        </is>
      </c>
      <c r="R1362" s="8" t="inlineStr">
        <is>
          <t>PCAP</t>
        </is>
      </c>
      <c r="S1362" s="9" t="n">
        <v>46314</v>
      </c>
      <c r="T1362" s="3" t="n">
        <v>46311.49026620371</v>
      </c>
      <c r="U1362" s="2" t="n"/>
    </row>
    <row r="1363">
      <c r="A1363" s="2" t="inlineStr">
        <is>
          <t>Pendiente de adjudicación</t>
        </is>
      </c>
      <c r="B1363" s="3" t="n">
        <v>46310.79166666666</v>
      </c>
      <c r="C1363" s="5" t="n">
        <v>24504.91</v>
      </c>
      <c r="D1363" s="5" t="n">
        <v>24504.91</v>
      </c>
      <c r="E1363" s="2" t="inlineStr">
        <is>
          <t>Andalucía</t>
        </is>
      </c>
      <c r="F1363" s="2" t="inlineStr">
        <is>
          <t>Huelva</t>
        </is>
      </c>
      <c r="G1363" s="2" t="inlineStr">
        <is>
          <t>Zalamea la Real</t>
        </is>
      </c>
      <c r="H1363" s="2" t="inlineStr">
        <is>
          <t>Junta de Gobierno Local del Ayuntamiento de Zalamea la Real</t>
        </is>
      </c>
      <c r="I1363" s="2" t="inlineStr">
        <is>
          <t>El contrato tiene por objeto el arrendamiento maquinaria con operario y la adquisición de los materiales de construcción necesarios para la ejecución de las obras previstas en el PROYECTO DE ADECUACIÓN DE PLAZA JARDIN LA FUENTE EN CALLE JUAN DÍAZ, vinculado al Programa de Fomento del Empleo Agrario PFEA 2026.</t>
        </is>
      </c>
      <c r="J1363" s="2" t="inlineStr">
        <is>
          <t>Expediente 687/2026</t>
        </is>
      </c>
      <c r="K1363" s="2" t="inlineStr">
        <is>
          <t>Abierto simplificado</t>
        </is>
      </c>
      <c r="L1363" s="6" t="n">
        <v>14</v>
      </c>
      <c r="M1363" s="2" t="n"/>
      <c r="N1363" s="7" t="n">
        <v>0</v>
      </c>
      <c r="O1363" s="4" t="n">
        <v>3</v>
      </c>
      <c r="P1363" s="2" t="inlineStr">
        <is>
          <t>45500000; 18100000; 44190000</t>
        </is>
      </c>
      <c r="Q1363" s="8" t="inlineStr">
        <is>
          <t>Ver</t>
        </is>
      </c>
      <c r="R1363" s="8" t="inlineStr">
        <is>
          <t>PCAP</t>
        </is>
      </c>
      <c r="S1363" s="9" t="n">
        <v>46314</v>
      </c>
      <c r="T1363" s="3" t="n">
        <v>46311.49025462963</v>
      </c>
      <c r="U1363" s="2" t="n"/>
    </row>
    <row r="1364">
      <c r="A1364" s="2" t="inlineStr">
        <is>
          <t>Pendiente de adjudicación</t>
        </is>
      </c>
      <c r="B1364" s="3" t="n">
        <v>46287.58333333334</v>
      </c>
      <c r="C1364" s="5" t="n">
        <v>113068.8</v>
      </c>
      <c r="D1364" s="5" t="n">
        <v>113068.8</v>
      </c>
      <c r="E1364" s="2" t="inlineStr">
        <is>
          <t>Andalucía</t>
        </is>
      </c>
      <c r="F1364" s="2" t="inlineStr">
        <is>
          <t>Cádiz</t>
        </is>
      </c>
      <c r="G1364" s="2" t="n"/>
      <c r="H1364" s="2" t="inlineStr">
        <is>
          <t>Presidencia de la Autoridad Portuaria de la Bahía de Algeciras</t>
        </is>
      </c>
      <c r="I1364" s="2" t="inlineStr">
        <is>
          <t>Proyecto de ejecución de acerado perimetral en la concesión de Dragados OFFshore en las instalaciones portuarias de Campamento, San Roque</t>
        </is>
      </c>
      <c r="J1364" s="2" t="inlineStr">
        <is>
          <t>2026-072</t>
        </is>
      </c>
      <c r="K1364" s="2" t="inlineStr">
        <is>
          <t>Abierto simplificado</t>
        </is>
      </c>
      <c r="L1364" s="6" t="n">
        <v>1.9</v>
      </c>
      <c r="M1364" s="2" t="inlineStr">
        <is>
          <t>G6-1</t>
        </is>
      </c>
      <c r="N1364" s="7" t="n">
        <v>0</v>
      </c>
      <c r="O1364" s="4" t="n"/>
      <c r="P1364" s="2" t="inlineStr">
        <is>
          <t>45233222</t>
        </is>
      </c>
      <c r="Q1364" s="8" t="inlineStr">
        <is>
          <t>Ver</t>
        </is>
      </c>
      <c r="R1364" s="8" t="inlineStr">
        <is>
          <t>PCAP</t>
        </is>
      </c>
      <c r="S1364" s="9" t="n">
        <v>46314</v>
      </c>
      <c r="T1364" s="3" t="n">
        <v>46311.48960648148</v>
      </c>
      <c r="U1364" s="2" t="n"/>
    </row>
    <row r="1365">
      <c r="A1365" s="2" t="inlineStr">
        <is>
          <t>En plazo</t>
        </is>
      </c>
      <c r="B1365" s="3" t="n">
        <v>46342.99930555555</v>
      </c>
      <c r="C1365" s="5" t="n">
        <v>159779.73</v>
      </c>
      <c r="D1365" s="5" t="n">
        <v>193333.47</v>
      </c>
      <c r="E1365" s="2" t="inlineStr">
        <is>
          <t>Andalucía</t>
        </is>
      </c>
      <c r="F1365" s="2" t="inlineStr">
        <is>
          <t>Cádiz</t>
        </is>
      </c>
      <c r="G1365" s="2" t="n"/>
      <c r="H1365" s="2" t="inlineStr">
        <is>
          <t>Junta Vecinal de la Entidad Local Autónoma El Torno</t>
        </is>
      </c>
      <c r="I1365" s="2" t="inlineStr">
        <is>
          <t>Ejecución de la obra "Nave Almacen Municipal Multiusos" de la E.L.A. El Torno, financiada con las subvenciones de la Excma. Diputación de Cádiz (PPCOS 2026-2027 y Plan + Inversión Cádiz 2026)</t>
        </is>
      </c>
      <c r="J1365" s="2" t="inlineStr">
        <is>
          <t>NAVE ALMACEN MUNICIPAL MULTIUSOS</t>
        </is>
      </c>
      <c r="K1365" s="2" t="inlineStr">
        <is>
          <t>Abierto simplificado</t>
        </is>
      </c>
      <c r="L1365" s="6" t="n">
        <v>6</v>
      </c>
      <c r="M1365" s="2" t="n"/>
      <c r="N1365" s="7" t="n">
        <v>0</v>
      </c>
      <c r="O1365" s="4" t="n"/>
      <c r="P1365" s="2" t="inlineStr">
        <is>
          <t>45000000; 45213200; 45213221</t>
        </is>
      </c>
      <c r="Q1365" s="8" t="inlineStr">
        <is>
          <t>Ver</t>
        </is>
      </c>
      <c r="R1365" s="8" t="inlineStr">
        <is>
          <t>PCAP</t>
        </is>
      </c>
      <c r="S1365" s="9" t="n">
        <v>46314</v>
      </c>
      <c r="T1365" s="3" t="n">
        <v>46311.48920138889</v>
      </c>
      <c r="U1365" s="2" t="n"/>
    </row>
    <row r="1366">
      <c r="A1366" s="2" t="inlineStr">
        <is>
          <t>En plazo</t>
        </is>
      </c>
      <c r="B1366" s="3" t="n">
        <v>46332.41666666666</v>
      </c>
      <c r="C1366" s="5" t="n">
        <v>178109.42</v>
      </c>
      <c r="D1366" s="5" t="n">
        <v>178109.42</v>
      </c>
      <c r="E1366" s="2" t="inlineStr">
        <is>
          <t>Andalucía</t>
        </is>
      </c>
      <c r="F1366" s="2" t="inlineStr">
        <is>
          <t>Granada</t>
        </is>
      </c>
      <c r="G1366" s="2" t="n"/>
      <c r="H1366" s="2" t="inlineStr">
        <is>
          <t>Empresa de Transformación Agraria S.A.,S.M.E., M.P., (TRAGSA)</t>
        </is>
      </c>
      <c r="I1366" s="2" t="inlineStr">
        <is>
          <t>Suministro e instalación eléctrica de baja tensión, automatización y telecontrol para la obra de Bombeo para el Suministro de Agua al Municipio de Otura (Granada), cofinanciado con fondos FEDER</t>
        </is>
      </c>
      <c r="J1366" s="2" t="inlineStr">
        <is>
          <t>TSA0084091</t>
        </is>
      </c>
      <c r="K1366" s="2" t="inlineStr">
        <is>
          <t>Abierto simplificado</t>
        </is>
      </c>
      <c r="L1366" s="6" t="n">
        <v>3</v>
      </c>
      <c r="M1366" s="2" t="inlineStr">
        <is>
          <t>I6-2</t>
        </is>
      </c>
      <c r="N1366" s="7" t="n">
        <v>0</v>
      </c>
      <c r="O1366" s="4" t="n"/>
      <c r="P1366" s="2" t="inlineStr">
        <is>
          <t>45310000</t>
        </is>
      </c>
      <c r="Q1366" s="8" t="inlineStr">
        <is>
          <t>Ver</t>
        </is>
      </c>
      <c r="R1366" s="8" t="inlineStr">
        <is>
          <t>PCAP</t>
        </is>
      </c>
      <c r="S1366" s="9" t="n">
        <v>46314</v>
      </c>
      <c r="T1366" s="3" t="n">
        <v>46311.48908564815</v>
      </c>
      <c r="U1366" s="2" t="n"/>
    </row>
    <row r="1367">
      <c r="A1367" s="2" t="inlineStr">
        <is>
          <t>Pendiente de adjudicación</t>
        </is>
      </c>
      <c r="B1367" s="3" t="n">
        <v>46294.99930555555</v>
      </c>
      <c r="C1367" s="5" t="n">
        <v>109186994.13</v>
      </c>
      <c r="D1367" s="5" t="n">
        <v>109186994.13</v>
      </c>
      <c r="E1367" s="2" t="inlineStr">
        <is>
          <t>Comunitat Valenciana</t>
        </is>
      </c>
      <c r="F1367" s="2" t="inlineStr">
        <is>
          <t>Valencia</t>
        </is>
      </c>
      <c r="G1367" s="2" t="n"/>
      <c r="H1367" s="2" t="inlineStr">
        <is>
          <t>Dirección General del Agua</t>
        </is>
      </c>
      <c r="I1367" s="2" t="inlineStr">
        <is>
          <t>Contratación de servicios para protección frente a inundaciones en el Barranco de la Saleta. Tramo 2, Aldaia Vía Verde, Valencia.</t>
        </is>
      </c>
      <c r="J1367" s="2" t="inlineStr">
        <is>
          <t>08.413-0173/2112</t>
        </is>
      </c>
      <c r="K1367" s="2" t="inlineStr">
        <is>
          <t>Abierto</t>
        </is>
      </c>
      <c r="L1367" s="6" t="n">
        <v>42</v>
      </c>
      <c r="M1367" s="2" t="inlineStr">
        <is>
          <t>E5-6</t>
        </is>
      </c>
      <c r="N1367" s="7" t="n">
        <v>0.48</v>
      </c>
      <c r="O1367" s="4" t="n"/>
      <c r="P1367" s="2" t="inlineStr">
        <is>
          <t>45246400</t>
        </is>
      </c>
      <c r="Q1367" s="8" t="inlineStr">
        <is>
          <t>Ver</t>
        </is>
      </c>
      <c r="R1367" s="8" t="inlineStr">
        <is>
          <t>PCAP</t>
        </is>
      </c>
      <c r="S1367" s="9" t="n">
        <v>46310</v>
      </c>
      <c r="T1367" s="3" t="n">
        <v>46311.48712962963</v>
      </c>
      <c r="U1367" s="2" t="n"/>
    </row>
    <row r="1368">
      <c r="A1368" s="2" t="inlineStr">
        <is>
          <t>Plazo vencido</t>
        </is>
      </c>
      <c r="B1368" s="3" t="n">
        <v>46321.79166666666</v>
      </c>
      <c r="C1368" s="5" t="n">
        <v>120107.06</v>
      </c>
      <c r="D1368" s="5" t="n">
        <v>120107.06</v>
      </c>
      <c r="E1368" s="2" t="inlineStr">
        <is>
          <t>Comunitat Valenciana</t>
        </is>
      </c>
      <c r="F1368" s="2" t="n"/>
      <c r="G1368" s="2" t="inlineStr">
        <is>
          <t>Valencia</t>
        </is>
      </c>
      <c r="H1368" s="2" t="inlineStr">
        <is>
          <t>Jefatura de Asuntos Económicos del Cuartel General Terrestre Alta Disponibilidad</t>
        </is>
      </c>
      <c r="I1368" s="2" t="inlineStr">
        <is>
          <t>Cambio de ascensor en los pabellones del ESD</t>
        </is>
      </c>
      <c r="J1368" s="2" t="inlineStr">
        <is>
          <t>2026/ETSAE0304/00000886E</t>
        </is>
      </c>
      <c r="K1368" s="2" t="inlineStr">
        <is>
          <t>Abierto simplificado</t>
        </is>
      </c>
      <c r="L1368" s="6" t="n">
        <v>8</v>
      </c>
      <c r="M1368" s="2" t="n"/>
      <c r="N1368" s="7" t="n">
        <v>0</v>
      </c>
      <c r="O1368" s="4" t="n"/>
      <c r="P1368" s="2" t="inlineStr">
        <is>
          <t>45313000</t>
        </is>
      </c>
      <c r="Q1368" s="8" t="inlineStr">
        <is>
          <t>Ver</t>
        </is>
      </c>
      <c r="R1368" s="8" t="inlineStr">
        <is>
          <t>PCAP</t>
        </is>
      </c>
      <c r="S1368" s="9" t="n">
        <v>46310</v>
      </c>
      <c r="T1368" s="3" t="n">
        <v>46311.48329861111</v>
      </c>
      <c r="U1368" s="2" t="n"/>
    </row>
    <row r="1369">
      <c r="A1369" s="2" t="inlineStr">
        <is>
          <t>En plazo</t>
        </is>
      </c>
      <c r="B1369" s="3" t="n">
        <v>46332.45833333334</v>
      </c>
      <c r="C1369" s="5" t="n">
        <v>200626.67</v>
      </c>
      <c r="D1369" s="5" t="n">
        <v>200626.67</v>
      </c>
      <c r="E1369" s="2" t="inlineStr">
        <is>
          <t>Andalucía</t>
        </is>
      </c>
      <c r="F1369" s="2" t="inlineStr">
        <is>
          <t>Granada</t>
        </is>
      </c>
      <c r="G1369" s="2" t="n"/>
      <c r="H1369" s="2" t="inlineStr">
        <is>
          <t>Alcaldía del Ayuntamiento de Almuñécar</t>
        </is>
      </c>
      <c r="I1369" s="2" t="inlineStr">
        <is>
          <t>Obras de ejecución del tramo de alumbrado público en la carretera de Torrecuevas (A-4050), en Almuñécar.</t>
        </is>
      </c>
      <c r="J1369" s="2" t="inlineStr">
        <is>
          <t>136/2026 (Gest 11203/2026)</t>
        </is>
      </c>
      <c r="K1369" s="2" t="inlineStr">
        <is>
          <t>Abierto simplificado</t>
        </is>
      </c>
      <c r="L1369" s="6" t="n">
        <v>2.5</v>
      </c>
      <c r="M1369" s="2" t="n"/>
      <c r="N1369" s="7" t="n">
        <v>0</v>
      </c>
      <c r="O1369" s="4" t="n"/>
      <c r="P1369" s="2" t="inlineStr">
        <is>
          <t>45316000; 45262210; 34993000</t>
        </is>
      </c>
      <c r="Q1369" s="8" t="inlineStr">
        <is>
          <t>Ver</t>
        </is>
      </c>
      <c r="R1369" s="8" t="inlineStr">
        <is>
          <t>PCAP</t>
        </is>
      </c>
      <c r="S1369" s="9" t="n">
        <v>46314</v>
      </c>
      <c r="T1369" s="3" t="n">
        <v>46311.48283564814</v>
      </c>
      <c r="U1369" s="2" t="n"/>
    </row>
    <row r="1370">
      <c r="A1370" s="2" t="inlineStr">
        <is>
          <t>En plazo</t>
        </is>
      </c>
      <c r="B1370" s="3" t="n">
        <v>46337.58333333334</v>
      </c>
      <c r="C1370" s="5" t="n">
        <v>3019728.74</v>
      </c>
      <c r="D1370" s="5" t="n">
        <v>3019728.74</v>
      </c>
      <c r="E1370" s="2" t="inlineStr">
        <is>
          <t>Andalucía</t>
        </is>
      </c>
      <c r="F1370" s="2" t="inlineStr">
        <is>
          <t>Cádiz</t>
        </is>
      </c>
      <c r="G1370" s="2" t="n"/>
      <c r="H1370" s="2" t="inlineStr">
        <is>
          <t>Alcaldía del Ayuntamiento de la Línea de la Concepción</t>
        </is>
      </c>
      <c r="I1370" s="2" t="inlineStr">
        <is>
          <t>Obra viales en diferentes calles de La Línea de la Concepción (Cádiz)</t>
        </is>
      </c>
      <c r="J1370" s="2" t="inlineStr">
        <is>
          <t>93/26</t>
        </is>
      </c>
      <c r="K1370" s="2" t="inlineStr">
        <is>
          <t>Abierto</t>
        </is>
      </c>
      <c r="L1370" s="6" t="n">
        <v>12</v>
      </c>
      <c r="M1370" s="2" t="inlineStr">
        <is>
          <t>E1-4</t>
        </is>
      </c>
      <c r="N1370" s="7" t="n">
        <v>0.25</v>
      </c>
      <c r="O1370" s="4" t="n"/>
      <c r="P1370" s="2" t="inlineStr">
        <is>
          <t>45233222; 45000000; 45230000; 45232000; 45233220; 45200000; 45233000; 45233200</t>
        </is>
      </c>
      <c r="Q1370" s="8" t="inlineStr">
        <is>
          <t>Ver</t>
        </is>
      </c>
      <c r="R1370" s="8" t="inlineStr">
        <is>
          <t>PCAP</t>
        </is>
      </c>
      <c r="S1370" s="9" t="n">
        <v>46314</v>
      </c>
      <c r="T1370" s="3" t="n">
        <v>46311.4809375</v>
      </c>
      <c r="U1370" s="2" t="n"/>
    </row>
    <row r="1371">
      <c r="A1371" s="2" t="inlineStr">
        <is>
          <t>En plazo</t>
        </is>
      </c>
      <c r="B1371" s="3" t="n">
        <v>46337.58333333334</v>
      </c>
      <c r="C1371" s="5" t="n">
        <v>77704.25</v>
      </c>
      <c r="D1371" s="5" t="n">
        <v>93245.10000000001</v>
      </c>
      <c r="E1371" s="2" t="inlineStr">
        <is>
          <t>Comunitat Valenciana</t>
        </is>
      </c>
      <c r="F1371" s="2" t="inlineStr">
        <is>
          <t>Valencia</t>
        </is>
      </c>
      <c r="G1371" s="2" t="n"/>
      <c r="H1371" s="2" t="inlineStr">
        <is>
          <t>Junta de Gobierno del Ayuntamiento de Paterna</t>
        </is>
      </c>
      <c r="I1371" s="2" t="inlineStr">
        <is>
          <t>Obra de rehabilitación de la cueva número 98 de Paterna.</t>
        </is>
      </c>
      <c r="J1371" s="2" t="inlineStr">
        <is>
          <t>172/2026/150</t>
        </is>
      </c>
      <c r="K1371" s="2" t="inlineStr">
        <is>
          <t>Abierto</t>
        </is>
      </c>
      <c r="L1371" s="6" t="n">
        <v>6</v>
      </c>
      <c r="M1371" s="2" t="inlineStr">
        <is>
          <t>K7-1</t>
        </is>
      </c>
      <c r="N1371" s="7" t="n">
        <v>0</v>
      </c>
      <c r="O1371" s="4" t="n"/>
      <c r="P1371" s="2" t="inlineStr">
        <is>
          <t>45212350</t>
        </is>
      </c>
      <c r="Q1371" s="8" t="inlineStr">
        <is>
          <t>Ver</t>
        </is>
      </c>
      <c r="R1371" s="8" t="inlineStr">
        <is>
          <t>PCAP</t>
        </is>
      </c>
      <c r="S1371" s="9" t="n">
        <v>46314</v>
      </c>
      <c r="T1371" s="3" t="n">
        <v>46311.48041666667</v>
      </c>
      <c r="U1371" s="2" t="n"/>
    </row>
    <row r="1372">
      <c r="A1372" s="2" t="inlineStr">
        <is>
          <t>Pendiente de adjudicación</t>
        </is>
      </c>
      <c r="B1372" s="3" t="n">
        <v>46301.99930555555</v>
      </c>
      <c r="C1372" s="5" t="n">
        <v>44811.5</v>
      </c>
      <c r="D1372" s="5" t="n">
        <v>44811.5</v>
      </c>
      <c r="E1372" s="2" t="inlineStr">
        <is>
          <t>Andalucía</t>
        </is>
      </c>
      <c r="F1372" s="2" t="inlineStr">
        <is>
          <t>Huelva</t>
        </is>
      </c>
      <c r="G1372" s="2" t="inlineStr">
        <is>
          <t>Cabezas Rubias</t>
        </is>
      </c>
      <c r="H1372" s="2" t="inlineStr">
        <is>
          <t>Alcaldía del Ayuntamiento de Cabezas Rubias</t>
        </is>
      </c>
      <c r="I1372" s="2" t="inlineStr">
        <is>
          <t>Contrato de Obras para La Intervención en los Espacios Libres de la Casa del Médico</t>
        </is>
      </c>
      <c r="J1372" s="2" t="inlineStr">
        <is>
          <t>2026/CON_02/000009 - 52/2026</t>
        </is>
      </c>
      <c r="K1372" s="2" t="inlineStr">
        <is>
          <t>Abierto simplificado</t>
        </is>
      </c>
      <c r="L1372" s="6" t="n">
        <v>5</v>
      </c>
      <c r="M1372" s="2" t="n"/>
      <c r="N1372" s="7" t="n">
        <v>0</v>
      </c>
      <c r="O1372" s="4" t="n"/>
      <c r="P1372" s="2" t="inlineStr">
        <is>
          <t>45112710</t>
        </is>
      </c>
      <c r="Q1372" s="8" t="inlineStr">
        <is>
          <t>Ver</t>
        </is>
      </c>
      <c r="R1372" s="8" t="inlineStr">
        <is>
          <t>PCAP</t>
        </is>
      </c>
      <c r="S1372" s="9" t="n">
        <v>46314</v>
      </c>
      <c r="T1372" s="3" t="n">
        <v>46311.47907407407</v>
      </c>
      <c r="U1372" s="2" t="n"/>
    </row>
    <row r="1373">
      <c r="A1373" s="2" t="inlineStr">
        <is>
          <t>Resuelta</t>
        </is>
      </c>
      <c r="B1373" s="3" t="n">
        <v>45587.54166666666</v>
      </c>
      <c r="C1373" s="5" t="n">
        <v>7811407.3</v>
      </c>
      <c r="D1373" s="5" t="n">
        <v>7811407.3</v>
      </c>
      <c r="E1373" s="2" t="inlineStr">
        <is>
          <t>Comunitat Valenciana</t>
        </is>
      </c>
      <c r="F1373" s="2" t="n"/>
      <c r="G1373" s="2" t="n"/>
      <c r="H1373" s="2" t="inlineStr">
        <is>
          <t>ADIF -Consejo de Administración</t>
        </is>
      </c>
      <c r="I1373" s="2" t="inlineStr">
        <is>
          <t>Ejecución de la obra y realización de mantenimiento del proyecto constructivo de las instalaciones de telecomunicaciones móviles GSM-R, tramo Xátiva-Alcoi de red convencional.</t>
        </is>
      </c>
      <c r="J1373" s="2" t="inlineStr">
        <is>
          <t>4.24/27507.0186</t>
        </is>
      </c>
      <c r="K1373" s="2" t="inlineStr">
        <is>
          <t>Abierto</t>
        </is>
      </c>
      <c r="L1373" s="6" t="n">
        <v>60</v>
      </c>
      <c r="M1373" s="2" t="inlineStr">
        <is>
          <t>I7-4</t>
        </is>
      </c>
      <c r="N1373" s="7" t="n">
        <v>0.49</v>
      </c>
      <c r="O1373" s="4" t="n"/>
      <c r="P1373" s="2" t="inlineStr">
        <is>
          <t>45314000; 50330000</t>
        </is>
      </c>
      <c r="Q1373" s="8" t="inlineStr">
        <is>
          <t>Ver</t>
        </is>
      </c>
      <c r="R1373" s="8" t="inlineStr">
        <is>
          <t>PCAP</t>
        </is>
      </c>
      <c r="S1373" s="9" t="n">
        <v>46314</v>
      </c>
      <c r="T1373" s="3" t="n">
        <v>46311.47664351852</v>
      </c>
      <c r="U1373" s="2" t="n"/>
    </row>
    <row r="1374">
      <c r="A1374" s="2" t="inlineStr">
        <is>
          <t>Adjudicada</t>
        </is>
      </c>
      <c r="B1374" s="3" t="n">
        <v>46231.625</v>
      </c>
      <c r="C1374" s="5" t="n">
        <v>113183.3</v>
      </c>
      <c r="D1374" s="5" t="n">
        <v>130245.42</v>
      </c>
      <c r="E1374" s="2" t="inlineStr">
        <is>
          <t>Comunitat Valenciana</t>
        </is>
      </c>
      <c r="F1374" s="2" t="inlineStr">
        <is>
          <t>Castellón</t>
        </is>
      </c>
      <c r="G1374" s="2" t="inlineStr">
        <is>
          <t>VILA-REAL</t>
        </is>
      </c>
      <c r="H1374" s="2" t="inlineStr">
        <is>
          <t>Departamento de Salud de La Plana. Dirección Económica-Gerencia</t>
        </is>
      </c>
      <c r="I1374" s="2" t="inlineStr">
        <is>
          <t>la ejecución de la obra de la Reforma de la Sala de Endoscopias el Hospital Universitario de la Plana.</t>
        </is>
      </c>
      <c r="J1374" s="2" t="inlineStr">
        <is>
          <t>804/2026</t>
        </is>
      </c>
      <c r="K1374" s="2" t="inlineStr">
        <is>
          <t>Abierto</t>
        </is>
      </c>
      <c r="L1374" s="6" t="n">
        <v>4</v>
      </c>
      <c r="M1374" s="2" t="n"/>
      <c r="N1374" s="7" t="n">
        <v>0.45</v>
      </c>
      <c r="O1374" s="4" t="n"/>
      <c r="P1374" s="2" t="inlineStr">
        <is>
          <t>45215100</t>
        </is>
      </c>
      <c r="Q1374" s="8" t="inlineStr">
        <is>
          <t>Ver</t>
        </is>
      </c>
      <c r="R1374" s="8" t="inlineStr">
        <is>
          <t>PCAP</t>
        </is>
      </c>
      <c r="S1374" s="9" t="n">
        <v>46310</v>
      </c>
      <c r="T1374" s="3" t="n">
        <v>46311.47475694444</v>
      </c>
      <c r="U1374" s="2" t="inlineStr">
        <is>
          <t>2026-10-19: estado EV → ADJ</t>
        </is>
      </c>
    </row>
    <row r="1375">
      <c r="A1375" s="2" t="inlineStr">
        <is>
          <t>En plazo</t>
        </is>
      </c>
      <c r="B1375" s="3" t="n">
        <v>46335.72916666666</v>
      </c>
      <c r="C1375" s="5" t="n">
        <v>152189.84</v>
      </c>
      <c r="D1375" s="5" t="n">
        <v>152189.84</v>
      </c>
      <c r="E1375" s="2" t="inlineStr">
        <is>
          <t>Andalucía</t>
        </is>
      </c>
      <c r="F1375" s="2" t="inlineStr">
        <is>
          <t>Granada</t>
        </is>
      </c>
      <c r="G1375" s="2" t="n"/>
      <c r="H1375" s="2" t="inlineStr">
        <is>
          <t>Junta de Gobierno del Ayuntamiento de Granada</t>
        </is>
      </c>
      <c r="I1375" s="2" t="inlineStr">
        <is>
          <t>Contrato de obras para la ejecución del proyecto de remodelación de la plaza Doctor López Neyra - Granada</t>
        </is>
      </c>
      <c r="J1375" s="2" t="inlineStr">
        <is>
          <t>OBR-2026000112</t>
        </is>
      </c>
      <c r="K1375" s="2" t="inlineStr">
        <is>
          <t>Abierto</t>
        </is>
      </c>
      <c r="L1375" s="6" t="n">
        <v>3</v>
      </c>
      <c r="M1375" s="2" t="n"/>
      <c r="N1375" s="7" t="n">
        <v>0.4</v>
      </c>
      <c r="O1375" s="4" t="n"/>
      <c r="P1375" s="2" t="inlineStr">
        <is>
          <t>45000000; 45233252; 45112700</t>
        </is>
      </c>
      <c r="Q1375" s="8" t="inlineStr">
        <is>
          <t>Ver</t>
        </is>
      </c>
      <c r="R1375" s="8" t="inlineStr">
        <is>
          <t>PCAP</t>
        </is>
      </c>
      <c r="S1375" s="9" t="n">
        <v>46310</v>
      </c>
      <c r="T1375" s="3" t="n">
        <v>46311.47101851852</v>
      </c>
      <c r="U1375" s="2" t="n"/>
    </row>
    <row r="1376">
      <c r="A1376" s="2" t="inlineStr">
        <is>
          <t>Resuelta</t>
        </is>
      </c>
      <c r="B1376" s="3" t="n">
        <v>45418.39583333334</v>
      </c>
      <c r="C1376" s="5" t="n">
        <v>1999999</v>
      </c>
      <c r="D1376" s="5" t="n">
        <v>1999999</v>
      </c>
      <c r="E1376" s="2" t="inlineStr">
        <is>
          <t>Andalucía</t>
        </is>
      </c>
      <c r="F1376" s="2" t="inlineStr">
        <is>
          <t>Cádiz</t>
        </is>
      </c>
      <c r="G1376" s="2" t="n"/>
      <c r="H1376" s="2" t="inlineStr">
        <is>
          <t>Instituto de Vivienda, Infraestructura y Equipamiento de la Defensa</t>
        </is>
      </c>
      <c r="I1376" s="2" t="inlineStr">
        <is>
          <t>Obras de demolición, reforma, conservación y rehabilitación de los inmuebles vinculados al Instituto de Vivienda, Infraestructura y Equipamiento de la Defensa para el Área de patrimonio de San Fernando (Cádiz).</t>
        </is>
      </c>
      <c r="J1376" s="2" t="inlineStr">
        <is>
          <t>202400000056</t>
        </is>
      </c>
      <c r="K1376" s="2" t="inlineStr">
        <is>
          <t>Abierto simplificado</t>
        </is>
      </c>
      <c r="L1376" s="6" t="n">
        <v>25</v>
      </c>
      <c r="M1376" s="2" t="n"/>
      <c r="N1376" s="7" t="n">
        <v>0</v>
      </c>
      <c r="O1376" s="4" t="n"/>
      <c r="P1376" s="2" t="inlineStr">
        <is>
          <t>45200000</t>
        </is>
      </c>
      <c r="Q1376" s="8" t="inlineStr">
        <is>
          <t>Ver</t>
        </is>
      </c>
      <c r="R1376" s="8" t="inlineStr">
        <is>
          <t>PCAP</t>
        </is>
      </c>
      <c r="S1376" s="9" t="n">
        <v>46314</v>
      </c>
      <c r="T1376" s="3" t="n">
        <v>46311.47001157407</v>
      </c>
      <c r="U1376" s="2" t="n"/>
    </row>
    <row r="1377">
      <c r="A1377" s="2" t="inlineStr">
        <is>
          <t>Resuelta</t>
        </is>
      </c>
      <c r="B1377" s="3" t="n">
        <v>46196.99930555555</v>
      </c>
      <c r="C1377" s="5" t="n">
        <v>231404.96</v>
      </c>
      <c r="D1377" s="5" t="n">
        <v>231404.96</v>
      </c>
      <c r="E1377" s="2" t="inlineStr">
        <is>
          <t>Andalucía</t>
        </is>
      </c>
      <c r="F1377" s="2" t="inlineStr">
        <is>
          <t>Almería</t>
        </is>
      </c>
      <c r="G1377" s="2" t="n"/>
      <c r="H1377" s="2" t="inlineStr">
        <is>
          <t>Junta de Gobierno de la Diputación Provincial de Almería</t>
        </is>
      </c>
      <c r="I1377" s="2" t="inlineStr">
        <is>
          <t>Remodelación De Intersección En C.p. Al-7100. Travesía Del Llano De Los Olleres, T.m. De Albox (almería) 33RVP2025-2026</t>
        </is>
      </c>
      <c r="J1377" s="2" t="inlineStr">
        <is>
          <t>2026/D31000/006-013/00030</t>
        </is>
      </c>
      <c r="K1377" s="2" t="inlineStr">
        <is>
          <t>Abierto simplificado</t>
        </is>
      </c>
      <c r="L1377" s="6" t="n">
        <v>3</v>
      </c>
      <c r="M1377" s="2" t="n"/>
      <c r="N1377" s="7" t="n">
        <v>0.25</v>
      </c>
      <c r="O1377" s="4" t="n"/>
      <c r="P1377" s="2" t="inlineStr">
        <is>
          <t>45233220</t>
        </is>
      </c>
      <c r="Q1377" s="8" t="inlineStr">
        <is>
          <t>Ver</t>
        </is>
      </c>
      <c r="R1377" s="8" t="inlineStr">
        <is>
          <t>PCAP</t>
        </is>
      </c>
      <c r="S1377" s="9" t="n">
        <v>46314</v>
      </c>
      <c r="T1377" s="3" t="n">
        <v>46311.46563657407</v>
      </c>
      <c r="U1377" s="2" t="n"/>
    </row>
    <row r="1378">
      <c r="A1378" s="2" t="inlineStr">
        <is>
          <t>En plazo</t>
        </is>
      </c>
      <c r="B1378" s="3" t="n">
        <v>46331.99930555555</v>
      </c>
      <c r="C1378" s="5" t="n">
        <v>165279.43</v>
      </c>
      <c r="D1378" s="5" t="n">
        <v>165279.43</v>
      </c>
      <c r="E1378" s="2" t="inlineStr">
        <is>
          <t>Comunitat Valenciana</t>
        </is>
      </c>
      <c r="F1378" s="2" t="inlineStr">
        <is>
          <t>Alicante</t>
        </is>
      </c>
      <c r="G1378" s="2" t="n"/>
      <c r="H1378" s="2" t="inlineStr">
        <is>
          <t>Junta de Gobierno del Ayuntamiento de Elche</t>
        </is>
      </c>
      <c r="I1378" s="2" t="inlineStr">
        <is>
          <t>Obras de creación de alcorques en la vía pública (C/ Juan Carlos I, Alfonso XII, Federico García Lorca y León Sánchez Sáez)</t>
        </is>
      </c>
      <c r="J1378" s="2" t="inlineStr">
        <is>
          <t>OBR/ABR_SMPL/2026000163</t>
        </is>
      </c>
      <c r="K1378" s="2" t="inlineStr">
        <is>
          <t>Abierto simplificado</t>
        </is>
      </c>
      <c r="L1378" s="6" t="n">
        <v>3</v>
      </c>
      <c r="M1378" s="2" t="inlineStr">
        <is>
          <t>G6-2</t>
        </is>
      </c>
      <c r="N1378" s="7" t="n">
        <v>0</v>
      </c>
      <c r="O1378" s="4" t="n"/>
      <c r="P1378" s="2" t="inlineStr">
        <is>
          <t>45233140; 45233222</t>
        </is>
      </c>
      <c r="Q1378" s="8" t="inlineStr">
        <is>
          <t>Ver</t>
        </is>
      </c>
      <c r="R1378" s="8" t="inlineStr">
        <is>
          <t>PCAP</t>
        </is>
      </c>
      <c r="S1378" s="9" t="n">
        <v>46314</v>
      </c>
      <c r="T1378" s="3" t="n">
        <v>46311.46210648148</v>
      </c>
      <c r="U1378" s="2" t="n"/>
    </row>
    <row r="1379">
      <c r="A1379" s="2" t="inlineStr">
        <is>
          <t>Resuelta</t>
        </is>
      </c>
      <c r="B1379" s="3" t="n">
        <v>45905.75</v>
      </c>
      <c r="C1379" s="5" t="n">
        <v>319765.96</v>
      </c>
      <c r="D1379" s="5" t="n">
        <v>383719.15</v>
      </c>
      <c r="E1379" s="2" t="inlineStr">
        <is>
          <t>Andalucía</t>
        </is>
      </c>
      <c r="F1379" s="2" t="inlineStr">
        <is>
          <t>Málaga</t>
        </is>
      </c>
      <c r="G1379" s="2" t="n"/>
      <c r="H1379" s="2" t="inlineStr">
        <is>
          <t>Consejero Delegado de la Empresa Municipal de Aguas de Málaga S.A.</t>
        </is>
      </c>
      <c r="I1379" s="2" t="inlineStr">
        <is>
          <t>Obra para mejora de drenaje urbano y separación de redes de Avenida Salvador allende del n 137 al n 159 (exp ingenieria 066/2019)</t>
        </is>
      </c>
      <c r="J1379" s="2" t="inlineStr">
        <is>
          <t>25-522-2</t>
        </is>
      </c>
      <c r="K1379" s="2" t="inlineStr">
        <is>
          <t>Abierto</t>
        </is>
      </c>
      <c r="L1379" s="6" t="n">
        <v>3</v>
      </c>
      <c r="M1379" s="2" t="n"/>
      <c r="N1379" s="7" t="n">
        <v>0</v>
      </c>
      <c r="O1379" s="4" t="n"/>
      <c r="P1379" s="2" t="inlineStr">
        <is>
          <t>45000000</t>
        </is>
      </c>
      <c r="Q1379" s="8" t="inlineStr">
        <is>
          <t>Ver</t>
        </is>
      </c>
      <c r="R1379" s="8" t="inlineStr">
        <is>
          <t>PCAP</t>
        </is>
      </c>
      <c r="S1379" s="9" t="n">
        <v>46314</v>
      </c>
      <c r="T1379" s="3" t="n">
        <v>46311.46209490741</v>
      </c>
      <c r="U1379" s="2" t="n"/>
    </row>
    <row r="1380">
      <c r="A1380" s="2" t="inlineStr">
        <is>
          <t>Pendiente de adjudicación</t>
        </is>
      </c>
      <c r="B1380" s="3" t="n">
        <v>46188.99930555555</v>
      </c>
      <c r="C1380" s="5" t="n">
        <v>364059.93</v>
      </c>
      <c r="D1380" s="5" t="n">
        <v>364059.93</v>
      </c>
      <c r="E1380" s="2" t="inlineStr">
        <is>
          <t>Comunitat Valenciana</t>
        </is>
      </c>
      <c r="F1380" s="2" t="inlineStr">
        <is>
          <t>Valencia</t>
        </is>
      </c>
      <c r="G1380" s="2" t="n"/>
      <c r="H1380" s="2" t="inlineStr">
        <is>
          <t>Junta de Gobierno del Ajuntament de València</t>
        </is>
      </c>
      <c r="I1380" s="2" t="inlineStr">
        <is>
          <t>Obra de ejecución del "Proyecto de demolición, sustitución e integración de los antiguos viales en la zona de l'Aterrisador de la Devesa".</t>
        </is>
      </c>
      <c r="J1380" s="2" t="inlineStr">
        <is>
          <t>04101/2026/73-O</t>
        </is>
      </c>
      <c r="K1380" s="2" t="inlineStr">
        <is>
          <t>Abierto simplificado</t>
        </is>
      </c>
      <c r="L1380" s="6" t="n">
        <v>4</v>
      </c>
      <c r="M1380" s="2" t="n"/>
      <c r="N1380" s="7" t="n">
        <v>0</v>
      </c>
      <c r="O1380" s="4" t="n"/>
      <c r="P1380" s="2" t="inlineStr">
        <is>
          <t>45111000; 45233140; 77211400</t>
        </is>
      </c>
      <c r="Q1380" s="8" t="inlineStr">
        <is>
          <t>Ver</t>
        </is>
      </c>
      <c r="R1380" s="8" t="inlineStr">
        <is>
          <t>PCAP</t>
        </is>
      </c>
      <c r="S1380" s="9" t="n">
        <v>46314</v>
      </c>
      <c r="T1380" s="3" t="n">
        <v>46311.45642361111</v>
      </c>
      <c r="U1380" s="2" t="n"/>
    </row>
    <row r="1381">
      <c r="A1381" s="2" t="inlineStr">
        <is>
          <t>Pendiente de adjudicación</t>
        </is>
      </c>
      <c r="B1381" s="3" t="n">
        <v>46293.99930555555</v>
      </c>
      <c r="C1381" s="5" t="n">
        <v>81493.35000000001</v>
      </c>
      <c r="D1381" s="5" t="n">
        <v>81493.35000000001</v>
      </c>
      <c r="E1381" s="2" t="inlineStr">
        <is>
          <t>Andalucía</t>
        </is>
      </c>
      <c r="F1381" s="2" t="inlineStr">
        <is>
          <t>Córdoba</t>
        </is>
      </c>
      <c r="G1381" s="2" t="inlineStr">
        <is>
          <t>Morente</t>
        </is>
      </c>
      <c r="H1381" s="2" t="inlineStr">
        <is>
          <t>Junta de Gobierno del Ayuntamiento de Bujalance</t>
        </is>
      </c>
      <c r="I1381" s="2" t="inlineStr">
        <is>
          <t>Ejecución de las obras contenidas en el Proyecto de Ejecución «Reforma de Calle Plaza, en Morente» (T.M. de Bujalance, Córdoba)</t>
        </is>
      </c>
      <c r="J1381" s="2" t="inlineStr">
        <is>
          <t>9691/2026</t>
        </is>
      </c>
      <c r="K1381" s="2" t="inlineStr">
        <is>
          <t>Abierto simplificado</t>
        </is>
      </c>
      <c r="L1381" s="6" t="n">
        <v>3</v>
      </c>
      <c r="M1381" s="2" t="inlineStr">
        <is>
          <t>G6-1</t>
        </is>
      </c>
      <c r="N1381" s="7" t="n">
        <v>0</v>
      </c>
      <c r="O1381" s="4" t="n"/>
      <c r="P1381" s="2" t="inlineStr">
        <is>
          <t>45233140</t>
        </is>
      </c>
      <c r="Q1381" s="8" t="inlineStr">
        <is>
          <t>Ver</t>
        </is>
      </c>
      <c r="R1381" s="8" t="inlineStr">
        <is>
          <t>PCAP</t>
        </is>
      </c>
      <c r="S1381" s="9" t="n">
        <v>46314</v>
      </c>
      <c r="T1381" s="3" t="n">
        <v>46311.45188657408</v>
      </c>
      <c r="U1381" s="2" t="n"/>
    </row>
    <row r="1382">
      <c r="A1382" s="2" t="inlineStr">
        <is>
          <t>Adjudicada</t>
        </is>
      </c>
      <c r="B1382" s="3" t="n"/>
      <c r="C1382" s="5" t="n">
        <v>17514.9</v>
      </c>
      <c r="D1382" s="5" t="n">
        <v>17514.9</v>
      </c>
      <c r="E1382" s="2" t="inlineStr">
        <is>
          <t>Andalucía</t>
        </is>
      </c>
      <c r="F1382" s="2" t="inlineStr">
        <is>
          <t>Córdoba</t>
        </is>
      </c>
      <c r="G1382" s="2" t="inlineStr">
        <is>
          <t>Córdoba</t>
        </is>
      </c>
      <c r="H1382" s="2" t="inlineStr">
        <is>
          <t>Aena. Dirección del Aeropuerto de Córdoba</t>
        </is>
      </c>
      <c r="I1382" s="2" t="inlineStr">
        <is>
          <t>Nueva Señalización En P1</t>
        </is>
      </c>
      <c r="J1382" s="2" t="inlineStr">
        <is>
          <t>ODB-32/2026</t>
        </is>
      </c>
      <c r="K1382" s="2" t="inlineStr">
        <is>
          <t>Normas internas</t>
        </is>
      </c>
      <c r="L1382" s="6" t="n">
        <v>0.5</v>
      </c>
      <c r="M1382" s="2" t="n"/>
      <c r="N1382" s="7" t="n"/>
      <c r="O1382" s="4" t="n"/>
      <c r="P1382" s="2" t="inlineStr">
        <is>
          <t>45233270</t>
        </is>
      </c>
      <c r="Q1382" s="8" t="inlineStr">
        <is>
          <t>Ver</t>
        </is>
      </c>
      <c r="R1382" s="2" t="n"/>
      <c r="S1382" s="9" t="n">
        <v>46314</v>
      </c>
      <c r="T1382" s="3" t="n">
        <v>46311.44921296297</v>
      </c>
      <c r="U1382" s="2" t="n"/>
    </row>
    <row r="1383">
      <c r="A1383" s="2" t="inlineStr">
        <is>
          <t>Resuelta</t>
        </is>
      </c>
      <c r="B1383" s="3" t="n">
        <v>46265.5</v>
      </c>
      <c r="C1383" s="5" t="n">
        <v>552197.35</v>
      </c>
      <c r="D1383" s="5" t="n">
        <v>552197.35</v>
      </c>
      <c r="E1383" s="2" t="inlineStr">
        <is>
          <t>Comunitat Valenciana</t>
        </is>
      </c>
      <c r="F1383" s="2" t="inlineStr">
        <is>
          <t>Valencia</t>
        </is>
      </c>
      <c r="G1383" s="2" t="n"/>
      <c r="H1383" s="2" t="inlineStr">
        <is>
          <t>Dirección General del Circuito del Motor y Promoción Deportiva S.A.</t>
        </is>
      </c>
      <c r="I1383" s="2" t="inlineStr">
        <is>
          <t>La ejecución de las obras de instalación eléctrica en baja tensión para la iluminación de la pista de tecnificación (KARTING FAST CIRCUIT VALENCIA) DEL CIRCUIT RICARDO TORMO</t>
        </is>
      </c>
      <c r="J1383" s="2" t="inlineStr">
        <is>
          <t>CMAYOR/2026/CMPD0/0031</t>
        </is>
      </c>
      <c r="K1383" s="2" t="inlineStr">
        <is>
          <t>Abierto simplificado</t>
        </is>
      </c>
      <c r="L1383" s="6" t="n">
        <v>3</v>
      </c>
      <c r="M1383" s="2" t="inlineStr">
        <is>
          <t>I1-3</t>
        </is>
      </c>
      <c r="N1383" s="7" t="n">
        <v>0</v>
      </c>
      <c r="O1383" s="4" t="n"/>
      <c r="P1383" s="2" t="inlineStr">
        <is>
          <t>45316100; 45315600; 45310000; 45262210</t>
        </is>
      </c>
      <c r="Q1383" s="8" t="inlineStr">
        <is>
          <t>Ver</t>
        </is>
      </c>
      <c r="R1383" s="8" t="inlineStr">
        <is>
          <t>PCAP</t>
        </is>
      </c>
      <c r="S1383" s="9" t="n">
        <v>46310</v>
      </c>
      <c r="T1383" s="3" t="n">
        <v>46311.44105324074</v>
      </c>
      <c r="U1383" s="2" t="inlineStr">
        <is>
          <t>2026-10-19: estado ADJ → RES</t>
        </is>
      </c>
    </row>
    <row r="1384">
      <c r="A1384" s="2" t="inlineStr">
        <is>
          <t>En plazo</t>
        </is>
      </c>
      <c r="B1384" s="3" t="n">
        <v>46331.99930555555</v>
      </c>
      <c r="C1384" s="5" t="n">
        <v>69287.78999999999</v>
      </c>
      <c r="D1384" s="5" t="n">
        <v>69287.78999999999</v>
      </c>
      <c r="E1384" s="2" t="inlineStr">
        <is>
          <t>Andalucía</t>
        </is>
      </c>
      <c r="F1384" s="2" t="inlineStr">
        <is>
          <t>Jaén</t>
        </is>
      </c>
      <c r="G1384" s="2" t="inlineStr">
        <is>
          <t>Lahiguera</t>
        </is>
      </c>
      <c r="H1384" s="2" t="inlineStr">
        <is>
          <t>Alcaldía del Ayuntamiento de Lahiguera</t>
        </is>
      </c>
      <c r="I1384" s="2" t="inlineStr">
        <is>
          <t>Reparación y restitución del muro pista deportiva colegio Sta. Clara del municipio de Lahiguera (Jaén)</t>
        </is>
      </c>
      <c r="J1384" s="2" t="inlineStr">
        <is>
          <t>533/2026</t>
        </is>
      </c>
      <c r="K1384" s="2" t="inlineStr">
        <is>
          <t>Abierto simplificado</t>
        </is>
      </c>
      <c r="L1384" s="6" t="n">
        <v>6</v>
      </c>
      <c r="M1384" s="2" t="n"/>
      <c r="N1384" s="7" t="n">
        <v>0</v>
      </c>
      <c r="O1384" s="4" t="n"/>
      <c r="P1384" s="2" t="inlineStr">
        <is>
          <t>45223500</t>
        </is>
      </c>
      <c r="Q1384" s="8" t="inlineStr">
        <is>
          <t>Ver</t>
        </is>
      </c>
      <c r="R1384" s="8" t="inlineStr">
        <is>
          <t>PCAP</t>
        </is>
      </c>
      <c r="S1384" s="9" t="n">
        <v>46314</v>
      </c>
      <c r="T1384" s="3" t="n">
        <v>46311.43597222222</v>
      </c>
      <c r="U1384" s="2" t="n"/>
    </row>
    <row r="1385">
      <c r="A1385" s="2" t="inlineStr">
        <is>
          <t>Resuelta</t>
        </is>
      </c>
      <c r="B1385" s="3" t="n">
        <v>46255.8125</v>
      </c>
      <c r="C1385" s="5" t="n">
        <v>65354.11</v>
      </c>
      <c r="D1385" s="5" t="n">
        <v>65354.11</v>
      </c>
      <c r="E1385" s="2" t="inlineStr">
        <is>
          <t>Andalucía</t>
        </is>
      </c>
      <c r="F1385" s="2" t="inlineStr">
        <is>
          <t>Córdoba</t>
        </is>
      </c>
      <c r="G1385" s="2" t="inlineStr">
        <is>
          <t>Monturque</t>
        </is>
      </c>
      <c r="H1385" s="2" t="inlineStr">
        <is>
          <t>Junta de Gobierno Local de Ayuntamiento de Monturque</t>
        </is>
      </c>
      <c r="I1385" s="2" t="inlineStr">
        <is>
          <t>Reparación daños por tormentas y vientos en Casa Consistorial</t>
        </is>
      </c>
      <c r="J1385" s="2" t="inlineStr">
        <is>
          <t>GEX 2026/2144</t>
        </is>
      </c>
      <c r="K1385" s="2" t="inlineStr">
        <is>
          <t>Abierto simplificado</t>
        </is>
      </c>
      <c r="L1385" s="6" t="n">
        <v>2</v>
      </c>
      <c r="M1385" s="2" t="n"/>
      <c r="N1385" s="7" t="n">
        <v>0</v>
      </c>
      <c r="O1385" s="4" t="n"/>
      <c r="P1385" s="2" t="inlineStr">
        <is>
          <t>45261420; 45442100; 45262500; 45261910</t>
        </is>
      </c>
      <c r="Q1385" s="8" t="inlineStr">
        <is>
          <t>Ver</t>
        </is>
      </c>
      <c r="R1385" s="8" t="inlineStr">
        <is>
          <t>PCAP</t>
        </is>
      </c>
      <c r="S1385" s="9" t="n">
        <v>46314</v>
      </c>
      <c r="T1385" s="3" t="n">
        <v>46311.43202546296</v>
      </c>
      <c r="U1385" s="2" t="n"/>
    </row>
    <row r="1386">
      <c r="A1386" s="2" t="inlineStr">
        <is>
          <t>En plazo</t>
        </is>
      </c>
      <c r="B1386" s="3" t="n">
        <v>46330.99930555555</v>
      </c>
      <c r="C1386" s="5" t="n">
        <v>361280.99</v>
      </c>
      <c r="D1386" s="5" t="n">
        <v>361280.99</v>
      </c>
      <c r="E1386" s="2" t="inlineStr">
        <is>
          <t>Comunitat Valenciana</t>
        </is>
      </c>
      <c r="F1386" s="2" t="inlineStr">
        <is>
          <t>Alicante</t>
        </is>
      </c>
      <c r="G1386" s="2" t="inlineStr">
        <is>
          <t>Agost</t>
        </is>
      </c>
      <c r="H1386" s="2" t="inlineStr">
        <is>
          <t>Alcaldía del Ayuntamiento de Agost</t>
        </is>
      </c>
      <c r="I1386" s="2" t="inlineStr">
        <is>
          <t>urbanización en la calle Cami de La Fam</t>
        </is>
      </c>
      <c r="J1386" s="2" t="inlineStr">
        <is>
          <t>2522/2026</t>
        </is>
      </c>
      <c r="K1386" s="2" t="inlineStr">
        <is>
          <t>Abierto simplificado</t>
        </is>
      </c>
      <c r="L1386" s="6" t="n">
        <v>4</v>
      </c>
      <c r="M1386" s="2" t="n"/>
      <c r="N1386" s="7" t="n">
        <v>0</v>
      </c>
      <c r="O1386" s="4" t="n"/>
      <c r="P1386" s="2" t="inlineStr">
        <is>
          <t>45200000</t>
        </is>
      </c>
      <c r="Q1386" s="8" t="inlineStr">
        <is>
          <t>Ver</t>
        </is>
      </c>
      <c r="R1386" s="8" t="inlineStr">
        <is>
          <t>PCAP</t>
        </is>
      </c>
      <c r="S1386" s="9" t="n">
        <v>46311</v>
      </c>
      <c r="T1386" s="3" t="n">
        <v>46311.43067129629</v>
      </c>
      <c r="U1386" s="2" t="n"/>
    </row>
    <row r="1387">
      <c r="A1387" s="2" t="inlineStr">
        <is>
          <t>En plazo</t>
        </is>
      </c>
      <c r="B1387" s="3" t="n">
        <v>46325.99930555555</v>
      </c>
      <c r="C1387" s="5" t="n">
        <v>57825.75</v>
      </c>
      <c r="D1387" s="5" t="n">
        <v>57825.75</v>
      </c>
      <c r="E1387" s="2" t="inlineStr">
        <is>
          <t>Andalucía</t>
        </is>
      </c>
      <c r="F1387" s="2" t="inlineStr">
        <is>
          <t>Granada</t>
        </is>
      </c>
      <c r="G1387" s="2" t="n"/>
      <c r="H1387" s="2" t="inlineStr">
        <is>
          <t>Junta de Gobierno del Ayuntamiento de Alfacar</t>
        </is>
      </c>
      <c r="I1387" s="2" t="inlineStr">
        <is>
          <t>Contrato asfaltado de varias calles de Alfacar-2026</t>
        </is>
      </c>
      <c r="J1387" s="2" t="inlineStr">
        <is>
          <t>2042/2026</t>
        </is>
      </c>
      <c r="K1387" s="2" t="inlineStr">
        <is>
          <t>Abierto simplificado</t>
        </is>
      </c>
      <c r="L1387" s="6" t="n">
        <v>3</v>
      </c>
      <c r="M1387" s="2" t="n"/>
      <c r="N1387" s="7" t="n">
        <v>0</v>
      </c>
      <c r="O1387" s="4" t="n"/>
      <c r="P1387" s="2" t="inlineStr">
        <is>
          <t>45233222</t>
        </is>
      </c>
      <c r="Q1387" s="8" t="inlineStr">
        <is>
          <t>Ver</t>
        </is>
      </c>
      <c r="R1387" s="8" t="inlineStr">
        <is>
          <t>PCAP</t>
        </is>
      </c>
      <c r="S1387" s="9" t="n">
        <v>46314</v>
      </c>
      <c r="T1387" s="3" t="n">
        <v>46311.42739583334</v>
      </c>
      <c r="U1387" s="2" t="n"/>
    </row>
    <row r="1388">
      <c r="A1388" s="2" t="inlineStr">
        <is>
          <t>Pendiente de adjudicación</t>
        </is>
      </c>
      <c r="B1388" s="3" t="n">
        <v>46286.99930555555</v>
      </c>
      <c r="C1388" s="5" t="n">
        <v>137249.46</v>
      </c>
      <c r="D1388" s="5" t="n">
        <v>137249.46</v>
      </c>
      <c r="E1388" s="2" t="inlineStr">
        <is>
          <t>Comunitat Valenciana</t>
        </is>
      </c>
      <c r="F1388" s="2" t="inlineStr">
        <is>
          <t>Valencia</t>
        </is>
      </c>
      <c r="G1388" s="2" t="n"/>
      <c r="H1388" s="2" t="inlineStr">
        <is>
          <t>Concejalía Delegada de Contratación del Ajuntament de València</t>
        </is>
      </c>
      <c r="I1388" s="2" t="inlineStr">
        <is>
          <t>Obras de mejoras e instalación en Pedanías (5 lotes: Horno de Alcedo, Pinedo, Perellonet, Casas de Bárcena y la Punta).-</t>
        </is>
      </c>
      <c r="J1388" s="2" t="inlineStr">
        <is>
          <t>04101/2026/136-O</t>
        </is>
      </c>
      <c r="K1388" s="2" t="inlineStr">
        <is>
          <t>Abierto simplificado</t>
        </is>
      </c>
      <c r="L1388" s="6" t="n">
        <v>2.8</v>
      </c>
      <c r="M1388" s="2" t="n"/>
      <c r="N1388" s="7" t="n">
        <v>0</v>
      </c>
      <c r="O1388" s="4" t="n">
        <v>5</v>
      </c>
      <c r="P1388" s="2" t="inlineStr">
        <is>
          <t>45233293; 45421144; 45112723</t>
        </is>
      </c>
      <c r="Q1388" s="8" t="inlineStr">
        <is>
          <t>Ver</t>
        </is>
      </c>
      <c r="R1388" s="8" t="inlineStr">
        <is>
          <t>PCAP</t>
        </is>
      </c>
      <c r="S1388" s="9" t="n">
        <v>46314</v>
      </c>
      <c r="T1388" s="3" t="n">
        <v>46311.42724537037</v>
      </c>
      <c r="U1388" s="2" t="n"/>
    </row>
    <row r="1389">
      <c r="A1389" s="2" t="inlineStr">
        <is>
          <t>Resuelta</t>
        </is>
      </c>
      <c r="B1389" s="3" t="n">
        <v>46258.99930555555</v>
      </c>
      <c r="C1389" s="5" t="n">
        <v>331235.36</v>
      </c>
      <c r="D1389" s="5" t="n">
        <v>331235.36</v>
      </c>
      <c r="E1389" s="2" t="inlineStr">
        <is>
          <t>Andalucía</t>
        </is>
      </c>
      <c r="F1389" s="2" t="inlineStr">
        <is>
          <t>Sevilla</t>
        </is>
      </c>
      <c r="G1389" s="2" t="n"/>
      <c r="H1389" s="2" t="inlineStr">
        <is>
          <t>Junta de Gobierno del Ayuntamiento de Ecija</t>
        </is>
      </c>
      <c r="I1389" s="2" t="inlineStr">
        <is>
          <t>Contrato de obras de creación de nuevo acceso a Plaza de Toros Municipal en Calle Empedrada, subvencionado en el marco del Programa de Cooperación General del Plan Provincial MÁS SEVILLA de la Excelentísima Diputación Provincial de Sevilla.</t>
        </is>
      </c>
      <c r="J1389" s="2" t="inlineStr">
        <is>
          <t>1505/2025</t>
        </is>
      </c>
      <c r="K1389" s="2" t="inlineStr">
        <is>
          <t>Abierto simplificado</t>
        </is>
      </c>
      <c r="L1389" s="6" t="n">
        <v>3</v>
      </c>
      <c r="M1389" s="2" t="n"/>
      <c r="N1389" s="7" t="n">
        <v>0</v>
      </c>
      <c r="O1389" s="4" t="n"/>
      <c r="P1389" s="2" t="inlineStr">
        <is>
          <t>45223110; 45223500; 45316100; 45432210</t>
        </is>
      </c>
      <c r="Q1389" s="8" t="inlineStr">
        <is>
          <t>Ver</t>
        </is>
      </c>
      <c r="R1389" s="8" t="inlineStr">
        <is>
          <t>PCAP</t>
        </is>
      </c>
      <c r="S1389" s="9" t="n">
        <v>46310</v>
      </c>
      <c r="T1389" s="3" t="n">
        <v>46311.42552083333</v>
      </c>
      <c r="U1389" s="2" t="inlineStr">
        <is>
          <t>2026-10-19: estado ADJ → RES</t>
        </is>
      </c>
    </row>
    <row r="1390">
      <c r="A1390" s="2" t="inlineStr">
        <is>
          <t>Resuelta</t>
        </is>
      </c>
      <c r="B1390" s="3" t="n">
        <v>46302.79166666666</v>
      </c>
      <c r="C1390" s="5" t="n">
        <v>178251.41</v>
      </c>
      <c r="D1390" s="5" t="n">
        <v>178251.41</v>
      </c>
      <c r="E1390" s="2" t="inlineStr">
        <is>
          <t>Comunitat Valenciana</t>
        </is>
      </c>
      <c r="F1390" s="2" t="inlineStr">
        <is>
          <t>Valencia</t>
        </is>
      </c>
      <c r="G1390" s="2" t="n"/>
      <c r="H1390" s="2" t="inlineStr">
        <is>
          <t>Alcaldía del Ayuntamiento de Alfarp</t>
        </is>
      </c>
      <c r="I1390" s="2" t="inlineStr">
        <is>
          <t>Ampliación de auditorio polifuncional para aulario en planta primera (Proyecto para la finalización de las obras tras resolución de contrato)</t>
        </is>
      </c>
      <c r="J1390" s="2" t="inlineStr">
        <is>
          <t>3027314D</t>
        </is>
      </c>
      <c r="K1390" s="2" t="inlineStr">
        <is>
          <t>Abierto simplificado</t>
        </is>
      </c>
      <c r="L1390" s="6" t="n">
        <v>4</v>
      </c>
      <c r="M1390" s="2" t="n"/>
      <c r="N1390" s="7" t="n">
        <v>0</v>
      </c>
      <c r="O1390" s="4" t="n"/>
      <c r="P1390" s="2" t="inlineStr">
        <is>
          <t>45262700</t>
        </is>
      </c>
      <c r="Q1390" s="8" t="inlineStr">
        <is>
          <t>Ver</t>
        </is>
      </c>
      <c r="R1390" s="8" t="inlineStr">
        <is>
          <t>PCAP</t>
        </is>
      </c>
      <c r="S1390" s="9" t="n">
        <v>46314</v>
      </c>
      <c r="T1390" s="3" t="n">
        <v>46311.42549768519</v>
      </c>
      <c r="U1390" s="2" t="n"/>
    </row>
    <row r="1391">
      <c r="A1391" s="2" t="inlineStr">
        <is>
          <t>Adjudicada</t>
        </is>
      </c>
      <c r="B1391" s="3" t="n"/>
      <c r="C1391" s="5" t="n">
        <v>13990</v>
      </c>
      <c r="D1391" s="5" t="n">
        <v>13990</v>
      </c>
      <c r="E1391" s="2" t="inlineStr">
        <is>
          <t>Andalucía</t>
        </is>
      </c>
      <c r="F1391" s="2" t="inlineStr">
        <is>
          <t>Córdoba</t>
        </is>
      </c>
      <c r="G1391" s="2" t="inlineStr">
        <is>
          <t>Córdoba</t>
        </is>
      </c>
      <c r="H1391" s="2" t="inlineStr">
        <is>
          <t>Aena. Dirección del Aeropuerto de Córdoba</t>
        </is>
      </c>
      <c r="I1391" s="2" t="inlineStr">
        <is>
          <t>Suministro Con Instalación Bomba Drenaje Fecales Torre Afis</t>
        </is>
      </c>
      <c r="J1391" s="2" t="inlineStr">
        <is>
          <t>ODB-31/2026</t>
        </is>
      </c>
      <c r="K1391" s="2" t="inlineStr">
        <is>
          <t>Normas internas</t>
        </is>
      </c>
      <c r="L1391" s="6" t="n">
        <v>0.5</v>
      </c>
      <c r="M1391" s="2" t="n"/>
      <c r="N1391" s="7" t="n"/>
      <c r="O1391" s="4" t="n"/>
      <c r="P1391" s="2" t="inlineStr">
        <is>
          <t>45332000</t>
        </is>
      </c>
      <c r="Q1391" s="8" t="inlineStr">
        <is>
          <t>Ver</t>
        </is>
      </c>
      <c r="R1391" s="2" t="n"/>
      <c r="S1391" s="9" t="n">
        <v>46314</v>
      </c>
      <c r="T1391" s="3" t="n">
        <v>46311.42436342593</v>
      </c>
      <c r="U1391" s="2" t="n"/>
    </row>
    <row r="1392">
      <c r="A1392" s="2" t="inlineStr">
        <is>
          <t>Adjudicada</t>
        </is>
      </c>
      <c r="B1392" s="3" t="n"/>
      <c r="C1392" s="5" t="n">
        <v>39800</v>
      </c>
      <c r="D1392" s="5" t="n">
        <v>39800</v>
      </c>
      <c r="E1392" s="2" t="inlineStr">
        <is>
          <t>Andalucía</t>
        </is>
      </c>
      <c r="F1392" s="2" t="inlineStr">
        <is>
          <t>Córdoba</t>
        </is>
      </c>
      <c r="G1392" s="2" t="inlineStr">
        <is>
          <t>Córdoba</t>
        </is>
      </c>
      <c r="H1392" s="2" t="inlineStr">
        <is>
          <t>Aena. Dirección del Aeropuerto de Córdoba</t>
        </is>
      </c>
      <c r="I1392" s="2" t="inlineStr">
        <is>
          <t>Recrecido Pavimento Pista Y Twy a</t>
        </is>
      </c>
      <c r="J1392" s="2" t="inlineStr">
        <is>
          <t>ODB-30/2026</t>
        </is>
      </c>
      <c r="K1392" s="2" t="inlineStr">
        <is>
          <t>Normas internas</t>
        </is>
      </c>
      <c r="L1392" s="6" t="n">
        <v>0.2</v>
      </c>
      <c r="M1392" s="2" t="n"/>
      <c r="N1392" s="7" t="n"/>
      <c r="O1392" s="4" t="n"/>
      <c r="P1392" s="2" t="inlineStr">
        <is>
          <t>45235210</t>
        </is>
      </c>
      <c r="Q1392" s="8" t="inlineStr">
        <is>
          <t>Ver</t>
        </is>
      </c>
      <c r="R1392" s="2" t="n"/>
      <c r="S1392" s="9" t="n">
        <v>46314</v>
      </c>
      <c r="T1392" s="3" t="n">
        <v>46311.42420138889</v>
      </c>
      <c r="U1392" s="2" t="n"/>
    </row>
    <row r="1393">
      <c r="A1393" s="2" t="inlineStr">
        <is>
          <t>En plazo</t>
        </is>
      </c>
      <c r="B1393" s="3" t="n">
        <v>46331.99930555555</v>
      </c>
      <c r="C1393" s="5" t="n">
        <v>71103.22</v>
      </c>
      <c r="D1393" s="5" t="n">
        <v>71103.22</v>
      </c>
      <c r="E1393" s="2" t="inlineStr">
        <is>
          <t>Comunitat Valenciana</t>
        </is>
      </c>
      <c r="F1393" s="2" t="inlineStr">
        <is>
          <t>Valencia</t>
        </is>
      </c>
      <c r="G1393" s="2" t="n"/>
      <c r="H1393" s="2" t="inlineStr">
        <is>
          <t>Alcaldía del Ayuntamiento de Llombai</t>
        </is>
      </c>
      <c r="I1393" s="2" t="inlineStr">
        <is>
          <t>Restauracion del firme en Calles Milagros Espert i Peixquera de Llombai financiada al amparo de la Orden TMD/101/2025, de 31 de enero, el Ministerio de Política Territorial y Memoria Democrática</t>
        </is>
      </c>
      <c r="J1393" s="2" t="inlineStr">
        <is>
          <t>1517/2026</t>
        </is>
      </c>
      <c r="K1393" s="2" t="inlineStr">
        <is>
          <t>Abierto simplificado</t>
        </is>
      </c>
      <c r="L1393" s="6" t="n">
        <v>1</v>
      </c>
      <c r="M1393" s="2" t="n"/>
      <c r="N1393" s="7" t="n">
        <v>0</v>
      </c>
      <c r="O1393" s="4" t="n"/>
      <c r="P1393" s="2" t="inlineStr">
        <is>
          <t>45233200; 45233252; 45233251</t>
        </is>
      </c>
      <c r="Q1393" s="8" t="inlineStr">
        <is>
          <t>Ver</t>
        </is>
      </c>
      <c r="R1393" s="8" t="inlineStr">
        <is>
          <t>PCAP</t>
        </is>
      </c>
      <c r="S1393" s="9" t="n">
        <v>46314</v>
      </c>
      <c r="T1393" s="3" t="n">
        <v>46311.42418981482</v>
      </c>
      <c r="U1393" s="2" t="n"/>
    </row>
    <row r="1394">
      <c r="A1394" s="2" t="inlineStr">
        <is>
          <t>Adjudicada</t>
        </is>
      </c>
      <c r="B1394" s="3" t="n">
        <v>46294.99930555555</v>
      </c>
      <c r="C1394" s="5" t="n">
        <v>76680.16</v>
      </c>
      <c r="D1394" s="5" t="n">
        <v>76680.16</v>
      </c>
      <c r="E1394" s="2" t="inlineStr">
        <is>
          <t>Andalucía</t>
        </is>
      </c>
      <c r="F1394" s="2" t="inlineStr">
        <is>
          <t>Málaga</t>
        </is>
      </c>
      <c r="G1394" s="2" t="n"/>
      <c r="H1394" s="2" t="inlineStr">
        <is>
          <t>Alcaldía del Ayuntamiento de Cútar</t>
        </is>
      </c>
      <c r="I1394" s="2" t="inlineStr">
        <is>
          <t>Reforma de la Casa Museo Nazarí, sita en Calle Molino 3, Cútar.</t>
        </is>
      </c>
      <c r="J1394" s="2" t="inlineStr">
        <is>
          <t>2026/305</t>
        </is>
      </c>
      <c r="K1394" s="2" t="inlineStr">
        <is>
          <t>Abierto simplificado</t>
        </is>
      </c>
      <c r="L1394" s="6" t="n">
        <v>6</v>
      </c>
      <c r="M1394" s="2" t="inlineStr">
        <is>
          <t>C*-3</t>
        </is>
      </c>
      <c r="N1394" s="7" t="n">
        <v>0</v>
      </c>
      <c r="O1394" s="4" t="n"/>
      <c r="P1394" s="2" t="inlineStr">
        <is>
          <t>45454100; 45262700</t>
        </is>
      </c>
      <c r="Q1394" s="8" t="inlineStr">
        <is>
          <t>Ver</t>
        </is>
      </c>
      <c r="R1394" s="8" t="inlineStr">
        <is>
          <t>PCAP</t>
        </is>
      </c>
      <c r="S1394" s="9" t="n">
        <v>46314</v>
      </c>
      <c r="T1394" s="3" t="n">
        <v>46311.42130787037</v>
      </c>
      <c r="U1394" s="2" t="n"/>
    </row>
    <row r="1395">
      <c r="A1395" s="2" t="inlineStr">
        <is>
          <t>En plazo</t>
        </is>
      </c>
      <c r="B1395" s="3" t="n">
        <v>46331.99930555555</v>
      </c>
      <c r="C1395" s="5" t="n">
        <v>117812.44</v>
      </c>
      <c r="D1395" s="5" t="n">
        <v>117812.44</v>
      </c>
      <c r="E1395" s="2" t="inlineStr">
        <is>
          <t>Andalucía</t>
        </is>
      </c>
      <c r="F1395" s="2" t="inlineStr">
        <is>
          <t>Málaga</t>
        </is>
      </c>
      <c r="G1395" s="2" t="inlineStr">
        <is>
          <t>Pizarra (Málaga)</t>
        </is>
      </c>
      <c r="H1395" s="2" t="inlineStr">
        <is>
          <t>Alcaldía del Ayuntamiento de Pizarra</t>
        </is>
      </c>
      <c r="I1395" s="2" t="inlineStr">
        <is>
          <t>La ejecución de las obras de culminación de urbanización de la calle Higuera (Manzana 50, parcelas 5-14) del sector UR-1, El Olivar, Pizarra (Málaga)</t>
        </is>
      </c>
      <c r="J1395" s="2" t="inlineStr">
        <is>
          <t>1239/2026</t>
        </is>
      </c>
      <c r="K1395" s="2" t="inlineStr">
        <is>
          <t>Abierto simplificado</t>
        </is>
      </c>
      <c r="L1395" s="6" t="n">
        <v>4</v>
      </c>
      <c r="M1395" s="2" t="n"/>
      <c r="N1395" s="7" t="n">
        <v>0</v>
      </c>
      <c r="O1395" s="4" t="n"/>
      <c r="P1395" s="2" t="inlineStr">
        <is>
          <t>45000000; 45233140</t>
        </is>
      </c>
      <c r="Q1395" s="8" t="inlineStr">
        <is>
          <t>Ver</t>
        </is>
      </c>
      <c r="R1395" s="8" t="inlineStr">
        <is>
          <t>PCAP</t>
        </is>
      </c>
      <c r="S1395" s="9" t="n">
        <v>46314</v>
      </c>
      <c r="T1395" s="3" t="n">
        <v>46311.41952546296</v>
      </c>
      <c r="U1395" s="2" t="n"/>
    </row>
    <row r="1396">
      <c r="A1396" s="2" t="inlineStr">
        <is>
          <t>Pendiente de adjudicación</t>
        </is>
      </c>
      <c r="B1396" s="3" t="n">
        <v>46224.99930555555</v>
      </c>
      <c r="C1396" s="5" t="n">
        <v>1742416.42</v>
      </c>
      <c r="D1396" s="5" t="n">
        <v>1742416.42</v>
      </c>
      <c r="E1396" s="2" t="inlineStr">
        <is>
          <t>Andalucía</t>
        </is>
      </c>
      <c r="F1396" s="2" t="inlineStr">
        <is>
          <t>Málaga</t>
        </is>
      </c>
      <c r="G1396" s="2" t="n"/>
      <c r="H1396" s="2" t="inlineStr">
        <is>
          <t>Presidencia de la Diputación Provincial de Málaga</t>
        </is>
      </c>
      <c r="I1396" s="2" t="inlineStr">
        <is>
          <t>PSH.-2026/001. Mejora de señalización horizontal en la red de carreteras provincial.</t>
        </is>
      </c>
      <c r="J1396" s="2" t="inlineStr">
        <is>
          <t>PSH.-2026/001</t>
        </is>
      </c>
      <c r="K1396" s="2" t="inlineStr">
        <is>
          <t>Abierto</t>
        </is>
      </c>
      <c r="L1396" s="6" t="n">
        <v>3</v>
      </c>
      <c r="M1396" s="2" t="n"/>
      <c r="N1396" s="7" t="n">
        <v>0</v>
      </c>
      <c r="O1396" s="4" t="n">
        <v>4</v>
      </c>
      <c r="P1396" s="2" t="inlineStr">
        <is>
          <t>45233221</t>
        </is>
      </c>
      <c r="Q1396" s="8" t="inlineStr">
        <is>
          <t>Ver</t>
        </is>
      </c>
      <c r="R1396" s="8" t="inlineStr">
        <is>
          <t>PCAP</t>
        </is>
      </c>
      <c r="S1396" s="9" t="n">
        <v>46310</v>
      </c>
      <c r="T1396" s="3" t="n">
        <v>46311.41844907407</v>
      </c>
      <c r="U1396" s="2" t="n"/>
    </row>
    <row r="1397">
      <c r="A1397" s="2" t="inlineStr">
        <is>
          <t>Adjudicada</t>
        </is>
      </c>
      <c r="B1397" s="3" t="n">
        <v>46218.5</v>
      </c>
      <c r="C1397" s="5" t="n">
        <v>19726247.63</v>
      </c>
      <c r="D1397" s="5" t="n">
        <v>20515297.54</v>
      </c>
      <c r="E1397" s="2" t="inlineStr">
        <is>
          <t>Andalucía</t>
        </is>
      </c>
      <c r="F1397" s="2" t="inlineStr">
        <is>
          <t>Granada</t>
        </is>
      </c>
      <c r="G1397" s="2" t="inlineStr">
        <is>
          <t>Granada</t>
        </is>
      </c>
      <c r="H1397" s="2" t="inlineStr">
        <is>
          <t>Aena. Consejo de Administración</t>
        </is>
      </c>
      <c r="I1397" s="2" t="inlineStr">
        <is>
          <t>Actuación De Renovación Pavimento Pista De Vuelos. Aeropuerto De Federico Garcia Lorca Granada-Jaen</t>
        </is>
      </c>
      <c r="J1397" s="2" t="inlineStr">
        <is>
          <t>DIN-640/2025</t>
        </is>
      </c>
      <c r="K1397" s="2" t="inlineStr">
        <is>
          <t>Licitación con negociación</t>
        </is>
      </c>
      <c r="L1397" s="6" t="n">
        <v>20</v>
      </c>
      <c r="M1397" s="2" t="n"/>
      <c r="N1397" s="7" t="n">
        <v>0</v>
      </c>
      <c r="O1397" s="4" t="n"/>
      <c r="P1397" s="2" t="inlineStr">
        <is>
          <t>45235210</t>
        </is>
      </c>
      <c r="Q1397" s="8" t="inlineStr">
        <is>
          <t>Ver</t>
        </is>
      </c>
      <c r="R1397" s="8" t="inlineStr">
        <is>
          <t>PCAP</t>
        </is>
      </c>
      <c r="S1397" s="9" t="n">
        <v>46314</v>
      </c>
      <c r="T1397" s="3" t="n">
        <v>46311.41643518519</v>
      </c>
      <c r="U1397" s="2" t="n"/>
    </row>
    <row r="1398">
      <c r="A1398" s="2" t="inlineStr">
        <is>
          <t>Adjudicada</t>
        </is>
      </c>
      <c r="B1398" s="3" t="n">
        <v>45994.99930555555</v>
      </c>
      <c r="C1398" s="5" t="n">
        <v>3481281.37</v>
      </c>
      <c r="D1398" s="5" t="n">
        <v>3829409.51</v>
      </c>
      <c r="E1398" s="2" t="inlineStr">
        <is>
          <t>Comunitat Valenciana</t>
        </is>
      </c>
      <c r="F1398" s="2" t="inlineStr">
        <is>
          <t>Valencia</t>
        </is>
      </c>
      <c r="G1398" s="2" t="inlineStr">
        <is>
          <t>Algemesí</t>
        </is>
      </c>
      <c r="H1398" s="2" t="inlineStr">
        <is>
          <t>Dirección General de Gestión Económica, Contratación e Infraestructuras de la Conselleria de Sanidad</t>
        </is>
      </c>
      <c r="I1398" s="2" t="inlineStr">
        <is>
          <t>obras de ampliación y adecuación puntual del centro de salud de algemesí (valencia)</t>
        </is>
      </c>
      <c r="J1398" s="2" t="inlineStr">
        <is>
          <t>45/2026</t>
        </is>
      </c>
      <c r="K1398" s="2" t="inlineStr">
        <is>
          <t>Abierto</t>
        </is>
      </c>
      <c r="L1398" s="6" t="n">
        <v>24</v>
      </c>
      <c r="M1398" s="2" t="inlineStr">
        <is>
          <t>C*-4</t>
        </is>
      </c>
      <c r="N1398" s="7" t="n">
        <v>0.1</v>
      </c>
      <c r="O1398" s="4" t="n"/>
      <c r="P1398" s="2" t="inlineStr">
        <is>
          <t>45215100</t>
        </is>
      </c>
      <c r="Q1398" s="8" t="inlineStr">
        <is>
          <t>Ver</t>
        </is>
      </c>
      <c r="R1398" s="8" t="inlineStr">
        <is>
          <t>PCAP</t>
        </is>
      </c>
      <c r="S1398" s="9" t="n">
        <v>46314</v>
      </c>
      <c r="T1398" s="3" t="n">
        <v>46311.41351851852</v>
      </c>
      <c r="U1398" s="2" t="n"/>
    </row>
    <row r="1399">
      <c r="A1399" s="2" t="inlineStr">
        <is>
          <t>Resuelta</t>
        </is>
      </c>
      <c r="B1399" s="3" t="n">
        <v>46190.5625</v>
      </c>
      <c r="C1399" s="5" t="n">
        <v>236034.55</v>
      </c>
      <c r="D1399" s="5" t="n">
        <v>236034.55</v>
      </c>
      <c r="E1399" s="2" t="inlineStr">
        <is>
          <t>Andalucía</t>
        </is>
      </c>
      <c r="F1399" s="2" t="inlineStr">
        <is>
          <t>Cádiz</t>
        </is>
      </c>
      <c r="G1399" s="2" t="n"/>
      <c r="H1399" s="2" t="inlineStr">
        <is>
          <t>Junta de Gobierno del Ayuntamiento de Chiclana de la Frontera</t>
        </is>
      </c>
      <c r="I1399" s="2" t="inlineStr">
        <is>
          <t>Obras de caseta prefabricada para centro de transformación y canalizaciones de media y baja tensión para traslado de centro de transformación emplazado en Alameda del Río, cofinanciadas como parte del Plan de Actuación Integrado (PAI) de Chiclana de la Frontera, en el marco del Desarrollo Urbano Sostenible, con cargo a fondos FEDER en el periodo de programación 2021-2027.</t>
        </is>
      </c>
      <c r="J1399" s="2" t="inlineStr">
        <is>
          <t>27/2026</t>
        </is>
      </c>
      <c r="K1399" s="2" t="inlineStr">
        <is>
          <t>Abierto simplificado</t>
        </is>
      </c>
      <c r="L1399" s="6" t="n">
        <v>4.6</v>
      </c>
      <c r="M1399" s="2" t="n"/>
      <c r="N1399" s="7" t="n">
        <v>0.25</v>
      </c>
      <c r="O1399" s="4" t="n"/>
      <c r="P1399" s="2" t="inlineStr">
        <is>
          <t>45310000; 45311000</t>
        </is>
      </c>
      <c r="Q1399" s="8" t="inlineStr">
        <is>
          <t>Ver</t>
        </is>
      </c>
      <c r="R1399" s="8" t="inlineStr">
        <is>
          <t>PCAP</t>
        </is>
      </c>
      <c r="S1399" s="9" t="n">
        <v>46314</v>
      </c>
      <c r="T1399" s="3" t="n">
        <v>46311.41303240741</v>
      </c>
      <c r="U1399" s="2" t="n"/>
    </row>
    <row r="1400">
      <c r="A1400" s="2" t="inlineStr">
        <is>
          <t>Resuelta</t>
        </is>
      </c>
      <c r="B1400" s="3" t="n">
        <v>46234.5</v>
      </c>
      <c r="C1400" s="5" t="n">
        <v>450000</v>
      </c>
      <c r="D1400" s="5" t="n">
        <v>450000</v>
      </c>
      <c r="E1400" s="2" t="inlineStr">
        <is>
          <t>Andalucía</t>
        </is>
      </c>
      <c r="F1400" s="2" t="inlineStr">
        <is>
          <t>Málaga</t>
        </is>
      </c>
      <c r="G1400" s="2" t="inlineStr">
        <is>
          <t>Málaga</t>
        </is>
      </c>
      <c r="H1400" s="2" t="inlineStr">
        <is>
          <t>Aena. Dirección del Aeropuerto de Málaga-Costa del Sol</t>
        </is>
      </c>
      <c r="I1400" s="2" t="inlineStr">
        <is>
          <t>Despliegue Del Sistema De Llaves Inteligentes En El Aeropuerto De Málaga-Costa Del Sol</t>
        </is>
      </c>
      <c r="J1400" s="2" t="inlineStr">
        <is>
          <t>AGP-107/2026</t>
        </is>
      </c>
      <c r="K1400" s="2" t="inlineStr">
        <is>
          <t>Normas internas</t>
        </is>
      </c>
      <c r="L1400" s="6" t="n"/>
      <c r="M1400" s="2" t="n"/>
      <c r="N1400" s="7" t="n">
        <v>0</v>
      </c>
      <c r="O1400" s="4" t="n"/>
      <c r="P1400" s="2" t="inlineStr">
        <is>
          <t>45312100</t>
        </is>
      </c>
      <c r="Q1400" s="8" t="inlineStr">
        <is>
          <t>Ver</t>
        </is>
      </c>
      <c r="R1400" s="8" t="inlineStr">
        <is>
          <t>PCAP</t>
        </is>
      </c>
      <c r="S1400" s="9" t="n">
        <v>46310</v>
      </c>
      <c r="T1400" s="3" t="n">
        <v>46311.40923611111</v>
      </c>
      <c r="U1400" s="2" t="inlineStr">
        <is>
          <t>2026-10-19: estado ADJ → RES</t>
        </is>
      </c>
    </row>
    <row r="1401">
      <c r="A1401" s="2" t="inlineStr">
        <is>
          <t>Resuelta</t>
        </is>
      </c>
      <c r="B1401" s="3" t="n">
        <v>46157.99930555555</v>
      </c>
      <c r="C1401" s="5" t="n">
        <v>215874.26</v>
      </c>
      <c r="D1401" s="5" t="n">
        <v>215874.26</v>
      </c>
      <c r="E1401" s="2" t="inlineStr">
        <is>
          <t>Comunitat Valenciana</t>
        </is>
      </c>
      <c r="F1401" s="2" t="inlineStr">
        <is>
          <t>Alicante</t>
        </is>
      </c>
      <c r="G1401" s="2" t="n"/>
      <c r="H1401" s="2" t="inlineStr">
        <is>
          <t>Presidencia de la Diputación Provincial de Alicante</t>
        </is>
      </c>
      <c r="I1401" s="2" t="inlineStr">
        <is>
          <t>Obras de mejora urbana c/ Almendros de Alcalá de la Jovada, en el municipio de La Vall d'Alcalà (2024.PLA.139).</t>
        </is>
      </c>
      <c r="J1401" s="2" t="inlineStr">
        <is>
          <t>O6S-022/2026</t>
        </is>
      </c>
      <c r="K1401" s="2" t="inlineStr">
        <is>
          <t>Abierto simplificado</t>
        </is>
      </c>
      <c r="L1401" s="6" t="n">
        <v>5</v>
      </c>
      <c r="M1401" s="2" t="n"/>
      <c r="N1401" s="7" t="n">
        <v>0</v>
      </c>
      <c r="O1401" s="4" t="n"/>
      <c r="P1401" s="2" t="inlineStr">
        <is>
          <t>45200000</t>
        </is>
      </c>
      <c r="Q1401" s="8" t="inlineStr">
        <is>
          <t>Ver</t>
        </is>
      </c>
      <c r="R1401" s="8" t="inlineStr">
        <is>
          <t>PCAP</t>
        </is>
      </c>
      <c r="S1401" s="9" t="n">
        <v>46311</v>
      </c>
      <c r="T1401" s="3" t="n">
        <v>46311.40800925926</v>
      </c>
      <c r="U1401" s="2" t="inlineStr">
        <is>
          <t>2026-10-19: estado ADJ → RES</t>
        </is>
      </c>
    </row>
    <row r="1402">
      <c r="A1402" s="2" t="inlineStr">
        <is>
          <t>En plazo</t>
        </is>
      </c>
      <c r="B1402" s="3" t="n">
        <v>46325.99930555555</v>
      </c>
      <c r="C1402" s="5" t="n">
        <v>64751.8</v>
      </c>
      <c r="D1402" s="5" t="n">
        <v>64751.8</v>
      </c>
      <c r="E1402" s="2" t="inlineStr">
        <is>
          <t>Andalucía</t>
        </is>
      </c>
      <c r="F1402" s="2" t="inlineStr">
        <is>
          <t>Córdoba</t>
        </is>
      </c>
      <c r="G1402" s="2" t="n"/>
      <c r="H1402" s="2" t="inlineStr">
        <is>
          <t>Diputado delegado de Infraestructuras, Sostenibilidad y Agricultura</t>
        </is>
      </c>
      <c r="I1402" s="2" t="inlineStr">
        <is>
          <t>Contratación de la obra "Embellecimiento y mejora de peanas en la c/Julio Romero de Torres 2ª fase, en Rute (Córdoba)", obra incluida en el Plan de Humanización de Entornos Urbanos y Agenda Rural 24-27</t>
        </is>
      </c>
      <c r="J1402" s="2" t="inlineStr">
        <is>
          <t>867/26</t>
        </is>
      </c>
      <c r="K1402" s="2" t="inlineStr">
        <is>
          <t>Abierto simplificado</t>
        </is>
      </c>
      <c r="L1402" s="6" t="n">
        <v>4</v>
      </c>
      <c r="M1402" s="2" t="n"/>
      <c r="N1402" s="7" t="n">
        <v>0</v>
      </c>
      <c r="O1402" s="4" t="n"/>
      <c r="P1402" s="2" t="inlineStr">
        <is>
          <t>45233252</t>
        </is>
      </c>
      <c r="Q1402" s="8" t="inlineStr">
        <is>
          <t>Ver</t>
        </is>
      </c>
      <c r="R1402" s="8" t="inlineStr">
        <is>
          <t>PCAP</t>
        </is>
      </c>
      <c r="S1402" s="9" t="n">
        <v>46314</v>
      </c>
      <c r="T1402" s="3" t="n">
        <v>46311.40645833333</v>
      </c>
      <c r="U1402" s="2" t="n"/>
    </row>
    <row r="1403">
      <c r="A1403" s="2" t="inlineStr">
        <is>
          <t>Pendiente de adjudicación</t>
        </is>
      </c>
      <c r="B1403" s="3" t="n">
        <v>46287.58333333334</v>
      </c>
      <c r="C1403" s="5" t="n">
        <v>523679.39</v>
      </c>
      <c r="D1403" s="5" t="n">
        <v>523679.39</v>
      </c>
      <c r="E1403" s="2" t="inlineStr">
        <is>
          <t>Comunitat Valenciana</t>
        </is>
      </c>
      <c r="F1403" s="2" t="inlineStr">
        <is>
          <t>Valencia</t>
        </is>
      </c>
      <c r="G1403" s="2" t="n"/>
      <c r="H1403" s="2" t="inlineStr">
        <is>
          <t>Pleno del Ayuntamiento de Macastre</t>
        </is>
      </c>
      <c r="I1403" s="2" t="inlineStr">
        <is>
          <t>Contrato de obras de protección de desprendimientos en la ladera entre Calle Dula y el Castillo de Macastre.</t>
        </is>
      </c>
      <c r="J1403" s="2" t="inlineStr">
        <is>
          <t>883/2026</t>
        </is>
      </c>
      <c r="K1403" s="2" t="inlineStr">
        <is>
          <t>Abierto simplificado</t>
        </is>
      </c>
      <c r="L1403" s="6" t="n">
        <v>4</v>
      </c>
      <c r="M1403" s="2" t="inlineStr">
        <is>
          <t>K2-3</t>
        </is>
      </c>
      <c r="N1403" s="7" t="n">
        <v>0</v>
      </c>
      <c r="O1403" s="4" t="n"/>
      <c r="P1403" s="2" t="inlineStr">
        <is>
          <t>45111230</t>
        </is>
      </c>
      <c r="Q1403" s="8" t="inlineStr">
        <is>
          <t>Ver</t>
        </is>
      </c>
      <c r="R1403" s="8" t="inlineStr">
        <is>
          <t>PCAP</t>
        </is>
      </c>
      <c r="S1403" s="9" t="n">
        <v>46310</v>
      </c>
      <c r="T1403" s="3" t="n">
        <v>46311.40202546296</v>
      </c>
      <c r="U1403" s="2" t="n"/>
    </row>
    <row r="1404">
      <c r="A1404" s="2" t="inlineStr">
        <is>
          <t>Resuelta</t>
        </is>
      </c>
      <c r="B1404" s="3" t="n">
        <v>46286.58333333334</v>
      </c>
      <c r="C1404" s="5" t="n">
        <v>85680</v>
      </c>
      <c r="D1404" s="5" t="n">
        <v>85680</v>
      </c>
      <c r="E1404" s="2" t="inlineStr">
        <is>
          <t>Comunitat Valenciana</t>
        </is>
      </c>
      <c r="F1404" s="2" t="inlineStr">
        <is>
          <t>Castellón</t>
        </is>
      </c>
      <c r="G1404" s="2" t="n"/>
      <c r="H1404" s="2" t="inlineStr">
        <is>
          <t>Empresa de Transformación Agraria S.A.,S.M.E., M.P., (TRAGSA)</t>
        </is>
      </c>
      <c r="I1404" s="2" t="inlineStr">
        <is>
          <t>UT2 obra ejecución de las obras de revestimiento compuesto para la impermeabilización de la balsa de abastecimiento ganadero en el término municipal de Morella Castellón a adjudicar por procedimiento abierto simplificado</t>
        </is>
      </c>
      <c r="J1404" s="2" t="inlineStr">
        <is>
          <t>TSA0083894</t>
        </is>
      </c>
      <c r="K1404" s="2" t="inlineStr">
        <is>
          <t>Abierto simplificado</t>
        </is>
      </c>
      <c r="L1404" s="6" t="n">
        <v>2</v>
      </c>
      <c r="M1404" s="2" t="n"/>
      <c r="N1404" s="7" t="n">
        <v>0</v>
      </c>
      <c r="O1404" s="4" t="n"/>
      <c r="P1404" s="2" t="inlineStr">
        <is>
          <t>45261420</t>
        </is>
      </c>
      <c r="Q1404" s="8" t="inlineStr">
        <is>
          <t>Ver</t>
        </is>
      </c>
      <c r="R1404" s="8" t="inlineStr">
        <is>
          <t>PCAP</t>
        </is>
      </c>
      <c r="S1404" s="9" t="n">
        <v>46310</v>
      </c>
      <c r="T1404" s="3" t="n">
        <v>46311.39993055556</v>
      </c>
      <c r="U1404" s="2" t="inlineStr">
        <is>
          <t>2026-10-19: estado ADJ → RES</t>
        </is>
      </c>
    </row>
    <row r="1405">
      <c r="A1405" s="2" t="inlineStr">
        <is>
          <t>Pendiente de adjudicación</t>
        </is>
      </c>
      <c r="B1405" s="3" t="n">
        <v>46280.99930555555</v>
      </c>
      <c r="C1405" s="5" t="n">
        <v>269845.17</v>
      </c>
      <c r="D1405" s="5" t="n">
        <v>269845.17</v>
      </c>
      <c r="E1405" s="2" t="inlineStr">
        <is>
          <t>Andalucía</t>
        </is>
      </c>
      <c r="F1405" s="2" t="inlineStr">
        <is>
          <t>Jaén</t>
        </is>
      </c>
      <c r="G1405" s="2" t="inlineStr">
        <is>
          <t>Santiago-Pontones (Jaén)</t>
        </is>
      </c>
      <c r="H1405" s="2" t="inlineStr">
        <is>
          <t>Alcaldía del Ayuntamiento de Santiago-Pontones</t>
        </is>
      </c>
      <c r="I1405"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1405" s="2" t="inlineStr">
        <is>
          <t>601/2024_CC</t>
        </is>
      </c>
      <c r="K1405" s="2" t="inlineStr">
        <is>
          <t>Abierto simplificado</t>
        </is>
      </c>
      <c r="L1405" s="6" t="n"/>
      <c r="M1405" s="2" t="inlineStr">
        <is>
          <t>C8-1; C6-1; C5-1; C1-1; C9-1; C3-1; C7-1; C2-1; C4-1</t>
        </is>
      </c>
      <c r="N1405" s="7" t="n">
        <v>0</v>
      </c>
      <c r="O1405" s="4" t="n"/>
      <c r="P1405" s="2" t="inlineStr">
        <is>
          <t>45211340; 45211300</t>
        </is>
      </c>
      <c r="Q1405" s="8" t="inlineStr">
        <is>
          <t>Ver</t>
        </is>
      </c>
      <c r="R1405" s="8" t="inlineStr">
        <is>
          <t>PCAP</t>
        </is>
      </c>
      <c r="S1405" s="9" t="n">
        <v>46310</v>
      </c>
      <c r="T1405" s="3" t="n">
        <v>46311.39715277778</v>
      </c>
      <c r="U1405" s="2" t="n"/>
    </row>
    <row r="1406">
      <c r="A1406" s="2" t="inlineStr">
        <is>
          <t>Adjudicada</t>
        </is>
      </c>
      <c r="B1406" s="3" t="n">
        <v>46265.58333333334</v>
      </c>
      <c r="C1406" s="5" t="n">
        <v>84047.8</v>
      </c>
      <c r="D1406" s="5" t="n">
        <v>84047.8</v>
      </c>
      <c r="E1406" s="2" t="inlineStr">
        <is>
          <t>Comunitat Valenciana</t>
        </is>
      </c>
      <c r="F1406" s="2" t="inlineStr">
        <is>
          <t>Valencia</t>
        </is>
      </c>
      <c r="G1406" s="2" t="inlineStr">
        <is>
          <t>Requena</t>
        </is>
      </c>
      <c r="H1406" s="2" t="inlineStr">
        <is>
          <t>Alcaldía del Ayuntamiento de Requena</t>
        </is>
      </c>
      <c r="I1406" s="2" t="inlineStr">
        <is>
          <t>Reforma parcial cafetería y aledaños del Centro Social de Casas de Eufemia</t>
        </is>
      </c>
      <c r="J1406" s="2" t="inlineStr">
        <is>
          <t>2910093X</t>
        </is>
      </c>
      <c r="K1406" s="2" t="inlineStr">
        <is>
          <t>Abierto simplificado</t>
        </is>
      </c>
      <c r="L1406" s="6" t="n">
        <v>3</v>
      </c>
      <c r="M1406" s="2" t="n"/>
      <c r="N1406" s="7" t="n">
        <v>0</v>
      </c>
      <c r="O1406" s="4" t="n"/>
      <c r="P1406" s="2" t="inlineStr">
        <is>
          <t>45000000</t>
        </is>
      </c>
      <c r="Q1406" s="8" t="inlineStr">
        <is>
          <t>Ver</t>
        </is>
      </c>
      <c r="R1406" s="8" t="inlineStr">
        <is>
          <t>PCAP</t>
        </is>
      </c>
      <c r="S1406" s="9" t="n">
        <v>46314</v>
      </c>
      <c r="T1406" s="3" t="n">
        <v>46311.39710648148</v>
      </c>
      <c r="U1406" s="2" t="n"/>
    </row>
    <row r="1407">
      <c r="A1407" s="2" t="inlineStr">
        <is>
          <t>Adjudicada</t>
        </is>
      </c>
      <c r="B1407" s="3" t="n">
        <v>46128.58333333334</v>
      </c>
      <c r="C1407" s="5" t="n">
        <v>3616207.43</v>
      </c>
      <c r="D1407" s="5" t="n">
        <v>3977828.17</v>
      </c>
      <c r="E1407" s="2" t="inlineStr">
        <is>
          <t>Comunitat Valenciana</t>
        </is>
      </c>
      <c r="F1407" s="2" t="inlineStr">
        <is>
          <t>Alicante</t>
        </is>
      </c>
      <c r="G1407" s="2" t="inlineStr">
        <is>
          <t>Dénia, Alicante</t>
        </is>
      </c>
      <c r="H1407" s="2" t="inlineStr">
        <is>
          <t>Dirección General de Gestión Económica, Contratación e Infraestructuras de la Conselleria de Sanidad</t>
        </is>
      </c>
      <c r="I1407" s="2" t="inlineStr">
        <is>
          <t>obras mediante procedimiento abierto, para la mejora de la eficiencia energetica de la produccion del sistema de refrigeracion del hospital la pedrera (denia).</t>
        </is>
      </c>
      <c r="J1407" s="2" t="inlineStr">
        <is>
          <t>82/2026</t>
        </is>
      </c>
      <c r="K1407" s="2" t="inlineStr">
        <is>
          <t>Abierto</t>
        </is>
      </c>
      <c r="L1407" s="6" t="n">
        <v>9</v>
      </c>
      <c r="M1407" s="2" t="inlineStr">
        <is>
          <t>J2-4</t>
        </is>
      </c>
      <c r="N1407" s="7" t="n">
        <v>0.1</v>
      </c>
      <c r="O1407" s="4" t="n"/>
      <c r="P1407" s="2" t="inlineStr">
        <is>
          <t>45331220</t>
        </is>
      </c>
      <c r="Q1407" s="8" t="inlineStr">
        <is>
          <t>Ver</t>
        </is>
      </c>
      <c r="R1407" s="8" t="inlineStr">
        <is>
          <t>PCAP</t>
        </is>
      </c>
      <c r="S1407" s="9" t="n">
        <v>46314</v>
      </c>
      <c r="T1407" s="3" t="n">
        <v>46311.39643518518</v>
      </c>
      <c r="U1407" s="2" t="n"/>
    </row>
    <row r="1408">
      <c r="A1408" s="2" t="inlineStr">
        <is>
          <t>Pendiente de adjudicación</t>
        </is>
      </c>
      <c r="B1408" s="3" t="n">
        <v>46288.58333333334</v>
      </c>
      <c r="C1408" s="5" t="n">
        <v>175123.22</v>
      </c>
      <c r="D1408" s="5" t="n">
        <v>175123.22</v>
      </c>
      <c r="E1408" s="2" t="inlineStr">
        <is>
          <t>Andalucía</t>
        </is>
      </c>
      <c r="F1408" s="2" t="inlineStr">
        <is>
          <t>Sevilla</t>
        </is>
      </c>
      <c r="G1408" s="2" t="n"/>
      <c r="H1408" s="2" t="inlineStr">
        <is>
          <t>Junta de Gobierno Local del Ayuntamiento de Osuna</t>
        </is>
      </c>
      <c r="I1408"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1408" s="2" t="inlineStr">
        <is>
          <t>2342/2026</t>
        </is>
      </c>
      <c r="K1408" s="2" t="inlineStr">
        <is>
          <t>Abierto</t>
        </is>
      </c>
      <c r="L1408" s="6" t="n">
        <v>8</v>
      </c>
      <c r="M1408" s="2" t="n"/>
      <c r="N1408" s="7" t="n">
        <v>0.45</v>
      </c>
      <c r="O1408" s="4" t="n"/>
      <c r="P1408" s="2" t="inlineStr">
        <is>
          <t>45232400; 45233252; 45232150</t>
        </is>
      </c>
      <c r="Q1408" s="8" t="inlineStr">
        <is>
          <t>Ver</t>
        </is>
      </c>
      <c r="R1408" s="8" t="inlineStr">
        <is>
          <t>PCAP</t>
        </is>
      </c>
      <c r="S1408" s="9" t="n">
        <v>46310</v>
      </c>
      <c r="T1408" s="3" t="n">
        <v>46311.39373842593</v>
      </c>
      <c r="U1408" s="2" t="n"/>
    </row>
    <row r="1409">
      <c r="A1409" s="2" t="inlineStr">
        <is>
          <t>Resuelta</t>
        </is>
      </c>
      <c r="B1409" s="3" t="n">
        <v>46296.35416666666</v>
      </c>
      <c r="C1409" s="5" t="n">
        <v>30924.58</v>
      </c>
      <c r="D1409" s="5" t="n">
        <v>30924.58</v>
      </c>
      <c r="E1409" s="2" t="inlineStr">
        <is>
          <t>Andalucía</t>
        </is>
      </c>
      <c r="F1409" s="2" t="inlineStr">
        <is>
          <t>Cádiz</t>
        </is>
      </c>
      <c r="G1409" s="2" t="n"/>
      <c r="H1409" s="2" t="inlineStr">
        <is>
          <t>Intendente de San Fernando</t>
        </is>
      </c>
      <c r="I1409" s="2" t="inlineStr">
        <is>
          <t>INFRA 26-061 CB Reparaciones de línea eléctrica en baja tensión en canalización subterránea en la Clica. Lote 7</t>
        </is>
      </c>
      <c r="J1409" s="2" t="inlineStr">
        <is>
          <t>2026/AR43U/00002530E</t>
        </is>
      </c>
      <c r="K1409" s="2" t="inlineStr">
        <is>
          <t>Abierto</t>
        </is>
      </c>
      <c r="L1409" s="6" t="n">
        <v>0.3</v>
      </c>
      <c r="M1409" s="2" t="n"/>
      <c r="N1409" s="7" t="n">
        <v>0</v>
      </c>
      <c r="O1409" s="4" t="n"/>
      <c r="P1409" s="2" t="inlineStr">
        <is>
          <t>45310000</t>
        </is>
      </c>
      <c r="Q1409" s="8" t="inlineStr">
        <is>
          <t>Ver</t>
        </is>
      </c>
      <c r="R1409" s="8" t="inlineStr">
        <is>
          <t>PCAP</t>
        </is>
      </c>
      <c r="S1409" s="9" t="n">
        <v>46310</v>
      </c>
      <c r="T1409" s="3" t="n">
        <v>46311.39293981482</v>
      </c>
      <c r="U1409" s="2" t="n"/>
    </row>
    <row r="1410">
      <c r="A1410" s="2" t="inlineStr">
        <is>
          <t>Pendiente de adjudicación</t>
        </is>
      </c>
      <c r="B1410" s="3" t="n">
        <v>46310.99930555555</v>
      </c>
      <c r="C1410" s="5" t="n">
        <v>58267.78</v>
      </c>
      <c r="D1410" s="5" t="n">
        <v>58267.78</v>
      </c>
      <c r="E1410" s="2" t="inlineStr">
        <is>
          <t>Andalucía</t>
        </is>
      </c>
      <c r="F1410" s="2" t="inlineStr">
        <is>
          <t>Jaén</t>
        </is>
      </c>
      <c r="G1410" s="2" t="inlineStr">
        <is>
          <t>Lahiguera</t>
        </is>
      </c>
      <c r="H1410" s="2" t="inlineStr">
        <is>
          <t>Alcaldía del Ayuntamiento de Lahiguera</t>
        </is>
      </c>
      <c r="I1410" s="2" t="inlineStr">
        <is>
          <t>Nueva zona deportiva para fomento del envejecimiento activo en la piscina municipal de Lahiguera (Jaén).</t>
        </is>
      </c>
      <c r="J1410" s="2" t="inlineStr">
        <is>
          <t>491/2026</t>
        </is>
      </c>
      <c r="K1410" s="2" t="inlineStr">
        <is>
          <t>Abierto simplificado</t>
        </is>
      </c>
      <c r="L1410" s="6" t="n">
        <v>4</v>
      </c>
      <c r="M1410" s="2" t="n"/>
      <c r="N1410" s="7" t="n">
        <v>0</v>
      </c>
      <c r="O1410" s="4" t="n"/>
      <c r="P1410" s="2" t="inlineStr">
        <is>
          <t>45212200; 45212290; 45000000</t>
        </is>
      </c>
      <c r="Q1410" s="8" t="inlineStr">
        <is>
          <t>Ver</t>
        </is>
      </c>
      <c r="R1410" s="8" t="inlineStr">
        <is>
          <t>PCAP</t>
        </is>
      </c>
      <c r="S1410" s="9" t="n">
        <v>46314</v>
      </c>
      <c r="T1410" s="3" t="n">
        <v>46311.39043981482</v>
      </c>
      <c r="U1410" s="2" t="n"/>
    </row>
    <row r="1411">
      <c r="A1411" s="2" t="inlineStr">
        <is>
          <t>Plazo vencido</t>
        </is>
      </c>
      <c r="B1411" s="3" t="n">
        <v>46323.41666666666</v>
      </c>
      <c r="C1411" s="5" t="n">
        <v>87105.03999999999</v>
      </c>
      <c r="D1411" s="5" t="n">
        <v>87105.03999999999</v>
      </c>
      <c r="E1411" s="2" t="inlineStr">
        <is>
          <t>Andalucía</t>
        </is>
      </c>
      <c r="F1411" s="2" t="inlineStr">
        <is>
          <t>Sevilla</t>
        </is>
      </c>
      <c r="G1411" s="2" t="n"/>
      <c r="H1411" s="2" t="inlineStr">
        <is>
          <t>ADIF - Presidencia</t>
        </is>
      </c>
      <c r="I1411" s="2" t="inlineStr">
        <is>
          <t>Obras de ejecución del proyecto simplificado de mejora de las instalaciones de la estación de Marchena (Sevilla).</t>
        </is>
      </c>
      <c r="J1411" s="2" t="inlineStr">
        <is>
          <t>3.26/32108.0164</t>
        </is>
      </c>
      <c r="K1411" s="2" t="inlineStr">
        <is>
          <t>Abierto simplificado</t>
        </is>
      </c>
      <c r="L1411" s="6" t="n">
        <v>5</v>
      </c>
      <c r="M1411" s="2" t="n"/>
      <c r="N1411" s="7" t="n">
        <v>0</v>
      </c>
      <c r="O1411" s="4" t="n"/>
      <c r="P1411" s="2" t="inlineStr">
        <is>
          <t>45453000</t>
        </is>
      </c>
      <c r="Q1411" s="8" t="inlineStr">
        <is>
          <t>Ver</t>
        </is>
      </c>
      <c r="R1411" s="8" t="inlineStr">
        <is>
          <t>PCAP</t>
        </is>
      </c>
      <c r="S1411" s="9" t="n">
        <v>46310</v>
      </c>
      <c r="T1411" s="3" t="n">
        <v>46311.39019675926</v>
      </c>
      <c r="U1411" s="2" t="n"/>
    </row>
    <row r="1412">
      <c r="A1412" s="2" t="inlineStr">
        <is>
          <t>Pendiente de adjudicación</t>
        </is>
      </c>
      <c r="B1412" s="3" t="n">
        <v>46303.99930555555</v>
      </c>
      <c r="C1412" s="5" t="n">
        <v>44165.57</v>
      </c>
      <c r="D1412" s="5" t="n">
        <v>48582.12</v>
      </c>
      <c r="E1412" s="2" t="inlineStr">
        <is>
          <t>Comunitat Valenciana</t>
        </is>
      </c>
      <c r="F1412" s="2" t="inlineStr">
        <is>
          <t>Castellón</t>
        </is>
      </c>
      <c r="G1412" s="2" t="n"/>
      <c r="H1412" s="2" t="inlineStr">
        <is>
          <t>Junta de Gobierno del Ayuntamiento de La Vall d'Uixó</t>
        </is>
      </c>
      <c r="I1412" s="2" t="inlineStr">
        <is>
          <t>Obras de remodelación viaria de la C/ Sanchis Tarazona entre la Pza. Del Centro y la C/ Concepción ( PLAN IMPULSA)</t>
        </is>
      </c>
      <c r="J1412" s="2" t="inlineStr">
        <is>
          <t>JGL-OBR/2026000046</t>
        </is>
      </c>
      <c r="K1412" s="2" t="inlineStr">
        <is>
          <t>Abierto simplificado</t>
        </is>
      </c>
      <c r="L1412" s="6" t="n">
        <v>2</v>
      </c>
      <c r="M1412" s="2" t="n"/>
      <c r="N1412" s="7" t="n">
        <v>0</v>
      </c>
      <c r="O1412" s="4" t="n"/>
      <c r="P1412" s="2" t="inlineStr">
        <is>
          <t>45233200</t>
        </is>
      </c>
      <c r="Q1412" s="8" t="inlineStr">
        <is>
          <t>Ver</t>
        </is>
      </c>
      <c r="R1412" s="8" t="inlineStr">
        <is>
          <t>PCAP</t>
        </is>
      </c>
      <c r="S1412" s="9" t="n">
        <v>46314</v>
      </c>
      <c r="T1412" s="3" t="n">
        <v>46311.38953703704</v>
      </c>
      <c r="U1412" s="2" t="n"/>
    </row>
    <row r="1413">
      <c r="A1413" s="2" t="inlineStr">
        <is>
          <t>Pendiente de adjudicación</t>
        </is>
      </c>
      <c r="B1413" s="3" t="n">
        <v>46302.99930555555</v>
      </c>
      <c r="C1413" s="5" t="n">
        <v>46392.86</v>
      </c>
      <c r="D1413" s="5" t="n">
        <v>46392.86</v>
      </c>
      <c r="E1413" s="2" t="inlineStr">
        <is>
          <t>Comunitat Valenciana</t>
        </is>
      </c>
      <c r="F1413" s="2" t="inlineStr">
        <is>
          <t>Valencia</t>
        </is>
      </c>
      <c r="G1413" s="2" t="inlineStr">
        <is>
          <t>Mislata</t>
        </is>
      </c>
      <c r="H1413" s="2" t="inlineStr">
        <is>
          <t>Alcaldía del Ayuntamiento de Mislata</t>
        </is>
      </c>
      <c r="I1413" s="2" t="inlineStr">
        <is>
          <t>Ejecución de la obra denominada Reconstrucción de los contenedores soterrados dispuestos en la Avenida de la Paz de Mislata, financiada por la Administración General del Estado, a través del Ministerio de Política Territorial y Memoria Democrática.</t>
        </is>
      </c>
      <c r="J1413" s="2" t="inlineStr">
        <is>
          <t>26-O-11</t>
        </is>
      </c>
      <c r="K1413" s="2" t="inlineStr">
        <is>
          <t>Abierto simplificado</t>
        </is>
      </c>
      <c r="L1413" s="6" t="n">
        <v>5</v>
      </c>
      <c r="M1413" s="2" t="n"/>
      <c r="N1413" s="7" t="n">
        <v>0</v>
      </c>
      <c r="O1413" s="4" t="n"/>
      <c r="P1413" s="2" t="inlineStr">
        <is>
          <t>45233222; 45351000; 45310000</t>
        </is>
      </c>
      <c r="Q1413" s="8" t="inlineStr">
        <is>
          <t>Ver</t>
        </is>
      </c>
      <c r="R1413" s="8" t="inlineStr">
        <is>
          <t>PCAP</t>
        </is>
      </c>
      <c r="S1413" s="9" t="n">
        <v>46314</v>
      </c>
      <c r="T1413" s="3" t="n">
        <v>46311.38917824074</v>
      </c>
      <c r="U1413" s="2" t="n"/>
    </row>
    <row r="1414">
      <c r="A1414" s="2" t="inlineStr">
        <is>
          <t>Adjudicada</t>
        </is>
      </c>
      <c r="B1414" s="3" t="n">
        <v>46260.99930555555</v>
      </c>
      <c r="C1414" s="5" t="n">
        <v>398798.83</v>
      </c>
      <c r="D1414" s="5" t="n">
        <v>398798.83</v>
      </c>
      <c r="E1414" s="2" t="inlineStr">
        <is>
          <t>Comunitat Valenciana</t>
        </is>
      </c>
      <c r="F1414" s="2" t="inlineStr">
        <is>
          <t>Castellón</t>
        </is>
      </c>
      <c r="G1414" s="2" t="n"/>
      <c r="H1414" s="2" t="inlineStr">
        <is>
          <t>Junta de Gobierno del Ayuntamiento de Castellón de la Plana</t>
        </is>
      </c>
      <c r="I1414" s="2" t="inlineStr">
        <is>
          <t>Obras de adecuación a normativa de los ascensores en edificios del Ayuntamiento de Castelló de la Plana</t>
        </is>
      </c>
      <c r="J1414" s="2" t="inlineStr">
        <is>
          <t>58157/2026</t>
        </is>
      </c>
      <c r="K1414" s="2" t="inlineStr">
        <is>
          <t>Abierto</t>
        </is>
      </c>
      <c r="L1414" s="6" t="n">
        <v>4</v>
      </c>
      <c r="M1414" s="2" t="n"/>
      <c r="N1414" s="7" t="n">
        <v>0.364</v>
      </c>
      <c r="O1414" s="4" t="n"/>
      <c r="P1414" s="2" t="inlineStr">
        <is>
          <t>45313100; 45331210; 45310000; 45350000</t>
        </is>
      </c>
      <c r="Q1414" s="8" t="inlineStr">
        <is>
          <t>Ver</t>
        </is>
      </c>
      <c r="R1414" s="8" t="inlineStr">
        <is>
          <t>PCAP</t>
        </is>
      </c>
      <c r="S1414" s="9" t="n">
        <v>46314</v>
      </c>
      <c r="T1414" s="3" t="n">
        <v>46311.38188657408</v>
      </c>
      <c r="U1414" s="2" t="n"/>
    </row>
    <row r="1415">
      <c r="A1415" s="2" t="inlineStr">
        <is>
          <t>Resuelta</t>
        </is>
      </c>
      <c r="B1415" s="3" t="n">
        <v>46308.99930555555</v>
      </c>
      <c r="C1415" s="5" t="n">
        <v>114889.02</v>
      </c>
      <c r="D1415" s="5" t="n">
        <v>114889.02</v>
      </c>
      <c r="E1415" s="2" t="inlineStr">
        <is>
          <t>Andalucía</t>
        </is>
      </c>
      <c r="F1415" s="2" t="inlineStr">
        <is>
          <t>Málaga</t>
        </is>
      </c>
      <c r="G1415" s="2" t="inlineStr">
        <is>
          <t>Villanueva del Rosario</t>
        </is>
      </c>
      <c r="H1415" s="2" t="inlineStr">
        <is>
          <t>Alcaldía del Ayuntamiento de Villanueva del Rosario</t>
        </is>
      </c>
      <c r="I1415" s="2" t="inlineStr">
        <is>
          <t>El objeto de la licitación es la ejecución de las Obras contempladas en el Proyecto de Obras de demolición y cerramiento provisional de almacén municipal (PO-IM 7/2026).</t>
        </is>
      </c>
      <c r="J1415" s="2" t="inlineStr">
        <is>
          <t>VR20261775</t>
        </is>
      </c>
      <c r="K1415" s="2" t="inlineStr">
        <is>
          <t>Abierto simplificado</t>
        </is>
      </c>
      <c r="L1415" s="6" t="n">
        <v>4</v>
      </c>
      <c r="M1415" s="2" t="n"/>
      <c r="N1415" s="7" t="n">
        <v>0</v>
      </c>
      <c r="O1415" s="4" t="n"/>
      <c r="P1415" s="2" t="inlineStr">
        <is>
          <t>45111000; 45262660; 45000000; 45261000</t>
        </is>
      </c>
      <c r="Q1415" s="8" t="inlineStr">
        <is>
          <t>Ver</t>
        </is>
      </c>
      <c r="R1415" s="8" t="inlineStr">
        <is>
          <t>PCAP</t>
        </is>
      </c>
      <c r="S1415" s="9" t="n">
        <v>46314</v>
      </c>
      <c r="T1415" s="3" t="n">
        <v>46311.38104166667</v>
      </c>
      <c r="U1415" s="2" t="n"/>
    </row>
    <row r="1416">
      <c r="A1416" s="2" t="inlineStr">
        <is>
          <t>Anuncio previo</t>
        </is>
      </c>
      <c r="B1416" s="3" t="n"/>
      <c r="C1416" s="5" t="n">
        <v>15851835.13</v>
      </c>
      <c r="D1416" s="5" t="n">
        <v>15851835.13</v>
      </c>
      <c r="E1416" s="2" t="inlineStr">
        <is>
          <t>Andalucía</t>
        </is>
      </c>
      <c r="F1416" s="2" t="inlineStr">
        <is>
          <t>Granada</t>
        </is>
      </c>
      <c r="G1416" s="2" t="n"/>
      <c r="H1416" s="2" t="inlineStr">
        <is>
          <t>Pleno de la Diputación Provincial de Granada</t>
        </is>
      </c>
      <c r="I1416"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1416" s="2" t="inlineStr">
        <is>
          <t>OB-083/26</t>
        </is>
      </c>
      <c r="K1416" s="2" t="inlineStr">
        <is>
          <t>Abierto</t>
        </is>
      </c>
      <c r="L1416" s="6" t="n"/>
      <c r="M1416" s="2" t="n"/>
      <c r="N1416" s="7" t="n"/>
      <c r="O1416" s="4" t="n"/>
      <c r="P1416" s="2" t="inlineStr">
        <is>
          <t>45215221; 45210000</t>
        </is>
      </c>
      <c r="Q1416" s="8" t="inlineStr">
        <is>
          <t>Ver</t>
        </is>
      </c>
      <c r="R1416" s="2" t="n"/>
      <c r="S1416" s="9" t="n">
        <v>46311</v>
      </c>
      <c r="T1416" s="3" t="n">
        <v>46311.375</v>
      </c>
      <c r="U1416" s="2" t="n"/>
    </row>
    <row r="1417">
      <c r="A1417" s="2" t="inlineStr">
        <is>
          <t>Resuelta</t>
        </is>
      </c>
      <c r="B1417" s="3" t="n">
        <v>46296.35416666666</v>
      </c>
      <c r="C1417" s="5" t="n">
        <v>112882.05</v>
      </c>
      <c r="D1417" s="5" t="n">
        <v>112882.05</v>
      </c>
      <c r="E1417" s="2" t="inlineStr">
        <is>
          <t>Andalucía</t>
        </is>
      </c>
      <c r="F1417" s="2" t="inlineStr">
        <is>
          <t>Cádiz</t>
        </is>
      </c>
      <c r="G1417" s="2" t="n"/>
      <c r="H1417" s="2" t="inlineStr">
        <is>
          <t>Intendente de San Fernando</t>
        </is>
      </c>
      <c r="I1417" s="2" t="inlineStr">
        <is>
          <t>INFRA 26-050 CB Resanado elementos estructurales en edificio Barrio industrial Esubo. Lote 1</t>
        </is>
      </c>
      <c r="J1417" s="2" t="inlineStr">
        <is>
          <t>2026/AR43U/00002548E</t>
        </is>
      </c>
      <c r="K1417" s="2" t="inlineStr">
        <is>
          <t>Abierto</t>
        </is>
      </c>
      <c r="L1417" s="6" t="n">
        <v>3.7</v>
      </c>
      <c r="M1417" s="2" t="n"/>
      <c r="N1417" s="7" t="n">
        <v>0</v>
      </c>
      <c r="O1417" s="4" t="n"/>
      <c r="P1417" s="2" t="inlineStr">
        <is>
          <t>45000000</t>
        </is>
      </c>
      <c r="Q1417" s="8" t="inlineStr">
        <is>
          <t>Ver</t>
        </is>
      </c>
      <c r="R1417" s="8" t="inlineStr">
        <is>
          <t>PCAP</t>
        </is>
      </c>
      <c r="S1417" s="9" t="n">
        <v>46311</v>
      </c>
      <c r="T1417" s="3" t="n">
        <v>46311.37362268518</v>
      </c>
      <c r="U1417" s="2" t="n"/>
    </row>
    <row r="1418">
      <c r="A1418" s="2" t="inlineStr">
        <is>
          <t>Pendiente de adjudicación</t>
        </is>
      </c>
      <c r="B1418" s="3" t="n">
        <v>46302.99930555555</v>
      </c>
      <c r="C1418" s="5" t="n">
        <v>195218.29</v>
      </c>
      <c r="D1418" s="5" t="n">
        <v>253783.78</v>
      </c>
      <c r="E1418" s="2" t="inlineStr">
        <is>
          <t>Comunitat Valenciana</t>
        </is>
      </c>
      <c r="F1418" s="2" t="inlineStr">
        <is>
          <t>Valencia</t>
        </is>
      </c>
      <c r="G1418" s="2" t="n"/>
      <c r="H1418" s="2" t="inlineStr">
        <is>
          <t>Consorcio Hospital General Universitario de Valencia</t>
        </is>
      </c>
      <c r="I1418" s="2" t="inlineStr">
        <is>
          <t>Es la ejecuciin de la obra de derribo del edificio de cogeneración del hospital general universitario de valencia</t>
        </is>
      </c>
      <c r="J1418" s="2" t="inlineStr">
        <is>
          <t>CMAYOR/2026/HGUV/2032</t>
        </is>
      </c>
      <c r="K1418" s="2" t="inlineStr">
        <is>
          <t>Abierto simplificado</t>
        </is>
      </c>
      <c r="L1418" s="6" t="n">
        <v>2.1</v>
      </c>
      <c r="M1418" s="2" t="n"/>
      <c r="N1418" s="7" t="n">
        <v>0.25</v>
      </c>
      <c r="O1418" s="4" t="n"/>
      <c r="P1418" s="2" t="inlineStr">
        <is>
          <t>45215140; 45215100</t>
        </is>
      </c>
      <c r="Q1418" s="8" t="inlineStr">
        <is>
          <t>Ver</t>
        </is>
      </c>
      <c r="R1418" s="8" t="inlineStr">
        <is>
          <t>PCAP</t>
        </is>
      </c>
      <c r="S1418" s="9" t="n">
        <v>46314</v>
      </c>
      <c r="T1418" s="3" t="n">
        <v>46311.3708449074</v>
      </c>
      <c r="U1418" s="2" t="n"/>
    </row>
    <row r="1419">
      <c r="A1419" s="2" t="inlineStr">
        <is>
          <t>En plazo</t>
        </is>
      </c>
      <c r="B1419" s="3" t="n">
        <v>46324.99930555555</v>
      </c>
      <c r="C1419" s="5" t="n">
        <v>82644.63</v>
      </c>
      <c r="D1419" s="5" t="n">
        <v>82644.63</v>
      </c>
      <c r="E1419" s="2" t="inlineStr">
        <is>
          <t>Andalucía</t>
        </is>
      </c>
      <c r="F1419" s="2" t="inlineStr">
        <is>
          <t>Sevilla</t>
        </is>
      </c>
      <c r="G1419" s="2" t="inlineStr">
        <is>
          <t>Morón de la Frontera</t>
        </is>
      </c>
      <c r="H1419" s="2" t="inlineStr">
        <is>
          <t>Alcaldía del Ayuntamiento de Morón de la Frontera</t>
        </is>
      </c>
      <c r="I1419" s="2" t="inlineStr">
        <is>
          <t>Ejecución de las obras definidas en el proyecto técnico denominado "Mejoras en instalaciones de juegos infantiles y gimnásticos".</t>
        </is>
      </c>
      <c r="J1419" s="2" t="inlineStr">
        <is>
          <t>1113/2026</t>
        </is>
      </c>
      <c r="K1419" s="2" t="inlineStr">
        <is>
          <t>Abierto simplificado</t>
        </is>
      </c>
      <c r="L1419" s="6" t="n">
        <v>3</v>
      </c>
      <c r="M1419" s="2" t="n"/>
      <c r="N1419" s="7" t="n">
        <v>0.2</v>
      </c>
      <c r="O1419" s="4" t="n"/>
      <c r="P1419" s="2" t="inlineStr">
        <is>
          <t>45212140; 45236210; 37440000; 45236290; 45212200; 37535200; 37410000</t>
        </is>
      </c>
      <c r="Q1419" s="8" t="inlineStr">
        <is>
          <t>Ver</t>
        </is>
      </c>
      <c r="R1419" s="8" t="inlineStr">
        <is>
          <t>PCAP</t>
        </is>
      </c>
      <c r="S1419" s="9" t="n">
        <v>46310</v>
      </c>
      <c r="T1419" s="3" t="n">
        <v>46311.3669212963</v>
      </c>
      <c r="U1419" s="2" t="n"/>
    </row>
    <row r="1420">
      <c r="A1420" s="2" t="inlineStr">
        <is>
          <t>Resuelta</t>
        </is>
      </c>
      <c r="B1420" s="3" t="n">
        <v>46223.99930555555</v>
      </c>
      <c r="C1420" s="5" t="n">
        <v>194214.88</v>
      </c>
      <c r="D1420" s="5" t="n">
        <v>194214.88</v>
      </c>
      <c r="E1420" s="2" t="inlineStr">
        <is>
          <t>Comunitat Valenciana</t>
        </is>
      </c>
      <c r="F1420" s="2" t="inlineStr">
        <is>
          <t>Valencia</t>
        </is>
      </c>
      <c r="G1420" s="2" t="n"/>
      <c r="H1420" s="2" t="inlineStr">
        <is>
          <t>Alcaldía del Ayuntamiento de Mislata</t>
        </is>
      </c>
      <c r="I1420" s="2" t="inlineStr">
        <is>
          <t>Ejecución de la obra denominada "Reforma del alumbrado público en diversas zonas del municipio de Mislata".</t>
        </is>
      </c>
      <c r="J1420" s="2" t="inlineStr">
        <is>
          <t>26-O-05</t>
        </is>
      </c>
      <c r="K1420" s="2" t="inlineStr">
        <is>
          <t>Abierto simplificado</t>
        </is>
      </c>
      <c r="L1420" s="6" t="n">
        <v>5</v>
      </c>
      <c r="M1420" s="2" t="n"/>
      <c r="N1420" s="7" t="n">
        <v>0</v>
      </c>
      <c r="O1420" s="4" t="n"/>
      <c r="P1420" s="2" t="inlineStr">
        <is>
          <t>45310000; 45316100; 45311100; 45311200</t>
        </is>
      </c>
      <c r="Q1420" s="8" t="inlineStr">
        <is>
          <t>Ver</t>
        </is>
      </c>
      <c r="R1420" s="8" t="inlineStr">
        <is>
          <t>PCAP</t>
        </is>
      </c>
      <c r="S1420" s="9" t="n">
        <v>46311</v>
      </c>
      <c r="T1420" s="3" t="n">
        <v>46311.3630324074</v>
      </c>
      <c r="U1420" s="2" t="inlineStr">
        <is>
          <t>2026-10-19: estado ADJ → RES</t>
        </is>
      </c>
    </row>
    <row r="1421">
      <c r="A1421" s="2" t="inlineStr">
        <is>
          <t>En plazo</t>
        </is>
      </c>
      <c r="B1421" s="3" t="n">
        <v>46324.99930555555</v>
      </c>
      <c r="C1421" s="5" t="n">
        <v>198888.96</v>
      </c>
      <c r="D1421" s="5" t="n">
        <v>198888.96</v>
      </c>
      <c r="E1421" s="2" t="inlineStr">
        <is>
          <t>Andalucía</t>
        </is>
      </c>
      <c r="F1421" s="2" t="inlineStr">
        <is>
          <t>Cádiz</t>
        </is>
      </c>
      <c r="G1421" s="2" t="inlineStr">
        <is>
          <t>San Roque</t>
        </is>
      </c>
      <c r="H1421" s="2" t="inlineStr">
        <is>
          <t>Alcaldía del Ayuntamiento de San Roque</t>
        </is>
      </c>
      <c r="I1421" s="2" t="inlineStr">
        <is>
          <t>Reparación de las cubiertas del Asilo Municipal y antigua Casa Consistorial</t>
        </is>
      </c>
      <c r="J1421" s="2" t="inlineStr">
        <is>
          <t>5599/2026</t>
        </is>
      </c>
      <c r="K1421" s="2" t="inlineStr">
        <is>
          <t>Abierto simplificado</t>
        </is>
      </c>
      <c r="L1421" s="6" t="n">
        <v>2</v>
      </c>
      <c r="M1421" s="2" t="n"/>
      <c r="N1421" s="7" t="n">
        <v>0</v>
      </c>
      <c r="O1421" s="4" t="n"/>
      <c r="P1421" s="2" t="inlineStr">
        <is>
          <t>45259000</t>
        </is>
      </c>
      <c r="Q1421" s="8" t="inlineStr">
        <is>
          <t>Ver</t>
        </is>
      </c>
      <c r="R1421" s="8" t="inlineStr">
        <is>
          <t>PCAP</t>
        </is>
      </c>
      <c r="S1421" s="9" t="n">
        <v>46314</v>
      </c>
      <c r="T1421" s="3" t="n">
        <v>46311.36070601852</v>
      </c>
      <c r="U1421" s="2" t="n"/>
    </row>
    <row r="1422">
      <c r="A1422" s="2" t="inlineStr">
        <is>
          <t>Pendiente de adjudicación</t>
        </is>
      </c>
      <c r="B1422" s="3" t="n">
        <v>46258.99930555555</v>
      </c>
      <c r="C1422" s="5" t="n">
        <v>209818.49</v>
      </c>
      <c r="D1422" s="5" t="n">
        <v>209818.49</v>
      </c>
      <c r="E1422" s="2" t="inlineStr">
        <is>
          <t>Andalucía</t>
        </is>
      </c>
      <c r="F1422" s="2" t="inlineStr">
        <is>
          <t>Almería</t>
        </is>
      </c>
      <c r="G1422" s="2" t="n"/>
      <c r="H1422" s="2" t="inlineStr">
        <is>
          <t>Alcaldía del Ayuntamiento de Níjar</t>
        </is>
      </c>
      <c r="I1422" s="2" t="inlineStr">
        <is>
          <t>Rehabilitación de calles en Fernán Pérez, Término Municipal de Níjar (Almería)</t>
        </is>
      </c>
      <c r="J1422" s="2" t="inlineStr">
        <is>
          <t>4604/2026</t>
        </is>
      </c>
      <c r="K1422" s="2" t="inlineStr">
        <is>
          <t>Abierto simplificado</t>
        </is>
      </c>
      <c r="L1422" s="6" t="n">
        <v>4</v>
      </c>
      <c r="M1422" s="2" t="n"/>
      <c r="N1422" s="7" t="n">
        <v>0.25</v>
      </c>
      <c r="O1422" s="4" t="n"/>
      <c r="P1422" s="2" t="inlineStr">
        <is>
          <t>45233252</t>
        </is>
      </c>
      <c r="Q1422" s="8" t="inlineStr">
        <is>
          <t>Ver</t>
        </is>
      </c>
      <c r="R1422" s="8" t="inlineStr">
        <is>
          <t>PCAP</t>
        </is>
      </c>
      <c r="S1422" s="9" t="n">
        <v>46314</v>
      </c>
      <c r="T1422" s="3" t="n">
        <v>46311.35327546296</v>
      </c>
      <c r="U1422" s="2" t="n"/>
    </row>
    <row r="1423">
      <c r="A1423" s="2" t="inlineStr">
        <is>
          <t>Pendiente de adjudicación</t>
        </is>
      </c>
      <c r="B1423" s="3" t="n">
        <v>46267.99930555555</v>
      </c>
      <c r="C1423" s="5" t="n">
        <v>495867.77</v>
      </c>
      <c r="D1423" s="5" t="n">
        <v>495867.77</v>
      </c>
      <c r="E1423" s="2" t="inlineStr">
        <is>
          <t>Andalucía</t>
        </is>
      </c>
      <c r="F1423" s="2" t="inlineStr">
        <is>
          <t>Almería</t>
        </is>
      </c>
      <c r="G1423" s="2" t="n"/>
      <c r="H1423" s="2" t="inlineStr">
        <is>
          <t>Alcaldía del Ayuntamiento de Níjar</t>
        </is>
      </c>
      <c r="I1423" s="2" t="inlineStr">
        <is>
          <t>Obras de adecuación y mejora de Camino del Campo, Níjar (Almería)</t>
        </is>
      </c>
      <c r="J1423" s="2" t="inlineStr">
        <is>
          <t>11761/2026</t>
        </is>
      </c>
      <c r="K1423" s="2" t="inlineStr">
        <is>
          <t>Abierto simplificado</t>
        </is>
      </c>
      <c r="L1423" s="6" t="n">
        <v>4</v>
      </c>
      <c r="M1423" s="2" t="n"/>
      <c r="N1423" s="7" t="n">
        <v>0.25</v>
      </c>
      <c r="O1423" s="4" t="n"/>
      <c r="P1423" s="2" t="inlineStr">
        <is>
          <t>45233222</t>
        </is>
      </c>
      <c r="Q1423" s="8" t="inlineStr">
        <is>
          <t>Ver</t>
        </is>
      </c>
      <c r="R1423" s="8" t="inlineStr">
        <is>
          <t>PCAP</t>
        </is>
      </c>
      <c r="S1423" s="9" t="n">
        <v>46314</v>
      </c>
      <c r="T1423" s="3" t="n">
        <v>46311.35079861111</v>
      </c>
      <c r="U1423" s="2" t="n"/>
    </row>
    <row r="1424">
      <c r="A1424" s="2" t="inlineStr">
        <is>
          <t>Pendiente de adjudicación</t>
        </is>
      </c>
      <c r="B1424" s="3" t="n">
        <v>46272.99930555555</v>
      </c>
      <c r="C1424" s="5" t="n">
        <v>147239.67</v>
      </c>
      <c r="D1424" s="5" t="n">
        <v>147239.67</v>
      </c>
      <c r="E1424" s="2" t="inlineStr">
        <is>
          <t>Andalucía</t>
        </is>
      </c>
      <c r="F1424" s="2" t="inlineStr">
        <is>
          <t>Córdoba</t>
        </is>
      </c>
      <c r="G1424" s="2" t="n"/>
      <c r="H1424" s="2" t="inlineStr">
        <is>
          <t>Diputado delegado de Infraestructuras, Sostenibilidad y Agricultura</t>
        </is>
      </c>
      <c r="I1424" s="2" t="inlineStr">
        <is>
          <t>Contratación de las obras de 2ª Fase mejora del Camino del Calderín, en Obejo (Córdoba). Obra incluida en el Plan de Humanización de Entornos Urbanos y Agenda Rural 2024-2027 (Programa de Agenda Rural, bienio 26-27).</t>
        </is>
      </c>
      <c r="J1424" s="2" t="inlineStr">
        <is>
          <t>495/26</t>
        </is>
      </c>
      <c r="K1424" s="2" t="inlineStr">
        <is>
          <t>Abierto</t>
        </is>
      </c>
      <c r="L1424" s="6" t="n">
        <v>3</v>
      </c>
      <c r="M1424" s="2" t="n"/>
      <c r="N1424" s="7" t="n">
        <v>0.4</v>
      </c>
      <c r="O1424" s="4" t="n"/>
      <c r="P1424" s="2" t="inlineStr">
        <is>
          <t>45233160</t>
        </is>
      </c>
      <c r="Q1424" s="8" t="inlineStr">
        <is>
          <t>Ver</t>
        </is>
      </c>
      <c r="R1424" s="8" t="inlineStr">
        <is>
          <t>PCAP</t>
        </is>
      </c>
      <c r="S1424" s="9" t="n">
        <v>46314</v>
      </c>
      <c r="T1424" s="3" t="n">
        <v>46311.34951388889</v>
      </c>
      <c r="U1424" s="2" t="n"/>
    </row>
    <row r="1425">
      <c r="A1425" s="2" t="inlineStr">
        <is>
          <t>Resuelta</t>
        </is>
      </c>
      <c r="B1425" s="3" t="n">
        <v>46195.58333333334</v>
      </c>
      <c r="C1425" s="5" t="n">
        <v>4051488.88</v>
      </c>
      <c r="D1425" s="5" t="n">
        <v>4051488.88</v>
      </c>
      <c r="E1425" s="2" t="inlineStr">
        <is>
          <t>Andalucía</t>
        </is>
      </c>
      <c r="F1425" s="2" t="inlineStr">
        <is>
          <t>Cádiz</t>
        </is>
      </c>
      <c r="G1425" s="2" t="inlineStr">
        <is>
          <t>La Línea de La Concepción</t>
        </is>
      </c>
      <c r="H1425" s="2" t="inlineStr">
        <is>
          <t>Alcaldía del Ayuntamiento de la Línea de la Concepción</t>
        </is>
      </c>
      <c r="I1425" s="2" t="inlineStr">
        <is>
          <t>obra de remodelación de la Plaza de la Constitución de La Línea de la Concepción, cofinanciado mediante senda financiera FEDER a Planes de Actuación Integrados de entidades locales, en el marco de Desarrollo Urbano Sostenible con cargo al Fondo Europeo de Desarrollo Regional en periodo programación 2021-27.</t>
        </is>
      </c>
      <c r="J1425" s="2" t="inlineStr">
        <is>
          <t>46/26</t>
        </is>
      </c>
      <c r="K1425" s="2" t="inlineStr">
        <is>
          <t>Abierto</t>
        </is>
      </c>
      <c r="L1425" s="6" t="n">
        <v>12</v>
      </c>
      <c r="M1425" s="2" t="inlineStr">
        <is>
          <t>C3-3</t>
        </is>
      </c>
      <c r="N1425" s="7" t="n">
        <v>0.25</v>
      </c>
      <c r="O1425" s="4" t="n"/>
      <c r="P1425" s="2" t="inlineStr">
        <is>
          <t>45261420; 45000000; 45261000; 45261400; 45200000; 45260000</t>
        </is>
      </c>
      <c r="Q1425" s="8" t="inlineStr">
        <is>
          <t>Ver</t>
        </is>
      </c>
      <c r="R1425" s="8" t="inlineStr">
        <is>
          <t>PCAP</t>
        </is>
      </c>
      <c r="S1425" s="9" t="n">
        <v>46314</v>
      </c>
      <c r="T1425" s="3" t="n">
        <v>46311.34869212963</v>
      </c>
      <c r="U1425" s="2" t="n"/>
    </row>
    <row r="1426">
      <c r="A1426" s="2" t="inlineStr">
        <is>
          <t>En plazo</t>
        </is>
      </c>
      <c r="B1426" s="3" t="n">
        <v>46331.58333333334</v>
      </c>
      <c r="C1426" s="5" t="n">
        <v>77863.62</v>
      </c>
      <c r="D1426" s="5" t="n">
        <v>77863.62</v>
      </c>
      <c r="E1426" s="2" t="inlineStr">
        <is>
          <t>Comunitat Valenciana</t>
        </is>
      </c>
      <c r="F1426" s="2" t="inlineStr">
        <is>
          <t>Valencia</t>
        </is>
      </c>
      <c r="G1426" s="2" t="inlineStr">
        <is>
          <t>HORTUNAS-REQUENA</t>
        </is>
      </c>
      <c r="H1426" s="2" t="inlineStr">
        <is>
          <t>Alcaldía del Ayuntamiento de Requena</t>
        </is>
      </c>
      <c r="I1426" s="2" t="inlineStr">
        <is>
          <t>Reforma del bar - Centro sociocultural de Hortunas :accesibilidad, climatización, y ventilacion, iluminacion y equipamiento</t>
        </is>
      </c>
      <c r="J1426" s="2" t="inlineStr">
        <is>
          <t>2982725Z</t>
        </is>
      </c>
      <c r="K1426" s="2" t="inlineStr">
        <is>
          <t>Abierto simplificado</t>
        </is>
      </c>
      <c r="L1426" s="6" t="n">
        <v>3</v>
      </c>
      <c r="M1426" s="2" t="n"/>
      <c r="N1426" s="7" t="n">
        <v>0</v>
      </c>
      <c r="O1426" s="4" t="n"/>
      <c r="P1426" s="2" t="inlineStr">
        <is>
          <t>45000000</t>
        </is>
      </c>
      <c r="Q1426" s="8" t="inlineStr">
        <is>
          <t>Ver</t>
        </is>
      </c>
      <c r="R1426" s="8" t="inlineStr">
        <is>
          <t>PCAP</t>
        </is>
      </c>
      <c r="S1426" s="9" t="n">
        <v>46310</v>
      </c>
      <c r="T1426" s="3" t="n">
        <v>46311.34266203704</v>
      </c>
      <c r="U1426" s="2" t="inlineStr">
        <is>
          <t>2026-10-19: plazo 2026-11-02 14:00 → 2026-11-05 14:00</t>
        </is>
      </c>
    </row>
    <row r="1427">
      <c r="A1427" s="2" t="inlineStr">
        <is>
          <t>Resuelta</t>
        </is>
      </c>
      <c r="B1427" s="3" t="n">
        <v>46050.99930555555</v>
      </c>
      <c r="C1427" s="5" t="n">
        <v>60429.42</v>
      </c>
      <c r="D1427" s="5" t="n">
        <v>60429.42</v>
      </c>
      <c r="E1427" s="2" t="inlineStr">
        <is>
          <t>Comunitat Valenciana</t>
        </is>
      </c>
      <c r="F1427" s="2" t="inlineStr">
        <is>
          <t>Alicante</t>
        </is>
      </c>
      <c r="G1427" s="2" t="n"/>
      <c r="H1427" s="2" t="inlineStr">
        <is>
          <t>Presidencia de la Diputación Provincial de Alicante</t>
        </is>
      </c>
      <c r="I1427" s="2" t="inlineStr">
        <is>
          <t>O4S-257/2025 Obras de rehabilitación y sellado del depósito “Atalaya Park” de Benijófar</t>
        </is>
      </c>
      <c r="J1427" s="2" t="inlineStr">
        <is>
          <t>O4S-257/2025</t>
        </is>
      </c>
      <c r="K1427" s="2" t="inlineStr">
        <is>
          <t>Abierto simplificado</t>
        </is>
      </c>
      <c r="L1427" s="6" t="n">
        <v>3</v>
      </c>
      <c r="M1427" s="2" t="n"/>
      <c r="N1427" s="7" t="n">
        <v>0.2</v>
      </c>
      <c r="O1427" s="4" t="n"/>
      <c r="P1427" s="2" t="inlineStr">
        <is>
          <t>45261420</t>
        </is>
      </c>
      <c r="Q1427" s="8" t="inlineStr">
        <is>
          <t>Ver</t>
        </is>
      </c>
      <c r="R1427" s="8" t="inlineStr">
        <is>
          <t>PCAP</t>
        </is>
      </c>
      <c r="S1427" s="9" t="n">
        <v>46310</v>
      </c>
      <c r="T1427" s="3" t="n">
        <v>46311.3402662037</v>
      </c>
      <c r="U1427" s="2" t="inlineStr">
        <is>
          <t>2026-10-19: estado ADJ → RES</t>
        </is>
      </c>
    </row>
    <row r="1428">
      <c r="A1428" s="2" t="inlineStr">
        <is>
          <t>En plazo</t>
        </is>
      </c>
      <c r="B1428" s="3" t="n">
        <v>46325.99930555555</v>
      </c>
      <c r="C1428" s="5" t="n">
        <v>52609.09</v>
      </c>
      <c r="D1428" s="5" t="n">
        <v>52609.09</v>
      </c>
      <c r="E1428" s="2" t="inlineStr">
        <is>
          <t>Andalucía</t>
        </is>
      </c>
      <c r="F1428" s="2" t="inlineStr">
        <is>
          <t>Jaén</t>
        </is>
      </c>
      <c r="G1428" s="2" t="n"/>
      <c r="H1428" s="2" t="inlineStr">
        <is>
          <t>Alcaldía del Ayuntamiento de Bailén</t>
        </is>
      </c>
      <c r="I1428" s="2" t="inlineStr">
        <is>
          <t>Demolición de edificación de vivienda en calle Amargura, nº 4 de Bailén</t>
        </is>
      </c>
      <c r="J1428" s="2" t="inlineStr">
        <is>
          <t>EXPTE. 93/2026</t>
        </is>
      </c>
      <c r="K1428" s="2" t="inlineStr">
        <is>
          <t>Abierto simplificado</t>
        </is>
      </c>
      <c r="L1428" s="6" t="n">
        <v>1</v>
      </c>
      <c r="M1428" s="2" t="n"/>
      <c r="N1428" s="7" t="n">
        <v>0</v>
      </c>
      <c r="O1428" s="4" t="n"/>
      <c r="P1428" s="2" t="inlineStr">
        <is>
          <t>45110000</t>
        </is>
      </c>
      <c r="Q1428" s="8" t="inlineStr">
        <is>
          <t>Ver</t>
        </is>
      </c>
      <c r="R1428" s="8" t="inlineStr">
        <is>
          <t>PCAP</t>
        </is>
      </c>
      <c r="S1428" s="9" t="n">
        <v>46314</v>
      </c>
      <c r="T1428" s="3" t="n">
        <v>46311.3395949074</v>
      </c>
      <c r="U1428" s="2" t="n"/>
    </row>
    <row r="1429">
      <c r="A1429" s="2" t="inlineStr">
        <is>
          <t>Adjudicada</t>
        </is>
      </c>
      <c r="B1429" s="3" t="n">
        <v>46275.58333333334</v>
      </c>
      <c r="C1429" s="5" t="n">
        <v>138404.66</v>
      </c>
      <c r="D1429" s="5" t="n">
        <v>138404.66</v>
      </c>
      <c r="E1429" s="2" t="inlineStr">
        <is>
          <t>Andalucía</t>
        </is>
      </c>
      <c r="F1429" s="2" t="inlineStr">
        <is>
          <t>Córdoba</t>
        </is>
      </c>
      <c r="G1429" s="2" t="inlineStr">
        <is>
          <t>Hinojosa del Duque</t>
        </is>
      </c>
      <c r="H1429" s="2" t="inlineStr">
        <is>
          <t>Alcaldía del Ayuntamiento de Hinojosa del Duque</t>
        </is>
      </c>
      <c r="I1429" s="2" t="inlineStr">
        <is>
          <t>La construcción de un pabellón de nichos en el cementerio municipal de Hinojosa del Duque.</t>
        </is>
      </c>
      <c r="J1429" s="2" t="inlineStr">
        <is>
          <t>GEX 4004/2026</t>
        </is>
      </c>
      <c r="K1429" s="2" t="inlineStr">
        <is>
          <t>Abierto simplificado</t>
        </is>
      </c>
      <c r="L1429" s="6" t="n">
        <v>3</v>
      </c>
      <c r="M1429" s="2" t="n"/>
      <c r="N1429" s="7" t="n">
        <v>0</v>
      </c>
      <c r="O1429" s="4" t="n"/>
      <c r="P1429" s="2" t="inlineStr">
        <is>
          <t>45215400</t>
        </is>
      </c>
      <c r="Q1429" s="8" t="inlineStr">
        <is>
          <t>Ver</t>
        </is>
      </c>
      <c r="R1429" s="8" t="inlineStr">
        <is>
          <t>PCAP</t>
        </is>
      </c>
      <c r="S1429" s="9" t="n">
        <v>46314</v>
      </c>
      <c r="T1429" s="3" t="n">
        <v>46311.33869212963</v>
      </c>
      <c r="U1429" s="2" t="n"/>
    </row>
    <row r="1430">
      <c r="A1430" s="2" t="inlineStr">
        <is>
          <t>Pendiente de adjudicación</t>
        </is>
      </c>
      <c r="B1430" s="3" t="n">
        <v>46280.99930555555</v>
      </c>
      <c r="C1430" s="5" t="n">
        <v>80029.7</v>
      </c>
      <c r="D1430" s="5" t="n">
        <v>80029.7</v>
      </c>
      <c r="E1430" s="2" t="inlineStr">
        <is>
          <t>Andalucía</t>
        </is>
      </c>
      <c r="F1430" s="2" t="inlineStr">
        <is>
          <t>Córdoba</t>
        </is>
      </c>
      <c r="G1430" s="2" t="n"/>
      <c r="H1430" s="2" t="inlineStr">
        <is>
          <t>Diputado delegado de Infraestructuras, Sostenibilidad y Agricultura</t>
        </is>
      </c>
      <c r="I1430" s="2" t="inlineStr">
        <is>
          <t>Contrato de obra de Instalación de juegos infantiles en Parque "Llanos de Cristo", en Puente Genil (Córdoba). Obra incluida en el Plan de Humanización de Entornos Urbanos y Agenda Rural 2024-2027 (bienio 2026-2027).</t>
        </is>
      </c>
      <c r="J1430" s="2" t="inlineStr">
        <is>
          <t>682/26</t>
        </is>
      </c>
      <c r="K1430" s="2" t="inlineStr">
        <is>
          <t>Abierto</t>
        </is>
      </c>
      <c r="L1430" s="6" t="n">
        <v>3</v>
      </c>
      <c r="M1430" s="2" t="n"/>
      <c r="N1430" s="7" t="n">
        <v>0.25</v>
      </c>
      <c r="O1430" s="4" t="n"/>
      <c r="P1430" s="2" t="inlineStr">
        <is>
          <t>45212100</t>
        </is>
      </c>
      <c r="Q1430" s="8" t="inlineStr">
        <is>
          <t>Ver</t>
        </is>
      </c>
      <c r="R1430" s="8" t="inlineStr">
        <is>
          <t>PCAP</t>
        </is>
      </c>
      <c r="S1430" s="9" t="n">
        <v>46314</v>
      </c>
      <c r="T1430" s="3" t="n">
        <v>46311.33755787037</v>
      </c>
      <c r="U1430" s="2" t="n"/>
    </row>
    <row r="1431">
      <c r="A1431" s="2" t="inlineStr">
        <is>
          <t>Resuelta</t>
        </is>
      </c>
      <c r="B1431" s="3" t="n">
        <v>45947.625</v>
      </c>
      <c r="C1431" s="5" t="n">
        <v>20278154.99</v>
      </c>
      <c r="D1431" s="5" t="n">
        <v>20278154.99</v>
      </c>
      <c r="E1431" s="2" t="inlineStr">
        <is>
          <t>Andalucía</t>
        </is>
      </c>
      <c r="F1431" s="2" t="inlineStr">
        <is>
          <t>Sevilla</t>
        </is>
      </c>
      <c r="G1431" s="2" t="n"/>
      <c r="H1431" s="2" t="inlineStr">
        <is>
          <t>Dirección General de Carreteras</t>
        </is>
      </c>
      <c r="I1431" s="2" t="inlineStr">
        <is>
          <t>39-SE-5240;54.477/25 Actuaciones para el desarrollo del plan de acción contra el ruido de la fase II en la Autovía A-49, P.K. 0+000 A 3+000. Provincia de Sevilla</t>
        </is>
      </c>
      <c r="J1431" s="2" t="inlineStr">
        <is>
          <t>C54254152400</t>
        </is>
      </c>
      <c r="K1431" s="2" t="inlineStr">
        <is>
          <t>Abierto</t>
        </is>
      </c>
      <c r="L1431" s="6" t="n">
        <v>29</v>
      </c>
      <c r="M1431" s="2" t="inlineStr">
        <is>
          <t>B2-6</t>
        </is>
      </c>
      <c r="N1431" s="7" t="n">
        <v>0.49</v>
      </c>
      <c r="O1431" s="4" t="n"/>
      <c r="P1431" s="2" t="inlineStr">
        <is>
          <t>45233000</t>
        </is>
      </c>
      <c r="Q1431" s="8" t="inlineStr">
        <is>
          <t>Ver</t>
        </is>
      </c>
      <c r="R1431" s="8" t="inlineStr">
        <is>
          <t>PCAP</t>
        </is>
      </c>
      <c r="S1431" s="9" t="n">
        <v>46310</v>
      </c>
      <c r="T1431" s="3" t="n">
        <v>46311.33704861111</v>
      </c>
      <c r="U1431" s="2" t="n"/>
    </row>
    <row r="1432">
      <c r="A1432" s="2" t="inlineStr">
        <is>
          <t>Resuelta</t>
        </is>
      </c>
      <c r="B1432" s="3" t="n">
        <v>46269.99930555555</v>
      </c>
      <c r="C1432" s="5" t="n">
        <v>1644013.49</v>
      </c>
      <c r="D1432" s="5" t="n">
        <v>1644013.49</v>
      </c>
      <c r="E1432" s="2" t="inlineStr">
        <is>
          <t>Andalucía</t>
        </is>
      </c>
      <c r="F1432" s="2" t="inlineStr">
        <is>
          <t>Sevilla</t>
        </is>
      </c>
      <c r="G1432" s="2" t="inlineStr">
        <is>
          <t>Alcalá de Guadaíra</t>
        </is>
      </c>
      <c r="H1432" s="2" t="inlineStr">
        <is>
          <t>Junta de Gobierno Local del Ayuntamiento de Alcalá de Guadaíra</t>
        </is>
      </c>
      <c r="I1432" s="2" t="inlineStr">
        <is>
          <t>obra de construcción de la piscina de verano en Polígono Cabeza Hermosa (C-2026/028)</t>
        </is>
      </c>
      <c r="J1432" s="2" t="inlineStr">
        <is>
          <t>6086/2026</t>
        </is>
      </c>
      <c r="K1432" s="2" t="inlineStr">
        <is>
          <t>Abierto simplificado</t>
        </is>
      </c>
      <c r="L1432" s="6" t="n">
        <v>8</v>
      </c>
      <c r="M1432" s="2" t="n"/>
      <c r="N1432" s="7" t="n">
        <v>0</v>
      </c>
      <c r="O1432" s="4" t="n"/>
      <c r="P1432" s="2" t="inlineStr">
        <is>
          <t>45212212; 45212000</t>
        </is>
      </c>
      <c r="Q1432" s="8" t="inlineStr">
        <is>
          <t>Ver</t>
        </is>
      </c>
      <c r="R1432" s="8" t="inlineStr">
        <is>
          <t>PCAP</t>
        </is>
      </c>
      <c r="S1432" s="9" t="n">
        <v>46314</v>
      </c>
      <c r="T1432" s="3" t="n">
        <v>46311.33530092592</v>
      </c>
      <c r="U1432" s="2" t="n"/>
    </row>
    <row r="1433">
      <c r="A1433" s="2" t="inlineStr">
        <is>
          <t>Pendiente de adjudicación</t>
        </is>
      </c>
      <c r="B1433" s="3" t="n">
        <v>46302.99930555555</v>
      </c>
      <c r="C1433" s="5" t="n">
        <v>69594.24000000001</v>
      </c>
      <c r="D1433" s="5" t="n">
        <v>69594.24000000001</v>
      </c>
      <c r="E1433" s="2" t="inlineStr">
        <is>
          <t>Comunitat Valenciana</t>
        </is>
      </c>
      <c r="F1433" s="2" t="inlineStr">
        <is>
          <t>Alicante</t>
        </is>
      </c>
      <c r="G1433" s="2" t="n"/>
      <c r="H1433" s="2" t="inlineStr">
        <is>
          <t>Consejo de Administración de Promociones e Iniciativas Municipales de Elche, S.A. (PIMESA)</t>
        </is>
      </c>
      <c r="I1433" s="2" t="inlineStr">
        <is>
          <t>Obras de finalización del acabado superficial del Local 1e del Edificio "La Magrana".</t>
        </is>
      </c>
      <c r="J1433" s="2" t="inlineStr">
        <is>
          <t>2026/AS/022</t>
        </is>
      </c>
      <c r="K1433" s="2" t="inlineStr">
        <is>
          <t>Abierto simplificado</t>
        </is>
      </c>
      <c r="L1433" s="6" t="n">
        <v>3</v>
      </c>
      <c r="M1433" s="2" t="n"/>
      <c r="N1433" s="7" t="n">
        <v>0</v>
      </c>
      <c r="O1433" s="4" t="n"/>
      <c r="P1433" s="2" t="inlineStr">
        <is>
          <t>45213000; 45215221</t>
        </is>
      </c>
      <c r="Q1433" s="8" t="inlineStr">
        <is>
          <t>Ver</t>
        </is>
      </c>
      <c r="R1433" s="8" t="inlineStr">
        <is>
          <t>PCAP</t>
        </is>
      </c>
      <c r="S1433" s="9" t="n">
        <v>46310</v>
      </c>
      <c r="T1433" s="3" t="n">
        <v>46311.3309837963</v>
      </c>
      <c r="U1433" s="2" t="n"/>
    </row>
    <row r="1434">
      <c r="A1434" s="2" t="inlineStr">
        <is>
          <t>Plazo vencido</t>
        </is>
      </c>
      <c r="B1434" s="3" t="n">
        <v>46323.99930555555</v>
      </c>
      <c r="C1434" s="5" t="n">
        <v>400115.19</v>
      </c>
      <c r="D1434" s="5" t="n">
        <v>400115.19</v>
      </c>
      <c r="E1434" s="2" t="inlineStr">
        <is>
          <t>Comunitat Valenciana</t>
        </is>
      </c>
      <c r="F1434" s="2" t="inlineStr">
        <is>
          <t>Alicante</t>
        </is>
      </c>
      <c r="G1434" s="2" t="n"/>
      <c r="H1434" s="2" t="inlineStr">
        <is>
          <t>Junta de Gobierno del Ayuntamiento Dénia</t>
        </is>
      </c>
      <c r="I1434" s="2" t="inlineStr">
        <is>
          <t>Obras de instalación de pistas multideportivas en Av. Alicante y C. Hermanos Maristas</t>
        </is>
      </c>
      <c r="J1434" s="2" t="inlineStr">
        <is>
          <t>OBR/2026000061</t>
        </is>
      </c>
      <c r="K1434" s="2" t="inlineStr">
        <is>
          <t>Abierto simplificado</t>
        </is>
      </c>
      <c r="L1434" s="6" t="n">
        <v>4</v>
      </c>
      <c r="M1434" s="2" t="n"/>
      <c r="N1434" s="7" t="n">
        <v>0</v>
      </c>
      <c r="O1434" s="4" t="n">
        <v>2</v>
      </c>
      <c r="P1434" s="2" t="inlineStr">
        <is>
          <t>45212200; 45212100</t>
        </is>
      </c>
      <c r="Q1434" s="8" t="inlineStr">
        <is>
          <t>Ver</t>
        </is>
      </c>
      <c r="R1434" s="8" t="inlineStr">
        <is>
          <t>PCAP</t>
        </is>
      </c>
      <c r="S1434" s="9" t="n">
        <v>46310</v>
      </c>
      <c r="T1434" s="3" t="n">
        <v>46311.32519675926</v>
      </c>
      <c r="U1434" s="2" t="n"/>
    </row>
    <row r="1435">
      <c r="A1435" s="2" t="inlineStr">
        <is>
          <t>Pendiente de adjudicación</t>
        </is>
      </c>
      <c r="B1435" s="3" t="n">
        <v>46301.79166666666</v>
      </c>
      <c r="C1435" s="5" t="n">
        <v>1344250.8</v>
      </c>
      <c r="D1435" s="5" t="n">
        <v>1344250.8</v>
      </c>
      <c r="E1435" s="2" t="inlineStr">
        <is>
          <t>Comunitat Valenciana</t>
        </is>
      </c>
      <c r="F1435" s="2" t="inlineStr">
        <is>
          <t>Valencia</t>
        </is>
      </c>
      <c r="G1435" s="2" t="inlineStr">
        <is>
          <t>Algemesí</t>
        </is>
      </c>
      <c r="H1435" s="2" t="inlineStr">
        <is>
          <t>Junta de Gobierno del Ayuntamiento de Algemesí</t>
        </is>
      </c>
      <c r="I1435" s="2" t="inlineStr">
        <is>
          <t>Ejecución de obras «Renovación del colector unitario de salida para la CV-515 hasta el EBAR en Algemesí»</t>
        </is>
      </c>
      <c r="J1435" s="2" t="inlineStr">
        <is>
          <t>7493/2026</t>
        </is>
      </c>
      <c r="K1435" s="2" t="inlineStr">
        <is>
          <t>Abierto simplificado</t>
        </is>
      </c>
      <c r="L1435" s="6" t="n">
        <v>7</v>
      </c>
      <c r="M1435" s="2" t="inlineStr">
        <is>
          <t>E1-4</t>
        </is>
      </c>
      <c r="N1435" s="7" t="n">
        <v>0</v>
      </c>
      <c r="O1435" s="4" t="n"/>
      <c r="P1435" s="2" t="inlineStr">
        <is>
          <t>45453000</t>
        </is>
      </c>
      <c r="Q1435" s="8" t="inlineStr">
        <is>
          <t>Ver</t>
        </is>
      </c>
      <c r="R1435" s="8" t="inlineStr">
        <is>
          <t>PCAP</t>
        </is>
      </c>
      <c r="S1435" s="9" t="n">
        <v>46310</v>
      </c>
      <c r="T1435" s="3" t="n">
        <v>46311.32423611111</v>
      </c>
      <c r="U1435" s="2" t="n"/>
    </row>
    <row r="1436">
      <c r="A1436" s="2" t="inlineStr">
        <is>
          <t>Adjudicada</t>
        </is>
      </c>
      <c r="B1436" s="3" t="n">
        <v>46274.79166666666</v>
      </c>
      <c r="C1436" s="5" t="n">
        <v>93776.00999999999</v>
      </c>
      <c r="D1436" s="5" t="n">
        <v>93776.00999999999</v>
      </c>
      <c r="E1436" s="2" t="inlineStr">
        <is>
          <t>Andalucía</t>
        </is>
      </c>
      <c r="F1436" s="2" t="inlineStr">
        <is>
          <t>Córdoba</t>
        </is>
      </c>
      <c r="G1436" s="2" t="inlineStr">
        <is>
          <t>Espejo</t>
        </is>
      </c>
      <c r="H1436" s="2" t="inlineStr">
        <is>
          <t>Alcaldia del Ayuntamiento de Espejo</t>
        </is>
      </c>
      <c r="I1436" s="2" t="inlineStr">
        <is>
          <t>Proyecto de intervención parcial en Edificio Municipal</t>
        </is>
      </c>
      <c r="J1436" s="2" t="inlineStr">
        <is>
          <t>2026/2434</t>
        </is>
      </c>
      <c r="K1436" s="2" t="inlineStr">
        <is>
          <t>Abierto simplificado</t>
        </is>
      </c>
      <c r="L1436" s="6" t="n">
        <v>6</v>
      </c>
      <c r="M1436" s="2" t="n"/>
      <c r="N1436" s="7" t="n">
        <v>0</v>
      </c>
      <c r="O1436" s="4" t="n"/>
      <c r="P1436" s="2" t="inlineStr">
        <is>
          <t>45000000; 45212300</t>
        </is>
      </c>
      <c r="Q1436" s="8" t="inlineStr">
        <is>
          <t>Ver</t>
        </is>
      </c>
      <c r="R1436" s="8" t="inlineStr">
        <is>
          <t>PCAP</t>
        </is>
      </c>
      <c r="S1436" s="9" t="n">
        <v>46310</v>
      </c>
      <c r="T1436" s="3" t="n">
        <v>46310.77736111111</v>
      </c>
      <c r="U1436" s="2" t="inlineStr">
        <is>
          <t>2026-10-16: estado EV → ADJ</t>
        </is>
      </c>
    </row>
    <row r="1437">
      <c r="A1437" s="2" t="inlineStr">
        <is>
          <t>En plazo</t>
        </is>
      </c>
      <c r="B1437" s="3" t="n">
        <v>46330.99930555555</v>
      </c>
      <c r="C1437" s="5" t="n">
        <v>50605.36</v>
      </c>
      <c r="D1437" s="5" t="n">
        <v>50605.36</v>
      </c>
      <c r="E1437" s="2" t="inlineStr">
        <is>
          <t>Comunitat Valenciana</t>
        </is>
      </c>
      <c r="F1437" s="2" t="inlineStr">
        <is>
          <t>Valencia</t>
        </is>
      </c>
      <c r="G1437" s="2" t="inlineStr">
        <is>
          <t>Tavernes Blanques</t>
        </is>
      </c>
      <c r="H1437" s="2" t="inlineStr">
        <is>
          <t>Alcaldía del Ayuntamiento de Tavernes Blanques</t>
        </is>
      </c>
      <c r="I1437" s="2" t="inlineStr">
        <is>
          <t>obra de instalación de placas fotovoltaicas para autoconsumo</t>
        </is>
      </c>
      <c r="J1437" s="2" t="inlineStr">
        <is>
          <t>OB-2026-3</t>
        </is>
      </c>
      <c r="K1437" s="2" t="inlineStr">
        <is>
          <t>Abierto simplificado</t>
        </is>
      </c>
      <c r="L1437" s="6" t="n">
        <v>2</v>
      </c>
      <c r="M1437" s="2" t="n"/>
      <c r="N1437" s="7" t="n">
        <v>0</v>
      </c>
      <c r="O1437" s="4" t="n">
        <v>2</v>
      </c>
      <c r="P1437" s="2" t="inlineStr">
        <is>
          <t>45000000; 45261215; 09000000; 09332000; 09330000; 09331200; 09331000</t>
        </is>
      </c>
      <c r="Q1437" s="8" t="inlineStr">
        <is>
          <t>Ver</t>
        </is>
      </c>
      <c r="R1437" s="8" t="inlineStr">
        <is>
          <t>PCAP</t>
        </is>
      </c>
      <c r="S1437" s="9" t="n">
        <v>46311</v>
      </c>
      <c r="T1437" s="3" t="n">
        <v>46310.76719907407</v>
      </c>
      <c r="U1437" s="2" t="n"/>
    </row>
    <row r="1438">
      <c r="A1438" s="2" t="inlineStr">
        <is>
          <t>Resuelta</t>
        </is>
      </c>
      <c r="B1438" s="3" t="n">
        <v>46219.99930555555</v>
      </c>
      <c r="C1438" s="5" t="n">
        <v>195842.94</v>
      </c>
      <c r="D1438" s="5" t="n">
        <v>195842.94</v>
      </c>
      <c r="E1438" s="2" t="inlineStr">
        <is>
          <t>Comunitat Valenciana</t>
        </is>
      </c>
      <c r="F1438" s="2" t="inlineStr">
        <is>
          <t>Valencia</t>
        </is>
      </c>
      <c r="G1438" s="2" t="inlineStr">
        <is>
          <t>Ayora</t>
        </is>
      </c>
      <c r="H1438" s="2" t="inlineStr">
        <is>
          <t>Junta de Gobierno Local del Ayuntamiento de Ayora</t>
        </is>
      </c>
      <c r="I1438" s="2" t="inlineStr">
        <is>
          <t>Obra de renovación del césped artificial del campo de fútbol municipal.</t>
        </is>
      </c>
      <c r="J1438" s="2" t="inlineStr">
        <is>
          <t>1291/2026</t>
        </is>
      </c>
      <c r="K1438" s="2" t="inlineStr">
        <is>
          <t>Abierto simplificado</t>
        </is>
      </c>
      <c r="L1438" s="6" t="n">
        <v>2</v>
      </c>
      <c r="M1438" s="2" t="n"/>
      <c r="N1438" s="7" t="n">
        <v>0</v>
      </c>
      <c r="O1438" s="4" t="n"/>
      <c r="P1438" s="2" t="inlineStr">
        <is>
          <t>45212200; 45212213</t>
        </is>
      </c>
      <c r="Q1438" s="8" t="inlineStr">
        <is>
          <t>Ver</t>
        </is>
      </c>
      <c r="R1438" s="8" t="inlineStr">
        <is>
          <t>PCAP</t>
        </is>
      </c>
      <c r="S1438" s="9" t="n">
        <v>46311</v>
      </c>
      <c r="T1438" s="3" t="n">
        <v>46310.75731481481</v>
      </c>
      <c r="U1438" s="2" t="n"/>
    </row>
    <row r="1439">
      <c r="A1439" s="2" t="inlineStr">
        <is>
          <t>En plazo</t>
        </is>
      </c>
      <c r="B1439" s="3" t="n">
        <v>46330.58333333334</v>
      </c>
      <c r="C1439" s="5" t="n">
        <v>216953.84</v>
      </c>
      <c r="D1439" s="5" t="n">
        <v>216953.84</v>
      </c>
      <c r="E1439" s="2" t="inlineStr">
        <is>
          <t>Comunitat Valenciana</t>
        </is>
      </c>
      <c r="F1439" s="2" t="inlineStr">
        <is>
          <t>Valencia</t>
        </is>
      </c>
      <c r="G1439" s="2" t="inlineStr">
        <is>
          <t>REQUENA</t>
        </is>
      </c>
      <c r="H1439" s="2" t="inlineStr">
        <is>
          <t>Junta de Gobierno Local del Ayuntamiento de Requena</t>
        </is>
      </c>
      <c r="I1439" s="2" t="inlineStr">
        <is>
          <t>Ampliación de pabellón polideportivo y reforma de pista de tenis en polideportivo municipal de Requena</t>
        </is>
      </c>
      <c r="J1439" s="2" t="inlineStr">
        <is>
          <t>2984396W</t>
        </is>
      </c>
      <c r="K1439" s="2" t="inlineStr">
        <is>
          <t>Abierto simplificado</t>
        </is>
      </c>
      <c r="L1439" s="6" t="n">
        <v>12</v>
      </c>
      <c r="M1439" s="2" t="n"/>
      <c r="N1439" s="7" t="n">
        <v>0</v>
      </c>
      <c r="O1439" s="4" t="n"/>
      <c r="P1439" s="2" t="inlineStr">
        <is>
          <t>45212200</t>
        </is>
      </c>
      <c r="Q1439" s="8" t="inlineStr">
        <is>
          <t>Ver</t>
        </is>
      </c>
      <c r="R1439" s="8" t="inlineStr">
        <is>
          <t>PCAP</t>
        </is>
      </c>
      <c r="S1439" s="9" t="n">
        <v>46311</v>
      </c>
      <c r="T1439" s="3" t="n">
        <v>46310.6174537037</v>
      </c>
      <c r="U1439" s="2" t="n"/>
    </row>
    <row r="1440">
      <c r="A1440" s="2" t="inlineStr">
        <is>
          <t>En plazo</t>
        </is>
      </c>
      <c r="B1440" s="3" t="n">
        <v>46330.99930555555</v>
      </c>
      <c r="C1440" s="5" t="n">
        <v>77500</v>
      </c>
      <c r="D1440" s="5" t="n">
        <v>77500</v>
      </c>
      <c r="E1440" s="2" t="inlineStr">
        <is>
          <t>Andalucía</t>
        </is>
      </c>
      <c r="F1440" s="2" t="inlineStr">
        <is>
          <t>Jaén</t>
        </is>
      </c>
      <c r="G1440" s="2" t="inlineStr">
        <is>
          <t>Noalejo, Jaén</t>
        </is>
      </c>
      <c r="H1440" s="2" t="inlineStr">
        <is>
          <t>Alcaldía del Ayuntamiento de Noalejo</t>
        </is>
      </c>
      <c r="I1440"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1440" s="2" t="inlineStr">
        <is>
          <t>145/2026 Lic2</t>
        </is>
      </c>
      <c r="K1440" s="2" t="inlineStr">
        <is>
          <t>Abierto simplificado</t>
        </is>
      </c>
      <c r="L1440" s="6" t="n">
        <v>10</v>
      </c>
      <c r="M1440" s="2" t="inlineStr">
        <is>
          <t>G4-1</t>
        </is>
      </c>
      <c r="N1440" s="7" t="n">
        <v>0</v>
      </c>
      <c r="O1440" s="4" t="n">
        <v>2</v>
      </c>
      <c r="P1440" s="2" t="inlineStr">
        <is>
          <t>45233142; 45233222; 45233141; 45232452</t>
        </is>
      </c>
      <c r="Q1440" s="8" t="inlineStr">
        <is>
          <t>Ver</t>
        </is>
      </c>
      <c r="R1440" s="8" t="inlineStr">
        <is>
          <t>PCAP</t>
        </is>
      </c>
      <c r="S1440" s="9" t="n">
        <v>46311</v>
      </c>
      <c r="T1440" s="3" t="n">
        <v>46310.6118287037</v>
      </c>
      <c r="U1440" s="2" t="n"/>
    </row>
    <row r="1441">
      <c r="A1441" s="2" t="inlineStr">
        <is>
          <t>Plazo vencido</t>
        </is>
      </c>
      <c r="B1441" s="3" t="n">
        <v>46321.99930555555</v>
      </c>
      <c r="C1441" s="5" t="n">
        <v>39624.98</v>
      </c>
      <c r="D1441" s="5" t="n">
        <v>47549.98</v>
      </c>
      <c r="E1441" s="2" t="inlineStr">
        <is>
          <t>Andalucía</t>
        </is>
      </c>
      <c r="F1441" s="2" t="inlineStr">
        <is>
          <t>Almería</t>
        </is>
      </c>
      <c r="G1441" s="2" t="n"/>
      <c r="H1441" s="2" t="inlineStr">
        <is>
          <t>Alcaldía del Ayuntamiento de El Ejido</t>
        </is>
      </c>
      <c r="I1441" s="2" t="inlineStr">
        <is>
          <t>Ejecución de la memoria de obras denominadas: Suministro de elementos de calistenia en Paseo Marítimo de Almerimar, de El Ejido (Almería).</t>
        </is>
      </c>
      <c r="J1441" s="2" t="inlineStr">
        <is>
          <t>2026 1401</t>
        </is>
      </c>
      <c r="K1441" s="2" t="inlineStr">
        <is>
          <t>Abierto simplificado</t>
        </is>
      </c>
      <c r="L1441" s="6" t="n">
        <v>2</v>
      </c>
      <c r="M1441" s="2" t="n"/>
      <c r="N1441" s="7" t="n">
        <v>0</v>
      </c>
      <c r="O1441" s="4" t="n"/>
      <c r="P1441" s="2" t="inlineStr">
        <is>
          <t>45233140; 37535200; 45212200</t>
        </is>
      </c>
      <c r="Q1441" s="8" t="inlineStr">
        <is>
          <t>Ver</t>
        </is>
      </c>
      <c r="R1441" s="8" t="inlineStr">
        <is>
          <t>PCAP</t>
        </is>
      </c>
      <c r="S1441" s="9" t="n">
        <v>46311</v>
      </c>
      <c r="T1441" s="3" t="n">
        <v>46310.6061574074</v>
      </c>
      <c r="U1441" s="2" t="n"/>
    </row>
    <row r="1442">
      <c r="A1442" s="2" t="inlineStr">
        <is>
          <t>En plazo</t>
        </is>
      </c>
      <c r="B1442" s="3" t="n">
        <v>46330.99930555555</v>
      </c>
      <c r="C1442" s="5" t="n">
        <v>77850</v>
      </c>
      <c r="D1442" s="5" t="n">
        <v>77850</v>
      </c>
      <c r="E1442" s="2" t="inlineStr">
        <is>
          <t>Andalucía</t>
        </is>
      </c>
      <c r="F1442" s="2" t="inlineStr">
        <is>
          <t>Jaén</t>
        </is>
      </c>
      <c r="G1442" s="2" t="inlineStr">
        <is>
          <t>Noalejo, Jaén</t>
        </is>
      </c>
      <c r="H1442" s="2" t="inlineStr">
        <is>
          <t>Alcaldía del Ayuntamiento de Noalejo</t>
        </is>
      </c>
      <c r="I1442"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1442" s="2" t="inlineStr">
        <is>
          <t>145/2026 Lic1</t>
        </is>
      </c>
      <c r="K1442" s="2" t="inlineStr">
        <is>
          <t>Abierto simplificado</t>
        </is>
      </c>
      <c r="L1442" s="6" t="n">
        <v>10</v>
      </c>
      <c r="M1442" s="2" t="inlineStr">
        <is>
          <t>C7-1</t>
        </is>
      </c>
      <c r="N1442" s="7" t="n">
        <v>0</v>
      </c>
      <c r="O1442" s="4" t="n">
        <v>2</v>
      </c>
      <c r="P1442" s="2" t="inlineStr">
        <is>
          <t>45260000; 45453100; 45261900; 45261210; 45453000</t>
        </is>
      </c>
      <c r="Q1442" s="8" t="inlineStr">
        <is>
          <t>Ver</t>
        </is>
      </c>
      <c r="R1442" s="8" t="inlineStr">
        <is>
          <t>PCAP</t>
        </is>
      </c>
      <c r="S1442" s="9" t="n">
        <v>46311</v>
      </c>
      <c r="T1442" s="3" t="n">
        <v>46310.60447916666</v>
      </c>
      <c r="U1442" s="2" t="n"/>
    </row>
    <row r="1443">
      <c r="A1443" s="2" t="inlineStr">
        <is>
          <t>Resuelta</t>
        </is>
      </c>
      <c r="B1443" s="3" t="n">
        <v>46300.58333333334</v>
      </c>
      <c r="C1443" s="5" t="n">
        <v>74005.75</v>
      </c>
      <c r="D1443" s="5" t="n">
        <v>74005.75</v>
      </c>
      <c r="E1443" s="2" t="inlineStr">
        <is>
          <t>Comunitat Valenciana</t>
        </is>
      </c>
      <c r="F1443" s="2" t="inlineStr">
        <is>
          <t>Valencia</t>
        </is>
      </c>
      <c r="G1443" s="2" t="inlineStr">
        <is>
          <t>REQUENA</t>
        </is>
      </c>
      <c r="H1443" s="2" t="inlineStr">
        <is>
          <t>Alcaldía del Ayuntamiento de Requena</t>
        </is>
      </c>
      <c r="I1443" s="2" t="inlineStr">
        <is>
          <t>Instalacion de ascensor en edificio existente en calle San Fernando 2 de Requena</t>
        </is>
      </c>
      <c r="J1443" s="2" t="inlineStr">
        <is>
          <t>2794928W</t>
        </is>
      </c>
      <c r="K1443" s="2" t="inlineStr">
        <is>
          <t>Abierto simplificado</t>
        </is>
      </c>
      <c r="L1443" s="6" t="n">
        <v>6</v>
      </c>
      <c r="M1443" s="2" t="n"/>
      <c r="N1443" s="7" t="n">
        <v>0</v>
      </c>
      <c r="O1443" s="4" t="n"/>
      <c r="P1443" s="2" t="inlineStr">
        <is>
          <t>45313100</t>
        </is>
      </c>
      <c r="Q1443" s="8" t="inlineStr">
        <is>
          <t>Ver</t>
        </is>
      </c>
      <c r="R1443" s="8" t="inlineStr">
        <is>
          <t>PCAP</t>
        </is>
      </c>
      <c r="S1443" s="9" t="n">
        <v>46311</v>
      </c>
      <c r="T1443" s="3" t="n">
        <v>46310.60190972222</v>
      </c>
      <c r="U1443" s="2" t="n"/>
    </row>
    <row r="1444">
      <c r="A1444" s="2" t="inlineStr">
        <is>
          <t>En plazo</t>
        </is>
      </c>
      <c r="B1444" s="3" t="n">
        <v>46328.99930555555</v>
      </c>
      <c r="C1444" s="5" t="n">
        <v>171523.49</v>
      </c>
      <c r="D1444" s="5" t="n">
        <v>171523.49</v>
      </c>
      <c r="E1444" s="2" t="inlineStr">
        <is>
          <t>Andalucía</t>
        </is>
      </c>
      <c r="F1444" s="2" t="inlineStr">
        <is>
          <t>Málaga</t>
        </is>
      </c>
      <c r="G1444" s="2" t="n"/>
      <c r="H1444" s="2" t="inlineStr">
        <is>
          <t>Junta de Gobierno del Ayuntamiento de Nerja</t>
        </is>
      </c>
      <c r="I1444" s="2" t="inlineStr">
        <is>
          <t>Obras correspondientes al Proyecto de urbanización de las actuaciones aisladas AA-14 y AA-35 del P.G.O.U. de Nerja.</t>
        </is>
      </c>
      <c r="J1444" s="2" t="inlineStr">
        <is>
          <t>2026/6/S245</t>
        </is>
      </c>
      <c r="K1444" s="2" t="inlineStr">
        <is>
          <t>Abierto simplificado</t>
        </is>
      </c>
      <c r="L1444" s="6" t="n">
        <v>3</v>
      </c>
      <c r="M1444" s="2" t="n"/>
      <c r="N1444" s="7" t="n">
        <v>0</v>
      </c>
      <c r="O1444" s="4" t="n"/>
      <c r="P1444" s="2" t="inlineStr">
        <is>
          <t>45231100; 45220000; 45233252; 45233140</t>
        </is>
      </c>
      <c r="Q1444" s="8" t="inlineStr">
        <is>
          <t>Ver</t>
        </is>
      </c>
      <c r="R1444" s="8" t="inlineStr">
        <is>
          <t>PCAP</t>
        </is>
      </c>
      <c r="S1444" s="9" t="n">
        <v>46310</v>
      </c>
      <c r="T1444" s="3" t="n">
        <v>46310.60112268518</v>
      </c>
      <c r="U1444" s="2" t="n"/>
    </row>
    <row r="1445">
      <c r="A1445" s="2" t="inlineStr">
        <is>
          <t>Resuelta</t>
        </is>
      </c>
      <c r="B1445" s="3" t="n">
        <v>46304.99930555555</v>
      </c>
      <c r="C1445" s="5" t="n">
        <v>69132.25</v>
      </c>
      <c r="D1445" s="5" t="n">
        <v>69132.25</v>
      </c>
      <c r="E1445" s="2" t="inlineStr">
        <is>
          <t>Andalucía</t>
        </is>
      </c>
      <c r="F1445" s="2" t="inlineStr">
        <is>
          <t>Huelva</t>
        </is>
      </c>
      <c r="G1445" s="2" t="inlineStr">
        <is>
          <t>Lepe</t>
        </is>
      </c>
      <c r="H1445" s="2" t="inlineStr">
        <is>
          <t>Junta de Gobierno del Ayuntamiento de Lepe</t>
        </is>
      </c>
      <c r="I1445" s="2" t="inlineStr">
        <is>
          <t>obras contenidas en el proyecto referido, consistentes en la reposición del firme asfáltico en el ámbito definido en el Proyecto, aprobado por acuerdo de Junta de Gobierno de fecha 25/05/26</t>
        </is>
      </c>
      <c r="J1445" s="2" t="inlineStr">
        <is>
          <t>10551/2026</t>
        </is>
      </c>
      <c r="K1445" s="2" t="inlineStr">
        <is>
          <t>Abierto simplificado</t>
        </is>
      </c>
      <c r="L1445" s="6" t="n">
        <v>1</v>
      </c>
      <c r="M1445" s="2" t="n"/>
      <c r="N1445" s="7" t="n">
        <v>0</v>
      </c>
      <c r="O1445" s="4" t="n"/>
      <c r="P1445" s="2" t="inlineStr">
        <is>
          <t>45233142; 45233221; 45233223</t>
        </is>
      </c>
      <c r="Q1445" s="8" t="inlineStr">
        <is>
          <t>Ver</t>
        </is>
      </c>
      <c r="R1445" s="8" t="inlineStr">
        <is>
          <t>PCAP</t>
        </is>
      </c>
      <c r="S1445" s="9" t="n">
        <v>46311</v>
      </c>
      <c r="T1445" s="3" t="n">
        <v>46310.5994212963</v>
      </c>
      <c r="U1445" s="2" t="n"/>
    </row>
    <row r="1446">
      <c r="A1446" s="2" t="inlineStr">
        <is>
          <t>En plazo</t>
        </is>
      </c>
      <c r="B1446" s="3" t="n">
        <v>46336.99930555555</v>
      </c>
      <c r="C1446" s="5" t="n">
        <v>371900.83</v>
      </c>
      <c r="D1446" s="5" t="n">
        <v>371900.83</v>
      </c>
      <c r="E1446" s="2" t="inlineStr">
        <is>
          <t>Andalucía</t>
        </is>
      </c>
      <c r="F1446" s="2" t="inlineStr">
        <is>
          <t>Córdoba</t>
        </is>
      </c>
      <c r="G1446" s="2" t="inlineStr">
        <is>
          <t>Bujalance</t>
        </is>
      </c>
      <c r="H1446" s="2" t="inlineStr">
        <is>
          <t>Junta de Gobierno de la Diputación Provincial de Córdoba</t>
        </is>
      </c>
      <c r="I1446" s="2" t="inlineStr">
        <is>
          <t>Contratación de la obra reforma del Teatro Español en Bujalance(Córdoba), obra incluida en los Planes Provinciales de Obras y Servicios 2024-2027 (bienio 2026-2027).</t>
        </is>
      </c>
      <c r="J1446" s="2" t="inlineStr">
        <is>
          <t>627/26 BIS</t>
        </is>
      </c>
      <c r="K1446" s="2" t="inlineStr">
        <is>
          <t>Abierto</t>
        </is>
      </c>
      <c r="L1446" s="6" t="n">
        <v>6</v>
      </c>
      <c r="M1446" s="2" t="n"/>
      <c r="N1446" s="7" t="n">
        <v>0.25</v>
      </c>
      <c r="O1446" s="4" t="n"/>
      <c r="P1446" s="2" t="inlineStr">
        <is>
          <t>45220000</t>
        </is>
      </c>
      <c r="Q1446" s="8" t="inlineStr">
        <is>
          <t>Ver</t>
        </is>
      </c>
      <c r="R1446" s="8" t="inlineStr">
        <is>
          <t>PCAP</t>
        </is>
      </c>
      <c r="S1446" s="9" t="n">
        <v>46311</v>
      </c>
      <c r="T1446" s="3" t="n">
        <v>46310.5983449074</v>
      </c>
      <c r="U1446" s="2" t="n"/>
    </row>
    <row r="1447">
      <c r="A1447" s="2" t="inlineStr">
        <is>
          <t>Pendiente de adjudicación</t>
        </is>
      </c>
      <c r="B1447" s="3" t="n">
        <v>46258.99930555555</v>
      </c>
      <c r="C1447" s="5" t="n">
        <v>191799.63</v>
      </c>
      <c r="D1447" s="5" t="n">
        <v>191799.63</v>
      </c>
      <c r="E1447" s="2" t="inlineStr">
        <is>
          <t>Andalucía</t>
        </is>
      </c>
      <c r="F1447" s="2" t="inlineStr">
        <is>
          <t>Málaga</t>
        </is>
      </c>
      <c r="G1447" s="2" t="n"/>
      <c r="H1447" s="2" t="inlineStr">
        <is>
          <t>Dirección General de Servicios</t>
        </is>
      </c>
      <c r="I1447" s="2" t="inlineStr">
        <is>
          <t>Obra de sustitución de los sistemas de climatización y ventilación de la sede de la Demarcación de Costas de Andalucía-Mediterráneo, en Málaga. Pcpeco-06/08/19</t>
        </is>
      </c>
      <c r="J1447" s="2" t="inlineStr">
        <is>
          <t>20260000055B</t>
        </is>
      </c>
      <c r="K1447" s="2" t="inlineStr">
        <is>
          <t>Abierto simplificado</t>
        </is>
      </c>
      <c r="L1447" s="6" t="n">
        <v>3</v>
      </c>
      <c r="M1447" s="2" t="n"/>
      <c r="N1447" s="7" t="n">
        <v>0</v>
      </c>
      <c r="O1447" s="4" t="n"/>
      <c r="P1447" s="2" t="inlineStr">
        <is>
          <t>45259000; 45259900; 45331100; 45315300</t>
        </is>
      </c>
      <c r="Q1447" s="8" t="inlineStr">
        <is>
          <t>Ver</t>
        </is>
      </c>
      <c r="R1447" s="8" t="inlineStr">
        <is>
          <t>PCAP</t>
        </is>
      </c>
      <c r="S1447" s="9" t="n">
        <v>46311</v>
      </c>
      <c r="T1447" s="3" t="n">
        <v>46310.58960648148</v>
      </c>
      <c r="U1447" s="2" t="n"/>
    </row>
    <row r="1448">
      <c r="A1448" s="2" t="inlineStr">
        <is>
          <t>Adjudicada</t>
        </is>
      </c>
      <c r="B1448" s="3" t="n">
        <v>46238.99930555555</v>
      </c>
      <c r="C1448" s="5" t="n">
        <v>4947025.22</v>
      </c>
      <c r="D1448" s="5" t="n">
        <v>4947025.22</v>
      </c>
      <c r="E1448" s="2" t="inlineStr">
        <is>
          <t>Andalucía</t>
        </is>
      </c>
      <c r="F1448" s="2" t="inlineStr">
        <is>
          <t>Cádiz</t>
        </is>
      </c>
      <c r="G1448" s="2" t="inlineStr">
        <is>
          <t>Algeciras</t>
        </is>
      </c>
      <c r="H1448" s="2" t="inlineStr">
        <is>
          <t>Alcaldía del Ayuntamiento de Algeciras</t>
        </is>
      </c>
      <c r="I1448" s="2" t="inlineStr">
        <is>
          <t>OPA - Tren de Borrascas - Plan de Asfaltado en Viales de Algeciras</t>
        </is>
      </c>
      <c r="J1448" s="2" t="inlineStr">
        <is>
          <t>24747/2026</t>
        </is>
      </c>
      <c r="K1448" s="2" t="inlineStr">
        <is>
          <t>Abierto</t>
        </is>
      </c>
      <c r="L1448" s="6" t="n">
        <v>8</v>
      </c>
      <c r="M1448" s="2" t="n"/>
      <c r="N1448" s="7" t="n">
        <v>0</v>
      </c>
      <c r="O1448" s="4" t="n">
        <v>4</v>
      </c>
      <c r="P1448" s="2" t="inlineStr">
        <is>
          <t>45233140; 71317210</t>
        </is>
      </c>
      <c r="Q1448" s="8" t="inlineStr">
        <is>
          <t>Ver</t>
        </is>
      </c>
      <c r="R1448" s="8" t="inlineStr">
        <is>
          <t>PCAP</t>
        </is>
      </c>
      <c r="S1448" s="9" t="n">
        <v>46310</v>
      </c>
      <c r="T1448" s="3" t="n">
        <v>46310.58953703703</v>
      </c>
      <c r="U1448" s="2" t="n"/>
    </row>
    <row r="1449">
      <c r="A1449" s="2" t="inlineStr">
        <is>
          <t>Resuelta</t>
        </is>
      </c>
      <c r="B1449" s="3" t="n">
        <v>46252.99930555555</v>
      </c>
      <c r="C1449" s="5" t="n">
        <v>74267.38</v>
      </c>
      <c r="D1449" s="5" t="n">
        <v>74267.38</v>
      </c>
      <c r="E1449" s="2" t="inlineStr">
        <is>
          <t>Andalucía</t>
        </is>
      </c>
      <c r="F1449" s="2" t="inlineStr">
        <is>
          <t>Málaga</t>
        </is>
      </c>
      <c r="G1449" s="2" t="n"/>
      <c r="H1449" s="2" t="inlineStr">
        <is>
          <t>Alcaldía del Ayuntamiento de Casarabonela</t>
        </is>
      </c>
      <c r="I1449"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1449" s="2" t="inlineStr">
        <is>
          <t>C2026409</t>
        </is>
      </c>
      <c r="K1449" s="2" t="inlineStr">
        <is>
          <t>Abierto simplificado</t>
        </is>
      </c>
      <c r="L1449" s="6" t="n">
        <v>2</v>
      </c>
      <c r="M1449" s="2" t="n"/>
      <c r="N1449" s="7" t="n">
        <v>0</v>
      </c>
      <c r="O1449" s="4" t="n"/>
      <c r="P1449" s="2" t="inlineStr">
        <is>
          <t>45221113; 45223210; 45422000; 45112450</t>
        </is>
      </c>
      <c r="Q1449" s="8" t="inlineStr">
        <is>
          <t>Ver</t>
        </is>
      </c>
      <c r="R1449" s="8" t="inlineStr">
        <is>
          <t>PCAP</t>
        </is>
      </c>
      <c r="S1449" s="9" t="n">
        <v>46310</v>
      </c>
      <c r="T1449" s="3" t="n">
        <v>46310.58418981481</v>
      </c>
      <c r="U1449" s="2" t="inlineStr">
        <is>
          <t>2026-10-16: estado ADJ → RES</t>
        </is>
      </c>
    </row>
    <row r="1450">
      <c r="A1450" s="2" t="inlineStr">
        <is>
          <t>En plazo</t>
        </is>
      </c>
      <c r="B1450" s="3" t="n">
        <v>46324.99930555555</v>
      </c>
      <c r="C1450" s="5" t="n">
        <v>45253.57</v>
      </c>
      <c r="D1450" s="5" t="n">
        <v>45253.57</v>
      </c>
      <c r="E1450" s="2" t="inlineStr">
        <is>
          <t>Andalucía</t>
        </is>
      </c>
      <c r="F1450" s="2" t="inlineStr">
        <is>
          <t>Sevilla</t>
        </is>
      </c>
      <c r="G1450" s="2" t="n"/>
      <c r="H1450" s="2" t="inlineStr">
        <is>
          <t>Alcaldia del Ayuntamiento de Alanís</t>
        </is>
      </c>
      <c r="I1450" s="2" t="inlineStr">
        <is>
          <t>Rehabilitación del camino Pista del IARA, caminos rural, expediente 2026/CTT_01/000054</t>
        </is>
      </c>
      <c r="J1450" s="2" t="inlineStr">
        <is>
          <t>P4100200G-2026/000044-PAAB</t>
        </is>
      </c>
      <c r="K1450" s="2" t="inlineStr">
        <is>
          <t>Abierto simplificado</t>
        </is>
      </c>
      <c r="L1450" s="6" t="n">
        <v>2</v>
      </c>
      <c r="M1450" s="2" t="n"/>
      <c r="N1450" s="7" t="n">
        <v>0</v>
      </c>
      <c r="O1450" s="4" t="n"/>
      <c r="P1450" s="2" t="inlineStr">
        <is>
          <t>45233160</t>
        </is>
      </c>
      <c r="Q1450" s="8" t="inlineStr">
        <is>
          <t>Ver</t>
        </is>
      </c>
      <c r="R1450" s="8" t="inlineStr">
        <is>
          <t>PCAP</t>
        </is>
      </c>
      <c r="S1450" s="9" t="n">
        <v>46311</v>
      </c>
      <c r="T1450" s="3" t="n">
        <v>46310.57896990741</v>
      </c>
      <c r="U1450" s="2" t="n"/>
    </row>
    <row r="1451">
      <c r="A1451" s="2" t="inlineStr">
        <is>
          <t>Adjudicada</t>
        </is>
      </c>
      <c r="B1451" s="3" t="n">
        <v>46276.41666666666</v>
      </c>
      <c r="C1451" s="5" t="n">
        <v>231106</v>
      </c>
      <c r="D1451" s="5" t="n">
        <v>231106</v>
      </c>
      <c r="E1451" s="2" t="inlineStr">
        <is>
          <t>Andalucía</t>
        </is>
      </c>
      <c r="F1451" s="2" t="inlineStr">
        <is>
          <t>Cádiz</t>
        </is>
      </c>
      <c r="G1451" s="2" t="n"/>
      <c r="H1451" s="2" t="inlineStr">
        <is>
          <t>Empresa de Transformación Agraria S.A.,S.M.E., M.P., (TRAGSA)</t>
        </is>
      </c>
      <c r="I1451" s="2" t="inlineStr">
        <is>
          <t>Suministro y montaje de protecciones de taludes en la actuación de "Servicio de actuaciones prioritarias en materia de seguridad y salud de las presas competencia de la Comunidad Autónoma de Andalucía (Cádiz)"</t>
        </is>
      </c>
      <c r="J1451" s="2" t="inlineStr">
        <is>
          <t>TSA0083943</t>
        </is>
      </c>
      <c r="K1451" s="2" t="inlineStr">
        <is>
          <t>Abierto simplificado</t>
        </is>
      </c>
      <c r="L1451" s="6" t="n">
        <v>2</v>
      </c>
      <c r="M1451" s="2" t="inlineStr">
        <is>
          <t>K2-2</t>
        </is>
      </c>
      <c r="N1451" s="7" t="n">
        <v>0</v>
      </c>
      <c r="O1451" s="4" t="n"/>
      <c r="P1451" s="2" t="inlineStr">
        <is>
          <t>45111230</t>
        </is>
      </c>
      <c r="Q1451" s="8" t="inlineStr">
        <is>
          <t>Ver</t>
        </is>
      </c>
      <c r="R1451" s="8" t="inlineStr">
        <is>
          <t>PCAP</t>
        </is>
      </c>
      <c r="S1451" s="9" t="n">
        <v>46311</v>
      </c>
      <c r="T1451" s="3" t="n">
        <v>46310.57519675926</v>
      </c>
      <c r="U1451" s="2" t="n"/>
    </row>
    <row r="1452">
      <c r="A1452" s="2" t="inlineStr">
        <is>
          <t>Resuelta</t>
        </is>
      </c>
      <c r="B1452" s="3" t="n">
        <v>46224.58333333334</v>
      </c>
      <c r="C1452" s="5" t="n">
        <v>73302.06</v>
      </c>
      <c r="D1452" s="5" t="n">
        <v>73302.06</v>
      </c>
      <c r="E1452" s="2" t="inlineStr">
        <is>
          <t>Andalucía</t>
        </is>
      </c>
      <c r="F1452" s="2" t="inlineStr">
        <is>
          <t>Sevilla</t>
        </is>
      </c>
      <c r="G1452" s="2" t="inlineStr">
        <is>
          <t>Sevilla</t>
        </is>
      </c>
      <c r="H1452" s="2" t="inlineStr">
        <is>
          <t>Compras de la Corporación de Radio y Televisión Española S.A.</t>
        </is>
      </c>
      <c r="I1452" s="2" t="inlineStr">
        <is>
          <t>Obras remodelación de seguridad accesos CPP Andalucía</t>
        </is>
      </c>
      <c r="J1452" s="2" t="inlineStr">
        <is>
          <t>S-02250-2026</t>
        </is>
      </c>
      <c r="K1452" s="2" t="inlineStr">
        <is>
          <t>Abierto simplificado</t>
        </is>
      </c>
      <c r="L1452" s="6" t="n">
        <v>3.4</v>
      </c>
      <c r="M1452" s="2" t="n"/>
      <c r="N1452" s="7" t="n">
        <v>0</v>
      </c>
      <c r="O1452" s="4" t="n"/>
      <c r="P1452" s="2" t="inlineStr">
        <is>
          <t>45233260; 45233250; 45000000; 45450000; 45400000</t>
        </is>
      </c>
      <c r="Q1452" s="8" t="inlineStr">
        <is>
          <t>Ver</t>
        </is>
      </c>
      <c r="R1452" s="8" t="inlineStr">
        <is>
          <t>PCAP</t>
        </is>
      </c>
      <c r="S1452" s="9" t="n">
        <v>46311</v>
      </c>
      <c r="T1452" s="3" t="n">
        <v>46310.57460648148</v>
      </c>
      <c r="U1452" s="2" t="n"/>
    </row>
    <row r="1453">
      <c r="A1453" s="2" t="inlineStr">
        <is>
          <t>Resuelta</t>
        </is>
      </c>
      <c r="B1453" s="3" t="n">
        <v>45610.58333333334</v>
      </c>
      <c r="C1453" s="5" t="n">
        <v>6018643.44</v>
      </c>
      <c r="D1453" s="5" t="n">
        <v>7222372.13</v>
      </c>
      <c r="E1453" s="2" t="inlineStr">
        <is>
          <t>Comunitat Valenciana</t>
        </is>
      </c>
      <c r="F1453" s="2" t="inlineStr">
        <is>
          <t>Valencia</t>
        </is>
      </c>
      <c r="G1453" s="2" t="inlineStr">
        <is>
          <t>Alicante.(Alicante)</t>
        </is>
      </c>
      <c r="H1453" s="2" t="inlineStr">
        <is>
          <t>Dirección General de Gestión Económica, Contratación e Infraestructuras de la Conselleria de Sanidad</t>
        </is>
      </c>
      <c r="I1453" s="2" t="inlineStr">
        <is>
          <t>Obra del Nuevo Centro de Salud Garbinet en Alicante</t>
        </is>
      </c>
      <c r="J1453" s="2" t="inlineStr">
        <is>
          <t>776/2024</t>
        </is>
      </c>
      <c r="K1453" s="2" t="inlineStr">
        <is>
          <t>Abierto</t>
        </is>
      </c>
      <c r="L1453" s="6" t="n">
        <v>18</v>
      </c>
      <c r="M1453" s="2" t="inlineStr">
        <is>
          <t>J2-3; I5-3; C*-5</t>
        </is>
      </c>
      <c r="N1453" s="7" t="n">
        <v>0.25</v>
      </c>
      <c r="O1453" s="4" t="n"/>
      <c r="P1453" s="2" t="inlineStr">
        <is>
          <t>45215100; 45215000</t>
        </is>
      </c>
      <c r="Q1453" s="8" t="inlineStr">
        <is>
          <t>Ver</t>
        </is>
      </c>
      <c r="R1453" s="8" t="inlineStr">
        <is>
          <t>PCAP</t>
        </is>
      </c>
      <c r="S1453" s="9" t="n">
        <v>46311</v>
      </c>
      <c r="T1453" s="3" t="n">
        <v>46310.57103009259</v>
      </c>
      <c r="U1453" s="2" t="n"/>
    </row>
    <row r="1454">
      <c r="A1454" s="2" t="inlineStr">
        <is>
          <t>Adjudicada</t>
        </is>
      </c>
      <c r="B1454" s="3" t="n">
        <v>46251.99930555555</v>
      </c>
      <c r="C1454" s="5" t="n">
        <v>190337.99</v>
      </c>
      <c r="D1454" s="5" t="n">
        <v>190337.99</v>
      </c>
      <c r="E1454" s="2" t="inlineStr">
        <is>
          <t>Andalucía</t>
        </is>
      </c>
      <c r="F1454" s="2" t="inlineStr">
        <is>
          <t>Córdoba</t>
        </is>
      </c>
      <c r="G1454" s="2" t="n"/>
      <c r="H1454" s="2" t="inlineStr">
        <is>
          <t>Junta de Gobierno del Ayuntamiento de Córdoba</t>
        </is>
      </c>
      <c r="I1454" s="2" t="inlineStr">
        <is>
          <t>Obra de remodelación de las calles Valencia y Palomares</t>
        </is>
      </c>
      <c r="J1454" s="2" t="inlineStr">
        <is>
          <t>2026/098</t>
        </is>
      </c>
      <c r="K1454" s="2" t="inlineStr">
        <is>
          <t>Negociado sin publicidad</t>
        </is>
      </c>
      <c r="L1454" s="6" t="n">
        <v>4</v>
      </c>
      <c r="M1454" s="2" t="n"/>
      <c r="N1454" s="7" t="n">
        <v>0</v>
      </c>
      <c r="O1454" s="4" t="n"/>
      <c r="P1454" s="2" t="inlineStr">
        <is>
          <t>45233252; 45233222</t>
        </is>
      </c>
      <c r="Q1454" s="8" t="inlineStr">
        <is>
          <t>Ver</t>
        </is>
      </c>
      <c r="R1454" s="8" t="inlineStr">
        <is>
          <t>PCAP</t>
        </is>
      </c>
      <c r="S1454" s="9" t="n">
        <v>46311</v>
      </c>
      <c r="T1454" s="3" t="n">
        <v>46310.56736111111</v>
      </c>
      <c r="U1454" s="2" t="n"/>
    </row>
    <row r="1455">
      <c r="A1455" s="2" t="inlineStr">
        <is>
          <t>Resuelta</t>
        </is>
      </c>
      <c r="B1455" s="3" t="n">
        <v>46321.41666666666</v>
      </c>
      <c r="C1455" s="5" t="n">
        <v>386082.62</v>
      </c>
      <c r="D1455" s="5" t="n">
        <v>386082.62</v>
      </c>
      <c r="E1455" s="2" t="inlineStr">
        <is>
          <t>Comunitat Valenciana</t>
        </is>
      </c>
      <c r="F1455" s="2" t="inlineStr">
        <is>
          <t>Alicante</t>
        </is>
      </c>
      <c r="G1455" s="2" t="inlineStr">
        <is>
          <t>Bigastro (Alicante)</t>
        </is>
      </c>
      <c r="H1455" s="2" t="inlineStr">
        <is>
          <t>Dirección Territorial de Educación, Universidades y Empleo de Alicante</t>
        </is>
      </c>
      <c r="I1455" s="2" t="inlineStr">
        <is>
          <t>IES Paco Ruiz de Bigastro. Instalación de climatización</t>
        </is>
      </c>
      <c r="J1455" s="2" t="inlineStr">
        <is>
          <t>CMAYOR/2026/39Y15/0054</t>
        </is>
      </c>
      <c r="K1455" s="2" t="inlineStr">
        <is>
          <t>Abierto simplificado</t>
        </is>
      </c>
      <c r="L1455" s="6" t="n">
        <v>3</v>
      </c>
      <c r="M1455" s="2" t="n"/>
      <c r="N1455" s="7" t="n">
        <v>0</v>
      </c>
      <c r="O1455" s="4" t="n"/>
      <c r="P1455" s="2" t="inlineStr">
        <is>
          <t>45330000</t>
        </is>
      </c>
      <c r="Q1455" s="8" t="inlineStr">
        <is>
          <t>Ver</t>
        </is>
      </c>
      <c r="R1455" s="8" t="inlineStr">
        <is>
          <t>PCAP</t>
        </is>
      </c>
      <c r="S1455" s="9" t="n">
        <v>46311</v>
      </c>
      <c r="T1455" s="3" t="n">
        <v>46310.56659722222</v>
      </c>
      <c r="U1455" s="2" t="n"/>
    </row>
    <row r="1456">
      <c r="A1456" s="2" t="inlineStr">
        <is>
          <t>Pendiente de adjudicación</t>
        </is>
      </c>
      <c r="B1456" s="3" t="n">
        <v>46203.99930555555</v>
      </c>
      <c r="C1456" s="5" t="n">
        <v>79590.64</v>
      </c>
      <c r="D1456" s="5" t="n">
        <v>79590.64</v>
      </c>
      <c r="E1456" s="2" t="inlineStr">
        <is>
          <t>Comunitat Valenciana</t>
        </is>
      </c>
      <c r="F1456" s="2" t="inlineStr">
        <is>
          <t>Alicante</t>
        </is>
      </c>
      <c r="G1456" s="2" t="n"/>
      <c r="H1456" s="2" t="inlineStr">
        <is>
          <t>Presidencia de la Diputación Provincial de Alicante</t>
        </is>
      </c>
      <c r="I1456" s="2" t="inlineStr">
        <is>
          <t>Obras de valorización del entorno del Puente-Acueducto del Barranc de la Mònica, en el municipio de Gorga (Alicante)</t>
        </is>
      </c>
      <c r="J1456" s="2" t="inlineStr">
        <is>
          <t>O4S-043/2026</t>
        </is>
      </c>
      <c r="K1456" s="2" t="inlineStr">
        <is>
          <t>Abierto simplificado</t>
        </is>
      </c>
      <c r="L1456" s="6" t="n">
        <v>4</v>
      </c>
      <c r="M1456" s="2" t="n"/>
      <c r="N1456" s="7" t="n">
        <v>0</v>
      </c>
      <c r="O1456" s="4" t="n"/>
      <c r="P1456" s="2" t="inlineStr">
        <is>
          <t>45212350; 45454100; 45262510; 45262520</t>
        </is>
      </c>
      <c r="Q1456" s="8" t="inlineStr">
        <is>
          <t>Ver</t>
        </is>
      </c>
      <c r="R1456" s="8" t="inlineStr">
        <is>
          <t>PCAP</t>
        </is>
      </c>
      <c r="S1456" s="9" t="n">
        <v>46311</v>
      </c>
      <c r="T1456" s="3" t="n">
        <v>46310.56581018519</v>
      </c>
      <c r="U1456" s="2" t="n"/>
    </row>
    <row r="1457">
      <c r="A1457" s="2" t="inlineStr">
        <is>
          <t>Resuelta</t>
        </is>
      </c>
      <c r="B1457" s="3" t="n">
        <v>46247.58333333334</v>
      </c>
      <c r="C1457" s="5" t="n">
        <v>1946023.42</v>
      </c>
      <c r="D1457" s="5" t="n">
        <v>1946023.42</v>
      </c>
      <c r="E1457" s="2" t="inlineStr">
        <is>
          <t>Comunitat Valenciana</t>
        </is>
      </c>
      <c r="F1457" s="2" t="inlineStr">
        <is>
          <t>Valencia</t>
        </is>
      </c>
      <c r="G1457" s="2" t="n"/>
      <c r="H1457" s="2" t="inlineStr">
        <is>
          <t>Empresa de Transformación Agraria S.A.,S.M.E., M.P., (TRAGSA)</t>
        </is>
      </c>
      <c r="I1457" s="2" t="inlineStr">
        <is>
          <t>UT2 Trabajos de reparación de la red de alumbrado público subterránea afectada por la DANA en el municipio de L´Alcudia</t>
        </is>
      </c>
      <c r="J1457" s="2" t="inlineStr">
        <is>
          <t>TSA0083975</t>
        </is>
      </c>
      <c r="K1457" s="2" t="inlineStr">
        <is>
          <t>Negociado sin publicidad</t>
        </is>
      </c>
      <c r="L1457" s="6" t="n"/>
      <c r="M1457" s="2" t="n"/>
      <c r="N1457" s="7" t="n">
        <v>0</v>
      </c>
      <c r="O1457" s="4" t="n"/>
      <c r="P1457" s="2" t="inlineStr">
        <is>
          <t>45000000</t>
        </is>
      </c>
      <c r="Q1457" s="8" t="inlineStr">
        <is>
          <t>Ver</t>
        </is>
      </c>
      <c r="R1457" s="8" t="inlineStr">
        <is>
          <t>PCAP</t>
        </is>
      </c>
      <c r="S1457" s="9" t="n">
        <v>46311</v>
      </c>
      <c r="T1457" s="3" t="n">
        <v>46310.5652662037</v>
      </c>
      <c r="U1457" s="2" t="n"/>
    </row>
    <row r="1458">
      <c r="A1458" s="2" t="inlineStr">
        <is>
          <t>Adjudicada</t>
        </is>
      </c>
      <c r="B1458" s="3" t="n">
        <v>46258.58333333334</v>
      </c>
      <c r="C1458" s="5" t="n">
        <v>244815.24</v>
      </c>
      <c r="D1458" s="5" t="n">
        <v>244815.24</v>
      </c>
      <c r="E1458" s="2" t="inlineStr">
        <is>
          <t>Comunitat Valenciana</t>
        </is>
      </c>
      <c r="F1458" s="2" t="inlineStr">
        <is>
          <t>Valencia</t>
        </is>
      </c>
      <c r="G1458" s="2" t="inlineStr">
        <is>
          <t>Torrent</t>
        </is>
      </c>
      <c r="H1458" s="2" t="inlineStr">
        <is>
          <t>Gerencia de Aigües de l'Horta S.A.</t>
        </is>
      </c>
      <c r="I1458" s="2" t="inlineStr">
        <is>
          <t>Obra del colector del poligono industrial Masía del Juez afectado por la DANA que vierte al colector norte (Torrent)</t>
        </is>
      </c>
      <c r="J1458" s="2" t="inlineStr">
        <is>
          <t>DANA_Tor11.4</t>
        </is>
      </c>
      <c r="K1458" s="2" t="inlineStr">
        <is>
          <t>Abierto</t>
        </is>
      </c>
      <c r="L1458" s="6" t="n">
        <v>3</v>
      </c>
      <c r="M1458" s="2" t="n"/>
      <c r="N1458" s="7" t="n">
        <v>0.24</v>
      </c>
      <c r="O1458" s="4" t="n"/>
      <c r="P1458" s="2" t="inlineStr">
        <is>
          <t>45231300</t>
        </is>
      </c>
      <c r="Q1458" s="8" t="inlineStr">
        <is>
          <t>Ver</t>
        </is>
      </c>
      <c r="R1458" s="8" t="inlineStr">
        <is>
          <t>PCAP</t>
        </is>
      </c>
      <c r="S1458" s="9" t="n">
        <v>46311</v>
      </c>
      <c r="T1458" s="3" t="n">
        <v>46310.5640162037</v>
      </c>
      <c r="U1458" s="2" t="n"/>
    </row>
    <row r="1459">
      <c r="A1459" s="2" t="inlineStr">
        <is>
          <t>Adjudicada</t>
        </is>
      </c>
      <c r="B1459" s="3" t="n">
        <v>46223.99930555555</v>
      </c>
      <c r="C1459" s="5" t="n">
        <v>73959.48</v>
      </c>
      <c r="D1459" s="5" t="n">
        <v>73959.48</v>
      </c>
      <c r="E1459" s="2" t="inlineStr">
        <is>
          <t>Andalucía</t>
        </is>
      </c>
      <c r="F1459" s="2" t="inlineStr">
        <is>
          <t>Córdoba</t>
        </is>
      </c>
      <c r="G1459" s="2" t="n"/>
      <c r="H1459" s="2" t="inlineStr">
        <is>
          <t>Junta de Gobierno del Ayuntamiento de Córdoba</t>
        </is>
      </c>
      <c r="I1459" s="2" t="inlineStr">
        <is>
          <t>Obras de renovación de solerías en la plaza los Califas</t>
        </is>
      </c>
      <c r="J1459" s="2" t="inlineStr">
        <is>
          <t>2026/052</t>
        </is>
      </c>
      <c r="K1459" s="2" t="inlineStr">
        <is>
          <t>Abierto</t>
        </is>
      </c>
      <c r="L1459" s="6" t="n">
        <v>2</v>
      </c>
      <c r="M1459" s="2" t="n"/>
      <c r="N1459" s="7" t="n">
        <v>0</v>
      </c>
      <c r="O1459" s="4" t="n"/>
      <c r="P1459" s="2" t="inlineStr">
        <is>
          <t>45233222</t>
        </is>
      </c>
      <c r="Q1459" s="8" t="inlineStr">
        <is>
          <t>Ver</t>
        </is>
      </c>
      <c r="R1459" s="8" t="inlineStr">
        <is>
          <t>PCAP</t>
        </is>
      </c>
      <c r="S1459" s="9" t="n">
        <v>46311</v>
      </c>
      <c r="T1459" s="3" t="n">
        <v>46310.56114583334</v>
      </c>
      <c r="U1459" s="2" t="n"/>
    </row>
    <row r="1460">
      <c r="A1460" s="2" t="inlineStr">
        <is>
          <t>Adjudicada</t>
        </is>
      </c>
      <c r="B1460" s="3" t="n">
        <v>46226.77083333334</v>
      </c>
      <c r="C1460" s="5" t="n">
        <v>2544409.61</v>
      </c>
      <c r="D1460" s="5" t="n">
        <v>2544409.61</v>
      </c>
      <c r="E1460" s="2" t="inlineStr">
        <is>
          <t>Andalucía</t>
        </is>
      </c>
      <c r="F1460" s="2" t="inlineStr">
        <is>
          <t>Granada</t>
        </is>
      </c>
      <c r="G1460" s="2" t="n"/>
      <c r="H1460" s="2" t="inlineStr">
        <is>
          <t>Junta de Gobierno del Ayuntamiento de Granada</t>
        </is>
      </c>
      <c r="I1460" s="2" t="inlineStr">
        <is>
          <t>Contrato de obras para la reparación, impermeabilización y adecuación funcional del Estadio Municipal Nuevo los Cármenes de Granada</t>
        </is>
      </c>
      <c r="J1460" s="2" t="inlineStr">
        <is>
          <t>OBR-2026000077</t>
        </is>
      </c>
      <c r="K1460" s="2" t="inlineStr">
        <is>
          <t>Abierto</t>
        </is>
      </c>
      <c r="L1460" s="6" t="n">
        <v>10</v>
      </c>
      <c r="M1460" s="2" t="n"/>
      <c r="N1460" s="7" t="n">
        <v>0.4</v>
      </c>
      <c r="O1460" s="4" t="n"/>
      <c r="P1460" s="2" t="inlineStr">
        <is>
          <t>45212200; 45212600; 45212290</t>
        </is>
      </c>
      <c r="Q1460" s="8" t="inlineStr">
        <is>
          <t>Ver</t>
        </is>
      </c>
      <c r="R1460" s="8" t="inlineStr">
        <is>
          <t>PCAP</t>
        </is>
      </c>
      <c r="S1460" s="9" t="n">
        <v>46311</v>
      </c>
      <c r="T1460" s="3" t="n">
        <v>46310.55931712963</v>
      </c>
      <c r="U1460" s="2" t="n"/>
    </row>
    <row r="1461">
      <c r="A1461" s="2" t="inlineStr">
        <is>
          <t>Pendiente de adjudicación</t>
        </is>
      </c>
      <c r="B1461" s="3" t="n">
        <v>46325.99930555555</v>
      </c>
      <c r="C1461" s="5" t="n">
        <v>598148.76</v>
      </c>
      <c r="D1461" s="5" t="n">
        <v>598148.76</v>
      </c>
      <c r="E1461" s="2" t="inlineStr">
        <is>
          <t>Andalucía</t>
        </is>
      </c>
      <c r="F1461" s="2" t="inlineStr">
        <is>
          <t>Córdoba</t>
        </is>
      </c>
      <c r="G1461" s="2" t="n"/>
      <c r="H1461" s="2" t="inlineStr">
        <is>
          <t>Junta de Gobierno de la Diputación Provincial de Córdoba</t>
        </is>
      </c>
      <c r="I1461" s="2" t="inlineStr">
        <is>
          <t>Contrato de obra de Terminación del Centro Cultural, 3ª fase, en Espejo (Córdoba) (352/26 BIS)</t>
        </is>
      </c>
      <c r="J1461" s="2" t="inlineStr">
        <is>
          <t>352/26 BIS</t>
        </is>
      </c>
      <c r="K1461" s="2" t="inlineStr">
        <is>
          <t>Negociado sin publicidad</t>
        </is>
      </c>
      <c r="L1461" s="6" t="n">
        <v>10</v>
      </c>
      <c r="M1461" s="2" t="n"/>
      <c r="N1461" s="7" t="n">
        <v>0.25</v>
      </c>
      <c r="O1461" s="4" t="n"/>
      <c r="P1461" s="2" t="inlineStr">
        <is>
          <t>45212322; 45210000</t>
        </is>
      </c>
      <c r="Q1461" s="8" t="inlineStr">
        <is>
          <t>Ver</t>
        </is>
      </c>
      <c r="R1461" s="8" t="inlineStr">
        <is>
          <t>PCAP</t>
        </is>
      </c>
      <c r="S1461" s="9" t="n">
        <v>46311</v>
      </c>
      <c r="T1461" s="3" t="n">
        <v>46310.55773148148</v>
      </c>
      <c r="U1461" s="2" t="n"/>
    </row>
    <row r="1462">
      <c r="A1462" s="2" t="inlineStr">
        <is>
          <t>Adjudicada</t>
        </is>
      </c>
      <c r="B1462" s="3" t="n">
        <v>46241.58333333334</v>
      </c>
      <c r="C1462" s="5" t="n">
        <v>12202260</v>
      </c>
      <c r="D1462" s="5" t="n">
        <v>12202260</v>
      </c>
      <c r="E1462" s="2" t="inlineStr">
        <is>
          <t>Comunitat Valenciana</t>
        </is>
      </c>
      <c r="F1462" s="2" t="inlineStr">
        <is>
          <t>Valencia</t>
        </is>
      </c>
      <c r="G1462" s="2" t="inlineStr">
        <is>
          <t>Valencia</t>
        </is>
      </c>
      <c r="H1462" s="2" t="inlineStr">
        <is>
          <t>Consejo de Administración de Plan Cabanyal-Canyamelar, S.A.</t>
        </is>
      </c>
      <c r="I1462" s="2" t="inlineStr">
        <is>
          <t>Obras de ejecución de dos edificios de 51 viviendas, aparcamiento subterráneo y plaza en la parcela recayente a la Calle Astilleros, Calle Vicente Guillot, Tio Bola y Calle Eugenia Viñes.</t>
        </is>
      </c>
      <c r="J1462" s="2" t="inlineStr">
        <is>
          <t>CMAYOR/2026/CABAN/0024</t>
        </is>
      </c>
      <c r="K1462" s="2" t="inlineStr">
        <is>
          <t>Abierto</t>
        </is>
      </c>
      <c r="L1462" s="6" t="n">
        <v>20</v>
      </c>
      <c r="M1462" s="2" t="inlineStr">
        <is>
          <t>C*-6</t>
        </is>
      </c>
      <c r="N1462" s="7" t="n">
        <v>0</v>
      </c>
      <c r="O1462" s="4" t="n"/>
      <c r="P1462" s="2" t="inlineStr">
        <is>
          <t>45000000; 45210000; 45211000; 45200000</t>
        </is>
      </c>
      <c r="Q1462" s="8" t="inlineStr">
        <is>
          <t>Ver</t>
        </is>
      </c>
      <c r="R1462" s="8" t="inlineStr">
        <is>
          <t>PCAP</t>
        </is>
      </c>
      <c r="S1462" s="9" t="n">
        <v>46311</v>
      </c>
      <c r="T1462" s="3" t="n">
        <v>46310.55422453704</v>
      </c>
      <c r="U1462" s="2" t="n"/>
    </row>
    <row r="1463">
      <c r="A1463" s="2" t="inlineStr">
        <is>
          <t>Resuelta</t>
        </is>
      </c>
      <c r="B1463" s="3" t="n">
        <v>46232.99930555555</v>
      </c>
      <c r="C1463" s="5" t="n">
        <v>392591.02</v>
      </c>
      <c r="D1463" s="5" t="n">
        <v>392591.02</v>
      </c>
      <c r="E1463" s="2" t="inlineStr">
        <is>
          <t>Andalucía</t>
        </is>
      </c>
      <c r="F1463" s="2" t="inlineStr">
        <is>
          <t>Sevilla</t>
        </is>
      </c>
      <c r="G1463" s="2" t="n"/>
      <c r="H1463" s="2" t="inlineStr">
        <is>
          <t>Comisión Ejecutiva de la Limpieza Pública y Protección Ambiental Sociedad Anónima Municipal (LIPASAM)</t>
        </is>
      </c>
      <c r="I1463" s="2" t="inlineStr">
        <is>
          <t>Rehabilitación y ampliación del edificio de la antigua Central de Recogida Neumática de residuos de San Diego-Miraflores</t>
        </is>
      </c>
      <c r="J1463" s="2" t="inlineStr">
        <is>
          <t>C.E. 17/2026</t>
        </is>
      </c>
      <c r="K1463" s="2" t="inlineStr">
        <is>
          <t>Abierto</t>
        </is>
      </c>
      <c r="L1463" s="6" t="n">
        <v>6</v>
      </c>
      <c r="M1463" s="2" t="n"/>
      <c r="N1463" s="7" t="n">
        <v>0.35</v>
      </c>
      <c r="O1463" s="4" t="n"/>
      <c r="P1463" s="2" t="inlineStr">
        <is>
          <t>45000000</t>
        </is>
      </c>
      <c r="Q1463" s="8" t="inlineStr">
        <is>
          <t>Ver</t>
        </is>
      </c>
      <c r="R1463" s="8" t="inlineStr">
        <is>
          <t>PCAP</t>
        </is>
      </c>
      <c r="S1463" s="9" t="n">
        <v>46311</v>
      </c>
      <c r="T1463" s="3" t="n">
        <v>46310.55280092593</v>
      </c>
      <c r="U1463" s="2" t="n"/>
    </row>
    <row r="1464">
      <c r="A1464" s="2" t="inlineStr">
        <is>
          <t>Resuelta</t>
        </is>
      </c>
      <c r="B1464" s="3" t="n">
        <v>46210.99930555555</v>
      </c>
      <c r="C1464" s="5" t="n">
        <v>120826.45</v>
      </c>
      <c r="D1464" s="5" t="n">
        <v>120826.45</v>
      </c>
      <c r="E1464" s="2" t="inlineStr">
        <is>
          <t>Andalucía</t>
        </is>
      </c>
      <c r="F1464" s="2" t="inlineStr">
        <is>
          <t>Almería</t>
        </is>
      </c>
      <c r="G1464" s="2" t="n"/>
      <c r="H1464" s="2" t="inlineStr">
        <is>
          <t>Junta de Gobierno de la Diputación Provincial de Almería</t>
        </is>
      </c>
      <c r="I1464" s="2" t="inlineStr">
        <is>
          <t>Obras De Acondicionamiento Y Mejora Del Abastecimiento Municipal. Bentarique. 25PPOS24-27BI</t>
        </is>
      </c>
      <c r="J1464" s="2" t="inlineStr">
        <is>
          <t>2026/D31000/006-013/00063</t>
        </is>
      </c>
      <c r="K1464" s="2" t="inlineStr">
        <is>
          <t>Abierto simplificado</t>
        </is>
      </c>
      <c r="L1464" s="6" t="n">
        <v>4</v>
      </c>
      <c r="M1464" s="2" t="n"/>
      <c r="N1464" s="7" t="n">
        <v>0.25</v>
      </c>
      <c r="O1464" s="4" t="n"/>
      <c r="P1464" s="2" t="inlineStr">
        <is>
          <t>45231223</t>
        </is>
      </c>
      <c r="Q1464" s="8" t="inlineStr">
        <is>
          <t>Ver</t>
        </is>
      </c>
      <c r="R1464" s="8" t="inlineStr">
        <is>
          <t>PCAP</t>
        </is>
      </c>
      <c r="S1464" s="9" t="n">
        <v>46311</v>
      </c>
      <c r="T1464" s="3" t="n">
        <v>46310.55021990741</v>
      </c>
      <c r="U1464" s="2" t="n"/>
    </row>
    <row r="1465">
      <c r="A1465" s="2" t="inlineStr">
        <is>
          <t>En plazo</t>
        </is>
      </c>
      <c r="B1465" s="3" t="n">
        <v>46330.99930555555</v>
      </c>
      <c r="C1465" s="5" t="n">
        <v>80251.53</v>
      </c>
      <c r="D1465" s="5" t="n">
        <v>80251.53</v>
      </c>
      <c r="E1465" s="2" t="inlineStr">
        <is>
          <t>Andalucía</t>
        </is>
      </c>
      <c r="F1465" s="2" t="inlineStr">
        <is>
          <t>Jaén</t>
        </is>
      </c>
      <c r="G1465" s="2" t="inlineStr">
        <is>
          <t>TORREPEROGIL</t>
        </is>
      </c>
      <c r="H1465" s="2" t="inlineStr">
        <is>
          <t>Alcaldía del Ayuntamiento de Torreperogil</t>
        </is>
      </c>
      <c r="I1465" s="2" t="inlineStr">
        <is>
          <t>Repavimentación de acerados de la C/. Río Guadiana en Torreperogil</t>
        </is>
      </c>
      <c r="J1465" s="2" t="inlineStr">
        <is>
          <t>2415/2026</t>
        </is>
      </c>
      <c r="K1465" s="2" t="inlineStr">
        <is>
          <t>Abierto simplificado</t>
        </is>
      </c>
      <c r="L1465" s="6" t="n">
        <v>6</v>
      </c>
      <c r="M1465" s="2" t="n"/>
      <c r="N1465" s="7" t="n">
        <v>0</v>
      </c>
      <c r="O1465" s="4" t="n"/>
      <c r="P1465" s="2" t="inlineStr">
        <is>
          <t>45233252</t>
        </is>
      </c>
      <c r="Q1465" s="8" t="inlineStr">
        <is>
          <t>Ver</t>
        </is>
      </c>
      <c r="R1465" s="8" t="inlineStr">
        <is>
          <t>PCAP</t>
        </is>
      </c>
      <c r="S1465" s="9" t="n">
        <v>46310</v>
      </c>
      <c r="T1465" s="3" t="n">
        <v>46310.54837962963</v>
      </c>
      <c r="U1465" s="2" t="inlineStr">
        <is>
          <t>2026-10-16: estado PRE → PUB; plazo 2026-11-03 23:59 → 2026-11-04 23:59</t>
        </is>
      </c>
    </row>
    <row r="1466">
      <c r="A1466" s="2" t="inlineStr">
        <is>
          <t>Pendiente de adjudicación</t>
        </is>
      </c>
      <c r="B1466" s="3" t="n">
        <v>46308.99930555555</v>
      </c>
      <c r="C1466" s="5" t="n">
        <v>129110.74</v>
      </c>
      <c r="D1466" s="5" t="n">
        <v>129110.74</v>
      </c>
      <c r="E1466" s="2" t="inlineStr">
        <is>
          <t>Andalucía</t>
        </is>
      </c>
      <c r="F1466" s="2" t="inlineStr">
        <is>
          <t>Málaga</t>
        </is>
      </c>
      <c r="G1466" s="2" t="inlineStr">
        <is>
          <t>Algarrobo</t>
        </is>
      </c>
      <c r="H1466" s="2" t="inlineStr">
        <is>
          <t>Alcaldía del Ayuntamiento de Algarrobo</t>
        </is>
      </c>
      <c r="I1466" s="2" t="inlineStr">
        <is>
          <t>Abastecimiento de agua en Calle Buenavista de Algarrobo.</t>
        </is>
      </c>
      <c r="J1466" s="2" t="inlineStr">
        <is>
          <t>672/2026</t>
        </is>
      </c>
      <c r="K1466" s="2" t="inlineStr">
        <is>
          <t>Abierto</t>
        </is>
      </c>
      <c r="L1466" s="6" t="n">
        <v>5</v>
      </c>
      <c r="M1466" s="2" t="n"/>
      <c r="N1466" s="7" t="n">
        <v>0</v>
      </c>
      <c r="O1466" s="4" t="n"/>
      <c r="P1466" s="2" t="inlineStr">
        <is>
          <t>45220000</t>
        </is>
      </c>
      <c r="Q1466" s="8" t="inlineStr">
        <is>
          <t>Ver</t>
        </is>
      </c>
      <c r="R1466" s="8" t="inlineStr">
        <is>
          <t>PCAP</t>
        </is>
      </c>
      <c r="S1466" s="9" t="n">
        <v>46311</v>
      </c>
      <c r="T1466" s="3" t="n">
        <v>46310.54565972222</v>
      </c>
      <c r="U1466" s="2" t="n"/>
    </row>
    <row r="1467">
      <c r="A1467" s="2" t="inlineStr">
        <is>
          <t>En plazo</t>
        </is>
      </c>
      <c r="B1467" s="3" t="n">
        <v>46328.99930555555</v>
      </c>
      <c r="C1467" s="5" t="n">
        <v>209438.33</v>
      </c>
      <c r="D1467" s="5" t="n">
        <v>209438.33</v>
      </c>
      <c r="E1467" s="2" t="inlineStr">
        <is>
          <t>Andalucía</t>
        </is>
      </c>
      <c r="F1467" s="2" t="inlineStr">
        <is>
          <t>Almería</t>
        </is>
      </c>
      <c r="G1467" s="2" t="n"/>
      <c r="H1467" s="2" t="inlineStr">
        <is>
          <t>Junta de Gobierno del Ayuntamiento de Serón</t>
        </is>
      </c>
      <c r="I1467" s="2" t="inlineStr">
        <is>
          <t>Fase 2 ejecución de la nave 1 del proyecto de cuatro naves industriales de promoción municipal sin uso específico octubre 2026</t>
        </is>
      </c>
      <c r="J1467" s="2" t="inlineStr">
        <is>
          <t>2026/408340/006-002/00003</t>
        </is>
      </c>
      <c r="K1467" s="2" t="inlineStr">
        <is>
          <t>Abierto simplificado</t>
        </is>
      </c>
      <c r="L1467" s="6" t="n">
        <v>12</v>
      </c>
      <c r="M1467" s="2" t="n"/>
      <c r="N1467" s="7" t="n">
        <v>0.25</v>
      </c>
      <c r="O1467" s="4" t="n"/>
      <c r="P1467" s="2" t="inlineStr">
        <is>
          <t>45213250; 45213251</t>
        </is>
      </c>
      <c r="Q1467" s="8" t="inlineStr">
        <is>
          <t>Ver</t>
        </is>
      </c>
      <c r="R1467" s="8" t="inlineStr">
        <is>
          <t>PCAP</t>
        </is>
      </c>
      <c r="S1467" s="9" t="n">
        <v>46310</v>
      </c>
      <c r="T1467" s="3" t="n">
        <v>46310.54269675926</v>
      </c>
      <c r="U1467" s="2" t="n"/>
    </row>
    <row r="1468">
      <c r="A1468" s="2" t="inlineStr">
        <is>
          <t>Resuelta</t>
        </is>
      </c>
      <c r="B1468" s="3" t="n">
        <v>46133.99930555555</v>
      </c>
      <c r="C1468" s="5" t="n">
        <v>419743.15</v>
      </c>
      <c r="D1468" s="5" t="n">
        <v>419743.15</v>
      </c>
      <c r="E1468" s="2" t="inlineStr">
        <is>
          <t>Andalucía</t>
        </is>
      </c>
      <c r="F1468" s="2" t="inlineStr">
        <is>
          <t>Jaén</t>
        </is>
      </c>
      <c r="G1468" s="2" t="inlineStr">
        <is>
          <t>JAEN</t>
        </is>
      </c>
      <c r="H1468" s="2" t="inlineStr">
        <is>
          <t>Presidencia de la Diputación Provincial de Jaén</t>
        </is>
      </c>
      <c r="I1468" s="2" t="inlineStr">
        <is>
          <t>Contrato de Obras JA-4106 Begijar a Ibros, mejora de firme.</t>
        </is>
      </c>
      <c r="J1468" s="2" t="inlineStr">
        <is>
          <t>CO-2025/002170</t>
        </is>
      </c>
      <c r="K1468" s="2" t="inlineStr">
        <is>
          <t>Abierto simplificado</t>
        </is>
      </c>
      <c r="L1468" s="6" t="n">
        <v>4</v>
      </c>
      <c r="M1468" s="2" t="n"/>
      <c r="N1468" s="7" t="n">
        <v>0.25</v>
      </c>
      <c r="O1468" s="4" t="n"/>
      <c r="P1468" s="2" t="inlineStr">
        <is>
          <t>45233223</t>
        </is>
      </c>
      <c r="Q1468" s="8" t="inlineStr">
        <is>
          <t>Ver</t>
        </is>
      </c>
      <c r="R1468" s="8" t="inlineStr">
        <is>
          <t>PCAP</t>
        </is>
      </c>
      <c r="S1468" s="9" t="n">
        <v>46310</v>
      </c>
      <c r="T1468" s="3" t="n">
        <v>46310.54201388889</v>
      </c>
      <c r="U1468" s="2" t="inlineStr">
        <is>
          <t>2026-10-16: estado ADJ → RES</t>
        </is>
      </c>
    </row>
    <row r="1469">
      <c r="A1469" s="2" t="inlineStr">
        <is>
          <t>Resuelta</t>
        </is>
      </c>
      <c r="B1469" s="3" t="n">
        <v>46077.99930555555</v>
      </c>
      <c r="C1469" s="5" t="n">
        <v>225000</v>
      </c>
      <c r="D1469" s="5" t="n">
        <v>225000</v>
      </c>
      <c r="E1469" s="2" t="inlineStr">
        <is>
          <t>Andalucía</t>
        </is>
      </c>
      <c r="F1469" s="2" t="inlineStr">
        <is>
          <t>Huelva</t>
        </is>
      </c>
      <c r="G1469" s="2" t="n"/>
      <c r="H1469" s="2" t="inlineStr">
        <is>
          <t>Presidencia de la Diputación Provincial de Huelva</t>
        </is>
      </c>
      <c r="I1469"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1469" s="2" t="inlineStr">
        <is>
          <t>2025/CMY_03/000027</t>
        </is>
      </c>
      <c r="K1469" s="2" t="inlineStr">
        <is>
          <t>Abierto simplificado</t>
        </is>
      </c>
      <c r="L1469" s="6" t="n">
        <v>3.5</v>
      </c>
      <c r="M1469" s="2" t="n"/>
      <c r="N1469" s="7" t="n">
        <v>0</v>
      </c>
      <c r="O1469" s="4" t="n">
        <v>3</v>
      </c>
      <c r="P1469" s="2" t="inlineStr">
        <is>
          <t>45000000; 51100000; 31158100</t>
        </is>
      </c>
      <c r="Q1469" s="8" t="inlineStr">
        <is>
          <t>Ver</t>
        </is>
      </c>
      <c r="R1469" s="8" t="inlineStr">
        <is>
          <t>PCAP</t>
        </is>
      </c>
      <c r="S1469" s="9" t="n">
        <v>46311</v>
      </c>
      <c r="T1469" s="3" t="n">
        <v>46310.53982638889</v>
      </c>
      <c r="U1469" s="2" t="n"/>
    </row>
    <row r="1470">
      <c r="A1470" s="2" t="inlineStr">
        <is>
          <t>Pendiente de adjudicación</t>
        </is>
      </c>
      <c r="B1470" s="3" t="n">
        <v>46223.54166666666</v>
      </c>
      <c r="C1470" s="5" t="n">
        <v>232751.82</v>
      </c>
      <c r="D1470" s="5" t="n">
        <v>256027</v>
      </c>
      <c r="E1470" s="2" t="inlineStr">
        <is>
          <t>Comunitat Valenciana</t>
        </is>
      </c>
      <c r="F1470" s="2" t="inlineStr">
        <is>
          <t>Valencia</t>
        </is>
      </c>
      <c r="G1470" s="2" t="inlineStr">
        <is>
          <t>Valencia</t>
        </is>
      </c>
      <c r="H1470" s="2" t="inlineStr">
        <is>
          <t>Presidencia de la Autoridad Portuaria de Valencia</t>
        </is>
      </c>
      <c r="I1470" s="2" t="inlineStr">
        <is>
          <t>Nuevo centro de transformación (VCT-040) en el dique del este para el suministro eléctrico a autopista ferroviaria</t>
        </is>
      </c>
      <c r="J1470" s="2" t="inlineStr">
        <is>
          <t>EC26-C02-01210</t>
        </is>
      </c>
      <c r="K1470" s="2" t="inlineStr">
        <is>
          <t>Abierto</t>
        </is>
      </c>
      <c r="L1470" s="6" t="n">
        <v>6</v>
      </c>
      <c r="M1470" s="2" t="inlineStr">
        <is>
          <t>I5-2</t>
        </is>
      </c>
      <c r="N1470" s="7" t="n">
        <v>0.49</v>
      </c>
      <c r="O1470" s="4" t="n"/>
      <c r="P1470" s="2" t="inlineStr">
        <is>
          <t>45231400; 45315400</t>
        </is>
      </c>
      <c r="Q1470" s="8" t="inlineStr">
        <is>
          <t>Ver</t>
        </is>
      </c>
      <c r="R1470" s="8" t="inlineStr">
        <is>
          <t>PCAP</t>
        </is>
      </c>
      <c r="S1470" s="9" t="n">
        <v>46311</v>
      </c>
      <c r="T1470" s="3" t="n">
        <v>46310.53909722222</v>
      </c>
      <c r="U1470" s="2" t="n"/>
    </row>
    <row r="1471">
      <c r="A1471" s="2" t="inlineStr">
        <is>
          <t>Resuelta</t>
        </is>
      </c>
      <c r="B1471" s="3" t="n">
        <v>46132.99930555555</v>
      </c>
      <c r="C1471" s="5" t="n">
        <v>406642.94</v>
      </c>
      <c r="D1471" s="5" t="n">
        <v>406642.94</v>
      </c>
      <c r="E1471" s="2" t="inlineStr">
        <is>
          <t>Andalucía</t>
        </is>
      </c>
      <c r="F1471" s="2" t="inlineStr">
        <is>
          <t>Jaén</t>
        </is>
      </c>
      <c r="G1471" s="2" t="inlineStr">
        <is>
          <t>JAEN</t>
        </is>
      </c>
      <c r="H1471" s="2" t="inlineStr">
        <is>
          <t>Presidencia de la Diputación Provincial de Jaén</t>
        </is>
      </c>
      <c r="I1471" s="2" t="inlineStr">
        <is>
          <t>Contrato de Obras JA-3410 Villanueva de la Reina a Cazalilla, mejora de firme</t>
        </is>
      </c>
      <c r="J1471" s="2" t="inlineStr">
        <is>
          <t>CO-2025/002171</t>
        </is>
      </c>
      <c r="K1471" s="2" t="inlineStr">
        <is>
          <t>Abierto simplificado</t>
        </is>
      </c>
      <c r="L1471" s="6" t="n">
        <v>4</v>
      </c>
      <c r="M1471" s="2" t="n"/>
      <c r="N1471" s="7" t="n">
        <v>0.25</v>
      </c>
      <c r="O1471" s="4" t="n"/>
      <c r="P1471" s="2" t="inlineStr">
        <is>
          <t>45233223</t>
        </is>
      </c>
      <c r="Q1471" s="8" t="inlineStr">
        <is>
          <t>Ver</t>
        </is>
      </c>
      <c r="R1471" s="8" t="inlineStr">
        <is>
          <t>PCAP</t>
        </is>
      </c>
      <c r="S1471" s="9" t="n">
        <v>46311</v>
      </c>
      <c r="T1471" s="3" t="n">
        <v>46310.53753472222</v>
      </c>
      <c r="U1471" s="2" t="n"/>
    </row>
    <row r="1472">
      <c r="A1472" s="2" t="inlineStr">
        <is>
          <t>Pendiente de adjudicación</t>
        </is>
      </c>
      <c r="B1472" s="3" t="n">
        <v>46192.58333333334</v>
      </c>
      <c r="C1472" s="5" t="n">
        <v>11017565.3</v>
      </c>
      <c r="D1472" s="5" t="n">
        <v>12119321.83</v>
      </c>
      <c r="E1472" s="2" t="inlineStr">
        <is>
          <t>Comunitat Valenciana</t>
        </is>
      </c>
      <c r="F1472" s="2" t="inlineStr">
        <is>
          <t>Valencia</t>
        </is>
      </c>
      <c r="G1472" s="2" t="inlineStr">
        <is>
          <t>Requena</t>
        </is>
      </c>
      <c r="H1472" s="2" t="inlineStr">
        <is>
          <t>Dirección General de Gestión Económica, Contratación e Infraestructuras de la Conselleria de Sanidad</t>
        </is>
      </c>
      <c r="I1472" s="2" t="inlineStr">
        <is>
          <t>obras para la reforma integral del centro de salud de requena (valencia)</t>
        </is>
      </c>
      <c r="J1472" s="2" t="inlineStr">
        <is>
          <t>58/2026</t>
        </is>
      </c>
      <c r="K1472" s="2" t="inlineStr">
        <is>
          <t>Abierto</t>
        </is>
      </c>
      <c r="L1472" s="6" t="n">
        <v>20</v>
      </c>
      <c r="M1472" s="2" t="inlineStr">
        <is>
          <t>C*-6</t>
        </is>
      </c>
      <c r="N1472" s="7" t="n">
        <v>0.1</v>
      </c>
      <c r="O1472" s="4" t="n"/>
      <c r="P1472" s="2" t="inlineStr">
        <is>
          <t>45215100</t>
        </is>
      </c>
      <c r="Q1472" s="8" t="inlineStr">
        <is>
          <t>Ver</t>
        </is>
      </c>
      <c r="R1472" s="8" t="inlineStr">
        <is>
          <t>PCAP</t>
        </is>
      </c>
      <c r="S1472" s="9" t="n">
        <v>46311</v>
      </c>
      <c r="T1472" s="3" t="n">
        <v>46310.53547453704</v>
      </c>
      <c r="U1472" s="2" t="n"/>
    </row>
    <row r="1473">
      <c r="A1473" s="2" t="inlineStr">
        <is>
          <t>En plazo</t>
        </is>
      </c>
      <c r="B1473" s="3" t="n">
        <v>46330.99930555555</v>
      </c>
      <c r="C1473" s="5" t="n">
        <v>291670.12</v>
      </c>
      <c r="D1473" s="5" t="n">
        <v>291670.12</v>
      </c>
      <c r="E1473" s="2" t="inlineStr">
        <is>
          <t>Andalucía</t>
        </is>
      </c>
      <c r="F1473" s="2" t="inlineStr">
        <is>
          <t>Málaga</t>
        </is>
      </c>
      <c r="G1473" s="2" t="inlineStr">
        <is>
          <t>Salares</t>
        </is>
      </c>
      <c r="H1473" s="2" t="inlineStr">
        <is>
          <t>Alcaldía del Ayuntamiento de Salares</t>
        </is>
      </c>
      <c r="I1473" s="2" t="inlineStr">
        <is>
          <t>Cubrición de pista polideportiva en Salares</t>
        </is>
      </c>
      <c r="J1473" s="2" t="inlineStr">
        <is>
          <t>163/2026_CUBRICIÓN PISTA POLIDEPORTIVA EN SALARES</t>
        </is>
      </c>
      <c r="K1473" s="2" t="inlineStr">
        <is>
          <t>Abierto simplificado</t>
        </is>
      </c>
      <c r="L1473" s="6" t="n">
        <v>7</v>
      </c>
      <c r="M1473" s="2" t="n"/>
      <c r="N1473" s="7" t="n">
        <v>0</v>
      </c>
      <c r="O1473" s="4" t="n"/>
      <c r="P1473" s="2" t="inlineStr">
        <is>
          <t>45000000; 45261000; 45212200</t>
        </is>
      </c>
      <c r="Q1473" s="8" t="inlineStr">
        <is>
          <t>Ver</t>
        </is>
      </c>
      <c r="R1473" s="8" t="inlineStr">
        <is>
          <t>PCAP</t>
        </is>
      </c>
      <c r="S1473" s="9" t="n">
        <v>46311</v>
      </c>
      <c r="T1473" s="3" t="n">
        <v>46310.53189814815</v>
      </c>
      <c r="U1473" s="2" t="n"/>
    </row>
    <row r="1474">
      <c r="A1474" s="2" t="inlineStr">
        <is>
          <t>Pendiente de adjudicación</t>
        </is>
      </c>
      <c r="B1474" s="3" t="n">
        <v>46276.54166666666</v>
      </c>
      <c r="C1474" s="5" t="n">
        <v>3822619.52</v>
      </c>
      <c r="D1474" s="5" t="n">
        <v>3822619.52</v>
      </c>
      <c r="E1474" s="2" t="inlineStr">
        <is>
          <t>Comunitat Valenciana</t>
        </is>
      </c>
      <c r="F1474" s="2" t="inlineStr">
        <is>
          <t>Alicante</t>
        </is>
      </c>
      <c r="G1474" s="2" t="n"/>
      <c r="H1474" s="2" t="inlineStr">
        <is>
          <t>ADIF - Presidencia</t>
        </is>
      </c>
      <c r="I1474" s="2" t="inlineStr">
        <is>
          <t>Ejecución de las obras del proyecto constructivo para la supresión de los pasos a nivel del pk 25/600 y 25/797 de la línea Red Ferroviaria de Interés General 336 El Reguerón - Alacant - Terminal. Término municipal de Elche (Alicante)</t>
        </is>
      </c>
      <c r="J1474" s="2" t="inlineStr">
        <is>
          <t>3.26/27507.0134</t>
        </is>
      </c>
      <c r="K1474" s="2" t="inlineStr">
        <is>
          <t>Abierto</t>
        </is>
      </c>
      <c r="L1474" s="6" t="n">
        <v>12</v>
      </c>
      <c r="M1474" s="2" t="inlineStr">
        <is>
          <t>B2-5</t>
        </is>
      </c>
      <c r="N1474" s="7" t="n">
        <v>0.49</v>
      </c>
      <c r="O1474" s="4" t="n"/>
      <c r="P1474" s="2" t="inlineStr">
        <is>
          <t>45221000</t>
        </is>
      </c>
      <c r="Q1474" s="8" t="inlineStr">
        <is>
          <t>Ver</t>
        </is>
      </c>
      <c r="R1474" s="8" t="inlineStr">
        <is>
          <t>PCAP</t>
        </is>
      </c>
      <c r="S1474" s="9" t="n">
        <v>46310</v>
      </c>
      <c r="T1474" s="3" t="n">
        <v>46310.52493055556</v>
      </c>
      <c r="U1474" s="2" t="n"/>
    </row>
    <row r="1475">
      <c r="A1475" s="2" t="inlineStr">
        <is>
          <t>Resuelta</t>
        </is>
      </c>
      <c r="B1475" s="3" t="n">
        <v>46000.75</v>
      </c>
      <c r="C1475" s="5" t="n">
        <v>289256.2</v>
      </c>
      <c r="D1475" s="5" t="n">
        <v>289256.2</v>
      </c>
      <c r="E1475" s="2" t="inlineStr">
        <is>
          <t>Andalucía</t>
        </is>
      </c>
      <c r="F1475" s="2" t="inlineStr">
        <is>
          <t>Cádiz</t>
        </is>
      </c>
      <c r="G1475" s="2" t="inlineStr">
        <is>
          <t>El Puerto de Santa María</t>
        </is>
      </c>
      <c r="H1475" s="2" t="inlineStr">
        <is>
          <t>Junta de Gobierno del Ayuntamiento de El Puerto de Santa María</t>
        </is>
      </c>
      <c r="I1475" s="2" t="inlineStr">
        <is>
          <t>Reforma integral del Parque de la Arboleda Perdida.</t>
        </is>
      </c>
      <c r="J1475" s="2" t="inlineStr">
        <is>
          <t>2025/6/S196</t>
        </is>
      </c>
      <c r="K1475" s="2" t="inlineStr">
        <is>
          <t>Abierto simplificado</t>
        </is>
      </c>
      <c r="L1475" s="6" t="n">
        <v>5</v>
      </c>
      <c r="M1475" s="2" t="n"/>
      <c r="N1475" s="7" t="n">
        <v>0</v>
      </c>
      <c r="O1475" s="4" t="n"/>
      <c r="P1475" s="2" t="inlineStr">
        <is>
          <t>45112700; 45112711; 45112712; 45112710</t>
        </is>
      </c>
      <c r="Q1475" s="8" t="inlineStr">
        <is>
          <t>Ver</t>
        </is>
      </c>
      <c r="R1475" s="8" t="inlineStr">
        <is>
          <t>PCAP</t>
        </is>
      </c>
      <c r="S1475" s="9" t="n">
        <v>46311</v>
      </c>
      <c r="T1475" s="3" t="n">
        <v>46310.5243287037</v>
      </c>
      <c r="U1475" s="2" t="n"/>
    </row>
    <row r="1476">
      <c r="A1476" s="2" t="inlineStr">
        <is>
          <t>En plazo</t>
        </is>
      </c>
      <c r="B1476" s="3" t="n">
        <v>46330.99930555555</v>
      </c>
      <c r="C1476" s="5" t="n">
        <v>1846516.62</v>
      </c>
      <c r="D1476" s="5" t="n">
        <v>1846516.62</v>
      </c>
      <c r="E1476" s="2" t="inlineStr">
        <is>
          <t>Andalucía</t>
        </is>
      </c>
      <c r="F1476" s="2" t="inlineStr">
        <is>
          <t>Sevilla</t>
        </is>
      </c>
      <c r="G1476" s="2" t="inlineStr">
        <is>
          <t>Bormujos</t>
        </is>
      </c>
      <c r="H1476" s="2" t="inlineStr">
        <is>
          <t>Alcaldía del Ayuntamiento de Bormujos</t>
        </is>
      </c>
      <c r="I1476" s="2" t="inlineStr">
        <is>
          <t>Ejecución de las obras de “Remodelación de Bulevar Avenida San Juan de Dios”.</t>
        </is>
      </c>
      <c r="J1476" s="2" t="inlineStr">
        <is>
          <t>12483/2026</t>
        </is>
      </c>
      <c r="K1476" s="2" t="inlineStr">
        <is>
          <t>Abierto simplificado</t>
        </is>
      </c>
      <c r="L1476" s="6" t="n">
        <v>5</v>
      </c>
      <c r="M1476" s="2" t="inlineStr">
        <is>
          <t>G6-4</t>
        </is>
      </c>
      <c r="N1476" s="7" t="n">
        <v>0.2</v>
      </c>
      <c r="O1476" s="4" t="n"/>
      <c r="P1476" s="2" t="inlineStr">
        <is>
          <t>45233252</t>
        </is>
      </c>
      <c r="Q1476" s="8" t="inlineStr">
        <is>
          <t>Ver</t>
        </is>
      </c>
      <c r="R1476" s="8" t="inlineStr">
        <is>
          <t>PCAP</t>
        </is>
      </c>
      <c r="S1476" s="9" t="n">
        <v>46311</v>
      </c>
      <c r="T1476" s="3" t="n">
        <v>46310.52320601852</v>
      </c>
      <c r="U1476" s="2" t="n"/>
    </row>
    <row r="1477">
      <c r="A1477" s="2" t="inlineStr">
        <is>
          <t>Pendiente de adjudicación</t>
        </is>
      </c>
      <c r="B1477" s="3" t="n">
        <v>46269.54166666666</v>
      </c>
      <c r="C1477" s="5" t="n">
        <v>250224.45</v>
      </c>
      <c r="D1477" s="5" t="n">
        <v>275246.9</v>
      </c>
      <c r="E1477" s="2" t="inlineStr">
        <is>
          <t>Comunitat Valenciana</t>
        </is>
      </c>
      <c r="F1477" s="2" t="inlineStr">
        <is>
          <t>Valencia</t>
        </is>
      </c>
      <c r="G1477" s="2" t="inlineStr">
        <is>
          <t>Valencia</t>
        </is>
      </c>
      <c r="H1477" s="2" t="inlineStr">
        <is>
          <t>Presidencia de la Diputación Provincial de Valencia</t>
        </is>
      </c>
      <c r="I1477" s="2" t="inlineStr">
        <is>
          <t>Ejecución de obras de Mejora en el Edificio (Sustitución de Carpintería de Fachada) Hugo de Moncada, 9 de Valencia.</t>
        </is>
      </c>
      <c r="J1477" s="2" t="inlineStr">
        <is>
          <t>35/26/PRT</t>
        </is>
      </c>
      <c r="K1477" s="2" t="inlineStr">
        <is>
          <t>Abierto simplificado</t>
        </is>
      </c>
      <c r="L1477" s="6" t="n">
        <v>3</v>
      </c>
      <c r="M1477" s="2" t="inlineStr">
        <is>
          <t>C4-2; C9-2</t>
        </is>
      </c>
      <c r="N1477" s="7" t="n">
        <v>0</v>
      </c>
      <c r="O1477" s="4" t="n"/>
      <c r="P1477" s="2" t="inlineStr">
        <is>
          <t>45421132</t>
        </is>
      </c>
      <c r="Q1477" s="8" t="inlineStr">
        <is>
          <t>Ver</t>
        </is>
      </c>
      <c r="R1477" s="8" t="inlineStr">
        <is>
          <t>PCAP</t>
        </is>
      </c>
      <c r="S1477" s="9" t="n">
        <v>46311</v>
      </c>
      <c r="T1477" s="3" t="n">
        <v>46310.51923611111</v>
      </c>
      <c r="U1477" s="2" t="n"/>
    </row>
    <row r="1478">
      <c r="A1478" s="2" t="inlineStr">
        <is>
          <t>En plazo</t>
        </is>
      </c>
      <c r="B1478" s="3" t="n">
        <v>46330.99930555555</v>
      </c>
      <c r="C1478" s="5" t="n">
        <v>161510.39</v>
      </c>
      <c r="D1478" s="5" t="n">
        <v>161510.39</v>
      </c>
      <c r="E1478" s="2" t="inlineStr">
        <is>
          <t>Andalucía</t>
        </is>
      </c>
      <c r="F1478" s="2" t="inlineStr">
        <is>
          <t>Cádiz</t>
        </is>
      </c>
      <c r="G1478" s="2" t="inlineStr">
        <is>
          <t>Villamartin</t>
        </is>
      </c>
      <c r="H1478" s="2" t="inlineStr">
        <is>
          <t>Alcaldía del Ayuntamiento de Villamartín</t>
        </is>
      </c>
      <c r="I1478" s="2" t="inlineStr">
        <is>
          <t>"Reurbanización de la Calle Cronista José Bernal", en el término municipal de Villamartín.</t>
        </is>
      </c>
      <c r="J1478" s="2" t="inlineStr">
        <is>
          <t>2024/2026</t>
        </is>
      </c>
      <c r="K1478" s="2" t="inlineStr">
        <is>
          <t>Abierto simplificado</t>
        </is>
      </c>
      <c r="L1478" s="6" t="n">
        <v>3</v>
      </c>
      <c r="M1478" s="2" t="n"/>
      <c r="N1478" s="7" t="n">
        <v>0</v>
      </c>
      <c r="O1478" s="4" t="n"/>
      <c r="P1478" s="2" t="inlineStr">
        <is>
          <t>45112000; 45232400; 45112100; 45233252</t>
        </is>
      </c>
      <c r="Q1478" s="8" t="inlineStr">
        <is>
          <t>Ver</t>
        </is>
      </c>
      <c r="R1478" s="8" t="inlineStr">
        <is>
          <t>PCAP</t>
        </is>
      </c>
      <c r="S1478" s="9" t="n">
        <v>46311</v>
      </c>
      <c r="T1478" s="3" t="n">
        <v>46310.51563657408</v>
      </c>
      <c r="U1478" s="2" t="n"/>
    </row>
    <row r="1479">
      <c r="A1479" s="2" t="inlineStr">
        <is>
          <t>En plazo</t>
        </is>
      </c>
      <c r="B1479" s="3" t="n">
        <v>46331.79166666666</v>
      </c>
      <c r="C1479" s="5" t="n">
        <v>175206.62</v>
      </c>
      <c r="D1479" s="5" t="n">
        <v>175206.62</v>
      </c>
      <c r="E1479" s="2" t="inlineStr">
        <is>
          <t>Comunitat Valenciana</t>
        </is>
      </c>
      <c r="F1479" s="2" t="inlineStr">
        <is>
          <t>Valencia</t>
        </is>
      </c>
      <c r="G1479" s="2" t="inlineStr">
        <is>
          <t>Xàtiva</t>
        </is>
      </c>
      <c r="H1479" s="2" t="inlineStr">
        <is>
          <t>Departamento de Salud de Xàtiva-Ontinyent. Dirección Económica-Gerencia</t>
        </is>
      </c>
      <c r="I1479" s="2" t="inlineStr">
        <is>
          <t>Dirección de obra y coordinación de seguridad y salud y ejecución de las obras de reforma de los ascensores limpio-sucio en el Hospital Universitario Lluís Alcanyís de Xàtiva.</t>
        </is>
      </c>
      <c r="J1479" s="2" t="inlineStr">
        <is>
          <t>PAS 1676 2026</t>
        </is>
      </c>
      <c r="K1479" s="2" t="inlineStr">
        <is>
          <t>Abierto simplificado</t>
        </is>
      </c>
      <c r="L1479" s="6" t="n">
        <v>9</v>
      </c>
      <c r="M1479" s="2" t="n"/>
      <c r="N1479" s="7" t="n">
        <v>0.45</v>
      </c>
      <c r="O1479" s="4" t="n">
        <v>2</v>
      </c>
      <c r="P1479" s="2" t="inlineStr">
        <is>
          <t>45000000; 45215100; 71520000; 45315600; 71317200; 71317210; 45259900; 71540000</t>
        </is>
      </c>
      <c r="Q1479" s="8" t="inlineStr">
        <is>
          <t>Ver</t>
        </is>
      </c>
      <c r="R1479" s="8" t="inlineStr">
        <is>
          <t>PCAP</t>
        </is>
      </c>
      <c r="S1479" s="9" t="n">
        <v>46311</v>
      </c>
      <c r="T1479" s="3" t="n">
        <v>46310.51527777778</v>
      </c>
      <c r="U1479" s="2" t="n"/>
    </row>
    <row r="1480">
      <c r="A1480" s="2" t="inlineStr">
        <is>
          <t>Resuelta</t>
        </is>
      </c>
      <c r="B1480" s="3" t="n">
        <v>46254.58333333334</v>
      </c>
      <c r="C1480" s="5" t="n">
        <v>61983.47</v>
      </c>
      <c r="D1480" s="5" t="n">
        <v>68181.82000000001</v>
      </c>
      <c r="E1480" s="2" t="inlineStr">
        <is>
          <t>Comunitat Valenciana</t>
        </is>
      </c>
      <c r="F1480" s="2" t="inlineStr">
        <is>
          <t>Valencia</t>
        </is>
      </c>
      <c r="G1480" s="2" t="n"/>
      <c r="H1480" s="2" t="inlineStr">
        <is>
          <t>Departamento de Salud de Sagunto. Dirección Económica-Gerencia</t>
        </is>
      </c>
      <c r="I1480" s="2" t="inlineStr">
        <is>
          <t>Obra de sustitución del ascensor existente en el Centro de Salud de Sagunto, Avda Sants de la Pedra, 81, Sagunto.</t>
        </is>
      </c>
      <c r="J1480" s="2" t="inlineStr">
        <is>
          <t>678/2026</t>
        </is>
      </c>
      <c r="K1480" s="2" t="inlineStr">
        <is>
          <t>Abierto simplificado</t>
        </is>
      </c>
      <c r="L1480" s="6" t="n">
        <v>3.5</v>
      </c>
      <c r="M1480" s="2" t="inlineStr">
        <is>
          <t>J1-1</t>
        </is>
      </c>
      <c r="N1480" s="7" t="n">
        <v>0</v>
      </c>
      <c r="O1480" s="4" t="n"/>
      <c r="P1480" s="2" t="inlineStr">
        <is>
          <t>45313100; 42416100</t>
        </is>
      </c>
      <c r="Q1480" s="8" t="inlineStr">
        <is>
          <t>Ver</t>
        </is>
      </c>
      <c r="R1480" s="8" t="inlineStr">
        <is>
          <t>PCAP</t>
        </is>
      </c>
      <c r="S1480" s="9" t="n">
        <v>46311</v>
      </c>
      <c r="T1480" s="3" t="n">
        <v>46310.51432870371</v>
      </c>
      <c r="U1480" s="2" t="n"/>
    </row>
    <row r="1481">
      <c r="A1481" s="2" t="inlineStr">
        <is>
          <t>Resuelta</t>
        </is>
      </c>
      <c r="B1481" s="3" t="n">
        <v>46295.375</v>
      </c>
      <c r="C1481" s="5" t="n">
        <v>165289.26</v>
      </c>
      <c r="D1481" s="5" t="n">
        <v>165289.26</v>
      </c>
      <c r="E1481" s="2" t="inlineStr">
        <is>
          <t>Andalucía</t>
        </is>
      </c>
      <c r="F1481" s="2" t="inlineStr">
        <is>
          <t>Granada</t>
        </is>
      </c>
      <c r="G1481" s="2" t="inlineStr">
        <is>
          <t>Armilla</t>
        </is>
      </c>
      <c r="H1481" s="2" t="inlineStr">
        <is>
          <t>Jefatura de la Sección Económico Administrativa 24 de la Base Aérea de Morón</t>
        </is>
      </c>
      <c r="I1481" s="2" t="inlineStr">
        <is>
          <t>2216/GRUAPO/INFRA Reparación de daños no estructurales ocasionados por seísmos</t>
        </is>
      </c>
      <c r="J1481" s="2" t="inlineStr">
        <is>
          <t>2026/EA24/00002210E</t>
        </is>
      </c>
      <c r="K1481" s="2" t="inlineStr">
        <is>
          <t>Abierto</t>
        </is>
      </c>
      <c r="L1481" s="6" t="n">
        <v>1.5</v>
      </c>
      <c r="M1481" s="2" t="n"/>
      <c r="N1481" s="7" t="n">
        <v>0</v>
      </c>
      <c r="O1481" s="4" t="n"/>
      <c r="P1481" s="2" t="inlineStr">
        <is>
          <t>45262690</t>
        </is>
      </c>
      <c r="Q1481" s="8" t="inlineStr">
        <is>
          <t>Ver</t>
        </is>
      </c>
      <c r="R1481" s="8" t="inlineStr">
        <is>
          <t>PCAP</t>
        </is>
      </c>
      <c r="S1481" s="9" t="n">
        <v>46310</v>
      </c>
      <c r="T1481" s="3" t="n">
        <v>46310.51386574074</v>
      </c>
      <c r="U1481" s="2" t="n"/>
    </row>
    <row r="1482">
      <c r="A1482" s="2" t="inlineStr">
        <is>
          <t>Resuelta</t>
        </is>
      </c>
      <c r="B1482" s="3" t="n">
        <v>46275.99930555555</v>
      </c>
      <c r="C1482" s="5" t="n">
        <v>148760.33</v>
      </c>
      <c r="D1482" s="5" t="n">
        <v>148760.33</v>
      </c>
      <c r="E1482" s="2" t="inlineStr">
        <is>
          <t>Andalucía</t>
        </is>
      </c>
      <c r="F1482" s="2" t="inlineStr">
        <is>
          <t>Almería</t>
        </is>
      </c>
      <c r="G1482" s="2" t="n"/>
      <c r="H1482" s="2" t="inlineStr">
        <is>
          <t>Alcaldía del Ayuntamiento de Níjar</t>
        </is>
      </c>
      <c r="I1482" s="2" t="inlineStr">
        <is>
          <t>Construcción de quiosco y núcleo de aseos en el Parque Los Olivicos de Campohermoso (Níjar)., con cargo al FEDER, en el marco de los PAI (NÍJAR PARA CONVIVIR).</t>
        </is>
      </c>
      <c r="J1482" s="2" t="inlineStr">
        <is>
          <t>10914/2026</t>
        </is>
      </c>
      <c r="K1482" s="2" t="inlineStr">
        <is>
          <t>Abierto simplificado</t>
        </is>
      </c>
      <c r="L1482" s="6" t="n">
        <v>6</v>
      </c>
      <c r="M1482" s="2" t="n"/>
      <c r="N1482" s="7" t="n">
        <v>0.25</v>
      </c>
      <c r="O1482" s="4" t="n"/>
      <c r="P1482" s="2" t="inlineStr">
        <is>
          <t>45212000</t>
        </is>
      </c>
      <c r="Q1482" s="8" t="inlineStr">
        <is>
          <t>Ver</t>
        </is>
      </c>
      <c r="R1482" s="8" t="inlineStr">
        <is>
          <t>PCAP</t>
        </is>
      </c>
      <c r="S1482" s="9" t="n">
        <v>46311</v>
      </c>
      <c r="T1482" s="3" t="n">
        <v>46310.51173611111</v>
      </c>
      <c r="U1482" s="2" t="n"/>
    </row>
    <row r="1483">
      <c r="A1483" s="2" t="inlineStr">
        <is>
          <t>Pendiente de adjudicación</t>
        </is>
      </c>
      <c r="B1483" s="3" t="n">
        <v>46294.99930555555</v>
      </c>
      <c r="C1483" s="5" t="n">
        <v>517071.63</v>
      </c>
      <c r="D1483" s="5" t="n">
        <v>517071.63</v>
      </c>
      <c r="E1483" s="2" t="inlineStr">
        <is>
          <t>Andalucía</t>
        </is>
      </c>
      <c r="F1483" s="2" t="inlineStr">
        <is>
          <t>Córdoba</t>
        </is>
      </c>
      <c r="G1483" s="2" t="n"/>
      <c r="H1483" s="2" t="inlineStr">
        <is>
          <t>Junta de Gobierno de la Diputación Provincial de Córdoba</t>
        </is>
      </c>
      <c r="I1483" s="2" t="inlineStr">
        <is>
          <t>Contratación de las obras de reparación parcial de la CO-3204 de Córdoba a A-309 por la campiña (p.k.k.0+000 al 5+250) (Córdoba)</t>
        </is>
      </c>
      <c r="J1483" s="2" t="inlineStr">
        <is>
          <t>711/26</t>
        </is>
      </c>
      <c r="K1483" s="2" t="inlineStr">
        <is>
          <t>Abierto</t>
        </is>
      </c>
      <c r="L1483" s="6" t="n">
        <v>4</v>
      </c>
      <c r="M1483" s="2" t="inlineStr">
        <is>
          <t>G6-3</t>
        </is>
      </c>
      <c r="N1483" s="7" t="n">
        <v>0.4</v>
      </c>
      <c r="O1483" s="4" t="n"/>
      <c r="P1483" s="2" t="inlineStr">
        <is>
          <t>45233142</t>
        </is>
      </c>
      <c r="Q1483" s="8" t="inlineStr">
        <is>
          <t>Ver</t>
        </is>
      </c>
      <c r="R1483" s="8" t="inlineStr">
        <is>
          <t>PCAP</t>
        </is>
      </c>
      <c r="S1483" s="9" t="n">
        <v>46310</v>
      </c>
      <c r="T1483" s="3" t="n">
        <v>46310.49884259259</v>
      </c>
      <c r="U1483" s="2" t="n"/>
    </row>
    <row r="1484">
      <c r="A1484" s="2" t="inlineStr">
        <is>
          <t>Resuelta</t>
        </is>
      </c>
      <c r="B1484" s="3" t="n">
        <v>45615.45833333334</v>
      </c>
      <c r="C1484" s="5" t="n">
        <v>1443421.47</v>
      </c>
      <c r="D1484" s="5" t="n">
        <v>1443421.47</v>
      </c>
      <c r="E1484" s="2" t="inlineStr">
        <is>
          <t>Andalucía</t>
        </is>
      </c>
      <c r="F1484" s="2" t="inlineStr">
        <is>
          <t>Sevilla</t>
        </is>
      </c>
      <c r="G1484" s="2" t="inlineStr">
        <is>
          <t>Sevilla</t>
        </is>
      </c>
      <c r="H1484" s="2" t="inlineStr">
        <is>
          <t>Consejería Delegada de la Empresa Metropolitana de Abastecimiento y Saneamiento de Aguas de Sevilla S.A. (EMASESA)</t>
        </is>
      </c>
      <c r="I1484" s="2" t="inlineStr">
        <is>
          <t>Proyecto de acondicionamiento y mejora de los sistemas de alimentación eléctrica, instrumentación, control y comunicaciones de la presa de la Minilla. El Garrobo (Sevilla).</t>
        </is>
      </c>
      <c r="J1484" s="2" t="inlineStr">
        <is>
          <t>0633/2024</t>
        </is>
      </c>
      <c r="K1484" s="2" t="inlineStr">
        <is>
          <t>Abierto</t>
        </is>
      </c>
      <c r="L1484" s="6" t="n">
        <v>10.3</v>
      </c>
      <c r="M1484" s="2" t="inlineStr">
        <is>
          <t>I6-4; E7-3</t>
        </is>
      </c>
      <c r="N1484" s="7" t="n">
        <v>0.45</v>
      </c>
      <c r="O1484" s="4" t="n"/>
      <c r="P1484" s="2" t="inlineStr">
        <is>
          <t>45247210</t>
        </is>
      </c>
      <c r="Q1484" s="8" t="inlineStr">
        <is>
          <t>Ver</t>
        </is>
      </c>
      <c r="R1484" s="8" t="inlineStr">
        <is>
          <t>PCAP</t>
        </is>
      </c>
      <c r="S1484" s="9" t="n">
        <v>46311</v>
      </c>
      <c r="T1484" s="3" t="n">
        <v>46310.49802083334</v>
      </c>
      <c r="U1484" s="2" t="n"/>
    </row>
    <row r="1485">
      <c r="A1485" s="2" t="inlineStr">
        <is>
          <t>Resuelta</t>
        </is>
      </c>
      <c r="B1485" s="3" t="n">
        <v>46279.99930555555</v>
      </c>
      <c r="C1485" s="5" t="n">
        <v>107538.84</v>
      </c>
      <c r="D1485" s="5" t="n">
        <v>107538.84</v>
      </c>
      <c r="E1485" s="2" t="inlineStr">
        <is>
          <t>Andalucía</t>
        </is>
      </c>
      <c r="F1485" s="2" t="inlineStr">
        <is>
          <t>Granada</t>
        </is>
      </c>
      <c r="G1485" s="2" t="inlineStr">
        <is>
          <t>CORTES Y GRAENA</t>
        </is>
      </c>
      <c r="H1485" s="2" t="inlineStr">
        <is>
          <t>Presidencia de la Diputación Provincial de Granada</t>
        </is>
      </c>
      <c r="I1485" s="2" t="inlineStr">
        <is>
          <t>2024/4/PPOYS-54/1 "Cortes y Graena, abastecimiento, saneamiento y pavimentación en calle Cervantes y calle Picasso -Los Baños-"</t>
        </is>
      </c>
      <c r="J1485" s="2" t="inlineStr">
        <is>
          <t>OB-070/26</t>
        </is>
      </c>
      <c r="K1485" s="2" t="inlineStr">
        <is>
          <t>Negociado sin publicidad</t>
        </is>
      </c>
      <c r="L1485" s="6" t="n">
        <v>4</v>
      </c>
      <c r="M1485" s="2" t="inlineStr">
        <is>
          <t>E7-1; G6-1</t>
        </is>
      </c>
      <c r="N1485" s="7" t="n">
        <v>0</v>
      </c>
      <c r="O1485" s="4" t="n"/>
      <c r="P1485" s="2" t="inlineStr">
        <is>
          <t>45231100; 45233252</t>
        </is>
      </c>
      <c r="Q1485" s="8" t="inlineStr">
        <is>
          <t>Ver</t>
        </is>
      </c>
      <c r="R1485" s="8" t="inlineStr">
        <is>
          <t>PCAP</t>
        </is>
      </c>
      <c r="S1485" s="9" t="n">
        <v>46311</v>
      </c>
      <c r="T1485" s="3" t="n">
        <v>46310.49021990741</v>
      </c>
      <c r="U1485" s="2" t="n"/>
    </row>
    <row r="1486">
      <c r="A1486" s="2" t="inlineStr">
        <is>
          <t>Plazo vencido</t>
        </is>
      </c>
      <c r="B1486" s="3" t="n">
        <v>46321.99930555555</v>
      </c>
      <c r="C1486" s="5" t="n">
        <v>4198877.43</v>
      </c>
      <c r="D1486" s="5" t="n">
        <v>4198877.43</v>
      </c>
      <c r="E1486" s="2" t="inlineStr">
        <is>
          <t>Comunitat Valenciana</t>
        </is>
      </c>
      <c r="F1486" s="2" t="inlineStr">
        <is>
          <t>Alicante</t>
        </is>
      </c>
      <c r="G1486" s="2" t="n"/>
      <c r="H1486" s="2" t="inlineStr">
        <is>
          <t>Consejo de Administración de Promociones e Iniciativas Municipales de Elche, S.A. (PIMESA)</t>
        </is>
      </c>
      <c r="I1486" s="2" t="inlineStr">
        <is>
          <t>Obras de Construcción de un Edificio de 45 viviendas protegidas (VPNC), local, sótano para 44 aparcamientos y urbanización interior en la calle Obispo Cubero, nº2, Parcela nº5 del PRIM, Barrio San Antón de Elche.</t>
        </is>
      </c>
      <c r="J1486" s="2" t="inlineStr">
        <is>
          <t>2026/A/003</t>
        </is>
      </c>
      <c r="K1486" s="2" t="inlineStr">
        <is>
          <t>Abierto</t>
        </is>
      </c>
      <c r="L1486" s="6" t="n">
        <v>24</v>
      </c>
      <c r="M1486" s="2" t="inlineStr">
        <is>
          <t>C*-4</t>
        </is>
      </c>
      <c r="N1486" s="7" t="n">
        <v>0.25</v>
      </c>
      <c r="O1486" s="4" t="n"/>
      <c r="P1486" s="2" t="inlineStr">
        <is>
          <t>45211340</t>
        </is>
      </c>
      <c r="Q1486" s="8" t="inlineStr">
        <is>
          <t>Ver</t>
        </is>
      </c>
      <c r="R1486" s="8" t="inlineStr">
        <is>
          <t>PCAP</t>
        </is>
      </c>
      <c r="S1486" s="9" t="n">
        <v>46311</v>
      </c>
      <c r="T1486" s="3" t="n">
        <v>46310.49001157407</v>
      </c>
      <c r="U1486" s="2" t="n"/>
    </row>
    <row r="1487">
      <c r="A1487" s="2" t="inlineStr">
        <is>
          <t>Plazo vencido</t>
        </is>
      </c>
      <c r="B1487" s="3" t="n">
        <v>46314.99930555555</v>
      </c>
      <c r="C1487" s="5" t="n">
        <v>150720.12</v>
      </c>
      <c r="D1487" s="5" t="n">
        <v>195936.15</v>
      </c>
      <c r="E1487" s="2" t="inlineStr">
        <is>
          <t>Comunitat Valenciana</t>
        </is>
      </c>
      <c r="F1487" s="2" t="inlineStr">
        <is>
          <t>Valencia</t>
        </is>
      </c>
      <c r="G1487" s="2" t="n"/>
      <c r="H1487" s="2" t="inlineStr">
        <is>
          <t>Departamento de Salud de Manises. Dirección Económica-Gerencia</t>
        </is>
      </c>
      <c r="I1487" s="2" t="inlineStr">
        <is>
          <t>Ejecución de las OBRAS e INSTALACIONES para Transformación de Espacio en Almacén de Suministros en Hospital de Manises, con arreglo a las condiciones medioambientales</t>
        </is>
      </c>
      <c r="J1487" s="2" t="inlineStr">
        <is>
          <t>PA OB 1085/2026</t>
        </is>
      </c>
      <c r="K1487" s="2" t="inlineStr">
        <is>
          <t>Abierto</t>
        </is>
      </c>
      <c r="L1487" s="6" t="n">
        <v>6</v>
      </c>
      <c r="M1487" s="2" t="n"/>
      <c r="N1487" s="7" t="n">
        <v>0.35</v>
      </c>
      <c r="O1487" s="4" t="n"/>
      <c r="P1487" s="2" t="inlineStr">
        <is>
          <t>45215100; 45200000; 45450000</t>
        </is>
      </c>
      <c r="Q1487" s="8" t="inlineStr">
        <is>
          <t>Ver</t>
        </is>
      </c>
      <c r="R1487" s="8" t="inlineStr">
        <is>
          <t>PCAP</t>
        </is>
      </c>
      <c r="S1487" s="9" t="n">
        <v>46311</v>
      </c>
      <c r="T1487" s="3" t="n">
        <v>46310.486875</v>
      </c>
      <c r="U1487" s="2" t="n"/>
    </row>
    <row r="1488">
      <c r="A1488" s="2" t="inlineStr">
        <is>
          <t>Pendiente de adjudicación</t>
        </is>
      </c>
      <c r="B1488" s="3" t="n">
        <v>46303.99930555555</v>
      </c>
      <c r="C1488" s="5" t="n">
        <v>220127.55</v>
      </c>
      <c r="D1488" s="5" t="n">
        <v>220127.55</v>
      </c>
      <c r="E1488" s="2" t="inlineStr">
        <is>
          <t>Andalucía</t>
        </is>
      </c>
      <c r="F1488" s="2" t="inlineStr">
        <is>
          <t>Huelva</t>
        </is>
      </c>
      <c r="G1488" s="2" t="n"/>
      <c r="H1488" s="2" t="inlineStr">
        <is>
          <t>Presidencia de la Diputación Provincial de Huelva</t>
        </is>
      </c>
      <c r="I1488" s="2" t="inlineStr">
        <is>
          <t>Reforma de la Piscina Municipal de Sta. Olalla del Cala, Plan de Asistencia y Cooperación Económica "TDI"</t>
        </is>
      </c>
      <c r="J1488" s="2" t="inlineStr">
        <is>
          <t>2026/CMY_03/000100</t>
        </is>
      </c>
      <c r="K1488" s="2" t="inlineStr">
        <is>
          <t>Abierto simplificado</t>
        </is>
      </c>
      <c r="L1488" s="6" t="n">
        <v>6</v>
      </c>
      <c r="M1488" s="2" t="n"/>
      <c r="N1488" s="7" t="n">
        <v>0</v>
      </c>
      <c r="O1488" s="4" t="n"/>
      <c r="P1488" s="2" t="inlineStr">
        <is>
          <t>45212200; 45212290; 45212212</t>
        </is>
      </c>
      <c r="Q1488" s="8" t="inlineStr">
        <is>
          <t>Ver</t>
        </is>
      </c>
      <c r="R1488" s="8" t="inlineStr">
        <is>
          <t>PCAP</t>
        </is>
      </c>
      <c r="S1488" s="9" t="n">
        <v>46311</v>
      </c>
      <c r="T1488" s="3" t="n">
        <v>46310.48303240741</v>
      </c>
      <c r="U1488" s="2" t="n"/>
    </row>
    <row r="1489">
      <c r="A1489" s="2" t="inlineStr">
        <is>
          <t>Pendiente de adjudicación</t>
        </is>
      </c>
      <c r="B1489" s="3" t="n">
        <v>46224.99930555555</v>
      </c>
      <c r="C1489" s="5" t="n">
        <v>988457.3100000001</v>
      </c>
      <c r="D1489" s="5" t="n">
        <v>988457.3100000001</v>
      </c>
      <c r="E1489" s="2" t="inlineStr">
        <is>
          <t>Andalucía</t>
        </is>
      </c>
      <c r="F1489" s="2" t="inlineStr">
        <is>
          <t>Córdoba</t>
        </is>
      </c>
      <c r="G1489" s="2" t="inlineStr">
        <is>
          <t>Córdoba</t>
        </is>
      </c>
      <c r="H1489" s="2" t="inlineStr">
        <is>
          <t>Junta de Gobierno de la Diputación Provincial de Córdoba</t>
        </is>
      </c>
      <c r="I1489" s="2" t="inlineStr">
        <is>
          <t>Contratación de la obra de mejora de albergue provincial de Cerro Muriano, 1ª fase, en Córdoba, dividida en 2 lotes.</t>
        </is>
      </c>
      <c r="J1489" s="2" t="inlineStr">
        <is>
          <t>406/26</t>
        </is>
      </c>
      <c r="K1489" s="2" t="inlineStr">
        <is>
          <t>Abierto</t>
        </is>
      </c>
      <c r="L1489" s="6" t="n">
        <v>16</v>
      </c>
      <c r="M1489" s="2" t="n"/>
      <c r="N1489" s="7" t="n">
        <v>0.4</v>
      </c>
      <c r="O1489" s="4" t="n">
        <v>2</v>
      </c>
      <c r="P1489" s="2" t="inlineStr">
        <is>
          <t>45223000; 45315300; 45223210; 45315000; 45261215</t>
        </is>
      </c>
      <c r="Q1489" s="8" t="inlineStr">
        <is>
          <t>Ver</t>
        </is>
      </c>
      <c r="R1489" s="8" t="inlineStr">
        <is>
          <t>PCAP</t>
        </is>
      </c>
      <c r="S1489" s="9" t="n">
        <v>46310</v>
      </c>
      <c r="T1489" s="3" t="n">
        <v>46310.47987268519</v>
      </c>
      <c r="U1489" s="2" t="n"/>
    </row>
    <row r="1490">
      <c r="A1490" s="2" t="inlineStr">
        <is>
          <t>Adjudicada</t>
        </is>
      </c>
      <c r="B1490" s="3" t="n">
        <v>46287.99930555555</v>
      </c>
      <c r="C1490" s="5" t="n">
        <v>124721.41</v>
      </c>
      <c r="D1490" s="5" t="n">
        <v>150912.9</v>
      </c>
      <c r="E1490" s="2" t="inlineStr">
        <is>
          <t>Comunitat Valenciana</t>
        </is>
      </c>
      <c r="F1490" s="2" t="inlineStr">
        <is>
          <t>Valencia</t>
        </is>
      </c>
      <c r="G1490" s="2" t="n"/>
      <c r="H1490" s="2" t="inlineStr">
        <is>
          <t>Alcaldía del Ayuntamiento de Manuel</t>
        </is>
      </c>
      <c r="I1490" s="2" t="inlineStr">
        <is>
          <t>Renovación de juegos infantiles en parque de Pl Caixa d'Estalvis y parque de nueva creación situado en un area de juegos en el Polideportivo (POI 2024-2027- expte 24-47 20/26/COP)</t>
        </is>
      </c>
      <c r="J1490" s="2" t="inlineStr">
        <is>
          <t>PAS/5/2026</t>
        </is>
      </c>
      <c r="K1490" s="2" t="inlineStr">
        <is>
          <t>Abierto simplificado</t>
        </is>
      </c>
      <c r="L1490" s="6" t="n">
        <v>4</v>
      </c>
      <c r="M1490" s="2" t="n"/>
      <c r="N1490" s="7" t="n">
        <v>0</v>
      </c>
      <c r="O1490" s="4" t="n"/>
      <c r="P1490" s="2" t="inlineStr">
        <is>
          <t>45236210; 37535200; 45212140</t>
        </is>
      </c>
      <c r="Q1490" s="8" t="inlineStr">
        <is>
          <t>Ver</t>
        </is>
      </c>
      <c r="R1490" s="8" t="inlineStr">
        <is>
          <t>PCAP</t>
        </is>
      </c>
      <c r="S1490" s="9" t="n">
        <v>46311</v>
      </c>
      <c r="T1490" s="3" t="n">
        <v>46310.47605324074</v>
      </c>
      <c r="U1490" s="2" t="n"/>
    </row>
    <row r="1491">
      <c r="A1491" s="2" t="inlineStr">
        <is>
          <t>Resuelta</t>
        </is>
      </c>
      <c r="B1491" s="3" t="n">
        <v>46302.375</v>
      </c>
      <c r="C1491" s="5" t="n">
        <v>165289.26</v>
      </c>
      <c r="D1491" s="5" t="n">
        <v>165289.26</v>
      </c>
      <c r="E1491" s="2" t="inlineStr">
        <is>
          <t>Andalucía</t>
        </is>
      </c>
      <c r="F1491" s="2" t="inlineStr">
        <is>
          <t>Granada</t>
        </is>
      </c>
      <c r="G1491" s="2" t="inlineStr">
        <is>
          <t>Armilla</t>
        </is>
      </c>
      <c r="H1491" s="2" t="inlineStr">
        <is>
          <t>Jefatura de la Sección Económico Administrativa 24 de la Base Aérea de Morón</t>
        </is>
      </c>
      <c r="I1491" s="2" t="inlineStr">
        <is>
          <t>2216/GRUAPO/INFRA Reparación mediante trabajos de altura en la Base Aérea de Armilla</t>
        </is>
      </c>
      <c r="J1491" s="2" t="inlineStr">
        <is>
          <t>2026/EA24/00002306E</t>
        </is>
      </c>
      <c r="K1491" s="2" t="inlineStr">
        <is>
          <t>Abierto</t>
        </is>
      </c>
      <c r="L1491" s="6" t="n">
        <v>1.5</v>
      </c>
      <c r="M1491" s="2" t="n"/>
      <c r="N1491" s="7" t="n">
        <v>0</v>
      </c>
      <c r="O1491" s="4" t="n"/>
      <c r="P1491" s="2" t="inlineStr">
        <is>
          <t>45259000; 45261900</t>
        </is>
      </c>
      <c r="Q1491" s="8" t="inlineStr">
        <is>
          <t>Ver</t>
        </is>
      </c>
      <c r="R1491" s="8" t="inlineStr">
        <is>
          <t>PCAP</t>
        </is>
      </c>
      <c r="S1491" s="9" t="n">
        <v>46310</v>
      </c>
      <c r="T1491" s="3" t="n">
        <v>46310.47532407408</v>
      </c>
      <c r="U1491" s="2" t="n"/>
    </row>
    <row r="1492">
      <c r="A1492" s="2" t="inlineStr">
        <is>
          <t>Pendiente de adjudicación</t>
        </is>
      </c>
      <c r="B1492" s="3" t="n">
        <v>46308.99930555555</v>
      </c>
      <c r="C1492" s="5" t="n">
        <v>495828.4</v>
      </c>
      <c r="D1492" s="5" t="n">
        <v>495828.4</v>
      </c>
      <c r="E1492" s="2" t="inlineStr">
        <is>
          <t>Andalucía</t>
        </is>
      </c>
      <c r="F1492" s="2" t="inlineStr">
        <is>
          <t>Cádiz</t>
        </is>
      </c>
      <c r="G1492" s="2" t="inlineStr">
        <is>
          <t>Barbate (Cádiz)</t>
        </is>
      </c>
      <c r="H1492" s="2" t="inlineStr">
        <is>
          <t>Alcaldía de Ayuntamiento de Barbate</t>
        </is>
      </c>
      <c r="I1492"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1492" s="2" t="inlineStr">
        <is>
          <t>10122/2026</t>
        </is>
      </c>
      <c r="K1492" s="2" t="inlineStr">
        <is>
          <t>Abierto simplificado</t>
        </is>
      </c>
      <c r="L1492" s="6" t="n">
        <v>6</v>
      </c>
      <c r="M1492" s="2" t="n"/>
      <c r="N1492" s="7" t="n">
        <v>0</v>
      </c>
      <c r="O1492" s="4" t="n">
        <v>2</v>
      </c>
      <c r="P1492" s="2" t="inlineStr">
        <is>
          <t>45233222; 45233253; 45233260; 45233252</t>
        </is>
      </c>
      <c r="Q1492" s="8" t="inlineStr">
        <is>
          <t>Ver</t>
        </is>
      </c>
      <c r="R1492" s="8" t="inlineStr">
        <is>
          <t>PCAP</t>
        </is>
      </c>
      <c r="S1492" s="9" t="n">
        <v>46311</v>
      </c>
      <c r="T1492" s="3" t="n">
        <v>46310.47438657407</v>
      </c>
      <c r="U1492" s="2" t="n"/>
    </row>
    <row r="1493">
      <c r="A1493" s="2" t="inlineStr">
        <is>
          <t>Resuelta</t>
        </is>
      </c>
      <c r="B1493" s="3" t="n">
        <v>46279.99930555555</v>
      </c>
      <c r="C1493" s="5" t="n">
        <v>82644.63</v>
      </c>
      <c r="D1493" s="5" t="n">
        <v>82644.63</v>
      </c>
      <c r="E1493" s="2" t="inlineStr">
        <is>
          <t>Andalucía</t>
        </is>
      </c>
      <c r="F1493" s="2" t="inlineStr">
        <is>
          <t>Málaga</t>
        </is>
      </c>
      <c r="G1493" s="2" t="n"/>
      <c r="H1493" s="2" t="inlineStr">
        <is>
          <t>Alcaldía del Ayuntamiento de Villanueva de Algaidas</t>
        </is>
      </c>
      <c r="I1493" s="2" t="inlineStr">
        <is>
          <t>Asfaltado Caminos Rurales (Camino el Cuco y Camino Zamarra)</t>
        </is>
      </c>
      <c r="J1493" s="2" t="inlineStr">
        <is>
          <t>751/2026</t>
        </is>
      </c>
      <c r="K1493" s="2" t="inlineStr">
        <is>
          <t>Abierto simplificado</t>
        </is>
      </c>
      <c r="L1493" s="6" t="n">
        <v>1</v>
      </c>
      <c r="M1493" s="2" t="n"/>
      <c r="N1493" s="7" t="n">
        <v>0</v>
      </c>
      <c r="O1493" s="4" t="n"/>
      <c r="P1493" s="2" t="inlineStr">
        <is>
          <t>45233160</t>
        </is>
      </c>
      <c r="Q1493" s="8" t="inlineStr">
        <is>
          <t>Ver</t>
        </is>
      </c>
      <c r="R1493" s="8" t="inlineStr">
        <is>
          <t>PCAP</t>
        </is>
      </c>
      <c r="S1493" s="9" t="n">
        <v>46311</v>
      </c>
      <c r="T1493" s="3" t="n">
        <v>46310.47241898148</v>
      </c>
      <c r="U1493" s="2" t="n"/>
    </row>
    <row r="1494">
      <c r="A1494" s="2" t="inlineStr">
        <is>
          <t>Resuelta</t>
        </is>
      </c>
      <c r="B1494" s="3" t="n">
        <v>45257.54166666666</v>
      </c>
      <c r="C1494" s="5" t="n">
        <v>83571497.04000001</v>
      </c>
      <c r="D1494" s="5" t="n">
        <v>117036460.82</v>
      </c>
      <c r="E1494" s="2" t="inlineStr">
        <is>
          <t>Comunitat Valenciana</t>
        </is>
      </c>
      <c r="F1494" s="2" t="inlineStr">
        <is>
          <t>Valencia</t>
        </is>
      </c>
      <c r="G1494" s="2" t="n"/>
      <c r="H1494" s="2" t="inlineStr">
        <is>
          <t>ADIF -Consejo de Administración</t>
        </is>
      </c>
      <c r="I1494" s="2" t="inlineStr">
        <is>
          <t>Ejecución de las obras de los proyectos constructivos para la renovación de vía. Trayecto Xàtiva-Alcoi. Tramo: Xàtiva-Ontinyent y tramo: Ontinyent-Alcoi.</t>
        </is>
      </c>
      <c r="J1494" s="2" t="inlineStr">
        <is>
          <t>3.23/27507.0173</t>
        </is>
      </c>
      <c r="K1494" s="2" t="inlineStr">
        <is>
          <t>Abierto</t>
        </is>
      </c>
      <c r="L1494" s="6" t="n">
        <v>16</v>
      </c>
      <c r="M1494" s="2" t="inlineStr">
        <is>
          <t>D1-6; A5-6</t>
        </is>
      </c>
      <c r="N1494" s="7" t="n">
        <v>0.49</v>
      </c>
      <c r="O1494" s="4" t="n"/>
      <c r="P1494" s="2" t="inlineStr">
        <is>
          <t>45234110</t>
        </is>
      </c>
      <c r="Q1494" s="8" t="inlineStr">
        <is>
          <t>Ver</t>
        </is>
      </c>
      <c r="R1494" s="8" t="inlineStr">
        <is>
          <t>PCAP</t>
        </is>
      </c>
      <c r="S1494" s="9" t="n">
        <v>46311</v>
      </c>
      <c r="T1494" s="3" t="n">
        <v>46310.46278935186</v>
      </c>
      <c r="U1494" s="2" t="n"/>
    </row>
    <row r="1495">
      <c r="A1495" s="2" t="inlineStr">
        <is>
          <t>Resuelta</t>
        </is>
      </c>
      <c r="B1495" s="3" t="n">
        <v>46260.54166666666</v>
      </c>
      <c r="C1495" s="5" t="n">
        <v>88167.42999999999</v>
      </c>
      <c r="D1495" s="5" t="n">
        <v>88167.42999999999</v>
      </c>
      <c r="E1495" s="2" t="inlineStr">
        <is>
          <t>Comunitat Valenciana</t>
        </is>
      </c>
      <c r="F1495" s="2" t="inlineStr">
        <is>
          <t>Alicante</t>
        </is>
      </c>
      <c r="G1495" s="2" t="inlineStr">
        <is>
          <t>Onil</t>
        </is>
      </c>
      <c r="H1495" s="2" t="inlineStr">
        <is>
          <t>Junta de Gobierno Local del Ayuntamiento de Onil</t>
        </is>
      </c>
      <c r="I1495" s="2" t="inlineStr">
        <is>
          <t>Contratación de obras de instalación de ascensor en el CEIP Mare de Déu de la Salut de Onil</t>
        </is>
      </c>
      <c r="J1495" s="2" t="inlineStr">
        <is>
          <t>3138/2026</t>
        </is>
      </c>
      <c r="K1495" s="2" t="inlineStr">
        <is>
          <t>Abierto simplificado</t>
        </is>
      </c>
      <c r="L1495" s="6" t="n">
        <v>4</v>
      </c>
      <c r="M1495" s="2" t="n"/>
      <c r="N1495" s="7" t="n">
        <v>0</v>
      </c>
      <c r="O1495" s="4" t="n"/>
      <c r="P1495" s="2" t="inlineStr">
        <is>
          <t>45313100</t>
        </is>
      </c>
      <c r="Q1495" s="8" t="inlineStr">
        <is>
          <t>Ver</t>
        </is>
      </c>
      <c r="R1495" s="8" t="inlineStr">
        <is>
          <t>PCAP</t>
        </is>
      </c>
      <c r="S1495" s="9" t="n">
        <v>46311</v>
      </c>
      <c r="T1495" s="3" t="n">
        <v>46310.45982638889</v>
      </c>
      <c r="U1495" s="2" t="n"/>
    </row>
    <row r="1496">
      <c r="A1496" s="2" t="inlineStr">
        <is>
          <t>Resuelta</t>
        </is>
      </c>
      <c r="B1496" s="3" t="n">
        <v>46223.54166666666</v>
      </c>
      <c r="C1496" s="5" t="n">
        <v>247924.65</v>
      </c>
      <c r="D1496" s="5" t="n">
        <v>247924.65</v>
      </c>
      <c r="E1496" s="2" t="inlineStr">
        <is>
          <t>Comunitat Valenciana</t>
        </is>
      </c>
      <c r="F1496" s="2" t="inlineStr">
        <is>
          <t>Alicante</t>
        </is>
      </c>
      <c r="G1496" s="2" t="inlineStr">
        <is>
          <t>Onil</t>
        </is>
      </c>
      <c r="H1496" s="2" t="inlineStr">
        <is>
          <t>Junta de Gobierno Local del Ayuntamiento de Onil</t>
        </is>
      </c>
      <c r="I1496" s="2" t="inlineStr">
        <is>
          <t>Contratación de obras de recuperación del Convento de Montserrat de Onil. Fase 2ª</t>
        </is>
      </c>
      <c r="J1496" s="2" t="inlineStr">
        <is>
          <t>2119/2026</t>
        </is>
      </c>
      <c r="K1496" s="2" t="inlineStr">
        <is>
          <t>Abierto simplificado</t>
        </is>
      </c>
      <c r="L1496" s="6" t="n">
        <v>6</v>
      </c>
      <c r="M1496" s="2" t="n"/>
      <c r="N1496" s="7" t="n">
        <v>0</v>
      </c>
      <c r="O1496" s="4" t="n"/>
      <c r="P1496" s="2" t="inlineStr">
        <is>
          <t>45212314; 45454100; 45212350</t>
        </is>
      </c>
      <c r="Q1496" s="8" t="inlineStr">
        <is>
          <t>Ver</t>
        </is>
      </c>
      <c r="R1496" s="8" t="inlineStr">
        <is>
          <t>PCAP</t>
        </is>
      </c>
      <c r="S1496" s="9" t="n">
        <v>46311</v>
      </c>
      <c r="T1496" s="3" t="n">
        <v>46310.45722222222</v>
      </c>
      <c r="U1496" s="2" t="n"/>
    </row>
    <row r="1497">
      <c r="A1497" s="2" t="inlineStr">
        <is>
          <t>Pendiente de adjudicación</t>
        </is>
      </c>
      <c r="B1497" s="3" t="n">
        <v>46308.79166666666</v>
      </c>
      <c r="C1497" s="5" t="n">
        <v>12564818.65</v>
      </c>
      <c r="D1497" s="5" t="n">
        <v>12564818.65</v>
      </c>
      <c r="E1497" s="2" t="inlineStr">
        <is>
          <t>Andalucía</t>
        </is>
      </c>
      <c r="F1497" s="2" t="inlineStr">
        <is>
          <t>Almería</t>
        </is>
      </c>
      <c r="G1497" s="2" t="n"/>
      <c r="H1497" s="2" t="inlineStr">
        <is>
          <t>Dirección General de Carreteras</t>
        </is>
      </c>
      <c r="I1497" s="2" t="inlineStr">
        <is>
          <t>OC-AL-26004; 54.654/26 Refuerzo y rehabilitación de la estructura viaducto del barranco de El Caballar, calzada derecha, en el P.K. 441+500 de la A-7 en la Provincia de Almería. 38-AL-4900</t>
        </is>
      </c>
      <c r="J1497" s="2" t="inlineStr">
        <is>
          <t>C54260426004</t>
        </is>
      </c>
      <c r="K1497" s="2" t="inlineStr">
        <is>
          <t>Abierto</t>
        </is>
      </c>
      <c r="L1497" s="6" t="n">
        <v>28</v>
      </c>
      <c r="M1497" s="2" t="inlineStr">
        <is>
          <t>B4-6</t>
        </is>
      </c>
      <c r="N1497" s="7" t="n">
        <v>0.4</v>
      </c>
      <c r="O1497" s="4" t="n"/>
      <c r="P1497" s="2" t="inlineStr">
        <is>
          <t>45233000</t>
        </is>
      </c>
      <c r="Q1497" s="8" t="inlineStr">
        <is>
          <t>Ver</t>
        </is>
      </c>
      <c r="R1497" s="8" t="inlineStr">
        <is>
          <t>PCAP</t>
        </is>
      </c>
      <c r="S1497" s="9" t="n">
        <v>46311</v>
      </c>
      <c r="T1497" s="3" t="n">
        <v>46310.44894675926</v>
      </c>
      <c r="U1497" s="2" t="n"/>
    </row>
    <row r="1498">
      <c r="A1498" s="2" t="inlineStr">
        <is>
          <t>Resuelta</t>
        </is>
      </c>
      <c r="B1498" s="3" t="n">
        <v>45707.58333333334</v>
      </c>
      <c r="C1498" s="5" t="n">
        <v>2107450</v>
      </c>
      <c r="D1498" s="5" t="n">
        <v>2107450</v>
      </c>
      <c r="E1498" s="2" t="inlineStr">
        <is>
          <t>Andalucía</t>
        </is>
      </c>
      <c r="F1498" s="2" t="inlineStr">
        <is>
          <t>Málaga</t>
        </is>
      </c>
      <c r="G1498" s="2" t="n"/>
      <c r="H1498" s="2" t="inlineStr">
        <is>
          <t>Concejalía Delegada en Materia de Contratación del Ayuntamiento de Torremolinos</t>
        </is>
      </c>
      <c r="I1498"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1498" s="2" t="inlineStr">
        <is>
          <t>1275/2025</t>
        </is>
      </c>
      <c r="K1498" s="2" t="inlineStr">
        <is>
          <t>Abierto</t>
        </is>
      </c>
      <c r="L1498" s="6" t="n">
        <v>11</v>
      </c>
      <c r="M1498" s="2" t="n"/>
      <c r="N1498" s="7" t="n">
        <v>0.48</v>
      </c>
      <c r="O1498" s="4" t="n"/>
      <c r="P1498" s="2" t="inlineStr">
        <is>
          <t>45454100; 45210000</t>
        </is>
      </c>
      <c r="Q1498" s="8" t="inlineStr">
        <is>
          <t>Ver</t>
        </is>
      </c>
      <c r="R1498" s="8" t="inlineStr">
        <is>
          <t>PCAP</t>
        </is>
      </c>
      <c r="S1498" s="9" t="n">
        <v>46311</v>
      </c>
      <c r="T1498" s="3" t="n">
        <v>46310.44621527778</v>
      </c>
      <c r="U1498" s="2" t="n"/>
    </row>
    <row r="1499">
      <c r="A1499" s="2" t="inlineStr">
        <is>
          <t>Adjudicada</t>
        </is>
      </c>
      <c r="B1499" s="3" t="n">
        <v>45992.54166666666</v>
      </c>
      <c r="C1499" s="5" t="n">
        <v>301722.86</v>
      </c>
      <c r="D1499" s="5" t="n">
        <v>301722.86</v>
      </c>
      <c r="E1499" s="2" t="inlineStr">
        <is>
          <t>Comunitat Valenciana</t>
        </is>
      </c>
      <c r="F1499" s="2" t="inlineStr">
        <is>
          <t>Alicante</t>
        </is>
      </c>
      <c r="G1499" s="2" t="n"/>
      <c r="H1499" s="2" t="inlineStr">
        <is>
          <t>Junta de Gobierno Local del Ayuntamiento de Alicante</t>
        </is>
      </c>
      <c r="I1499" s="2" t="inlineStr">
        <is>
          <t>Rehabilitación muro mampostería (Vistahermosa) sito en C/ Padre Esplá con C/ Cruz de Piedra (túnel TRAM)</t>
        </is>
      </c>
      <c r="J1499" s="2" t="inlineStr">
        <is>
          <t>89/25</t>
        </is>
      </c>
      <c r="K1499" s="2" t="inlineStr">
        <is>
          <t>Abierto simplificado</t>
        </is>
      </c>
      <c r="L1499" s="6" t="n">
        <v>3</v>
      </c>
      <c r="M1499" s="2" t="n"/>
      <c r="N1499" s="7" t="n">
        <v>0</v>
      </c>
      <c r="O1499" s="4" t="n"/>
      <c r="P1499" s="2" t="inlineStr">
        <is>
          <t>45262522</t>
        </is>
      </c>
      <c r="Q1499" s="8" t="inlineStr">
        <is>
          <t>Ver</t>
        </is>
      </c>
      <c r="R1499" s="8" t="inlineStr">
        <is>
          <t>PCAP</t>
        </is>
      </c>
      <c r="S1499" s="9" t="n">
        <v>46311</v>
      </c>
      <c r="T1499" s="3" t="n">
        <v>46310.44440972222</v>
      </c>
      <c r="U1499" s="2" t="n"/>
    </row>
    <row r="1500">
      <c r="A1500" s="2" t="inlineStr">
        <is>
          <t>Resuelta</t>
        </is>
      </c>
      <c r="B1500" s="3" t="n">
        <v>46300.75</v>
      </c>
      <c r="C1500" s="5" t="n">
        <v>121800</v>
      </c>
      <c r="D1500" s="5" t="n">
        <v>121800</v>
      </c>
      <c r="E1500" s="2" t="inlineStr">
        <is>
          <t>Comunitat Valenciana</t>
        </is>
      </c>
      <c r="F1500" s="2" t="inlineStr">
        <is>
          <t>Alicante</t>
        </is>
      </c>
      <c r="G1500" s="2" t="n"/>
      <c r="H1500" s="2" t="inlineStr">
        <is>
          <t>Empresa de Transformación Agraria S.A.,S.M.E., M.P., (TRAGSA)</t>
        </is>
      </c>
      <c r="I1500"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1500" s="2" t="inlineStr">
        <is>
          <t>TSA0082640-039</t>
        </is>
      </c>
      <c r="K1500" s="2" t="inlineStr">
        <is>
          <t>Abierto</t>
        </is>
      </c>
      <c r="L1500" s="6" t="n">
        <v>6</v>
      </c>
      <c r="M1500" s="2" t="n"/>
      <c r="N1500" s="7" t="n">
        <v>0</v>
      </c>
      <c r="O1500" s="4" t="n"/>
      <c r="P1500" s="2" t="inlineStr">
        <is>
          <t>45500000</t>
        </is>
      </c>
      <c r="Q1500" s="8" t="inlineStr">
        <is>
          <t>Ver</t>
        </is>
      </c>
      <c r="R1500" s="8" t="inlineStr">
        <is>
          <t>PCAP</t>
        </is>
      </c>
      <c r="S1500" s="9" t="n">
        <v>46311</v>
      </c>
      <c r="T1500" s="3" t="n">
        <v>46310.44383101852</v>
      </c>
      <c r="U1500" s="2" t="n"/>
    </row>
    <row r="1501">
      <c r="A1501" s="2" t="inlineStr">
        <is>
          <t>En plazo</t>
        </is>
      </c>
      <c r="B1501" s="3" t="n">
        <v>46330.5</v>
      </c>
      <c r="C1501" s="5" t="n">
        <v>150000</v>
      </c>
      <c r="D1501" s="5" t="n">
        <v>150000</v>
      </c>
      <c r="E1501" s="2" t="inlineStr">
        <is>
          <t>Comunitat Valenciana</t>
        </is>
      </c>
      <c r="F1501" s="2" t="inlineStr">
        <is>
          <t>Valencia</t>
        </is>
      </c>
      <c r="G1501" s="2" t="inlineStr">
        <is>
          <t>Valencia / València</t>
        </is>
      </c>
      <c r="H1501" s="2" t="inlineStr">
        <is>
          <t>Aena. Dirección del Aeropuerto de Valencia</t>
        </is>
      </c>
      <c r="I1501" s="2" t="inlineStr">
        <is>
          <t>Adecuación Zona Descanso Al Aire Libre Terminal</t>
        </is>
      </c>
      <c r="J1501" s="2" t="inlineStr">
        <is>
          <t>VLC-81/2026</t>
        </is>
      </c>
      <c r="K1501" s="2" t="inlineStr">
        <is>
          <t>Normas internas</t>
        </is>
      </c>
      <c r="L1501" s="6" t="n">
        <v>4</v>
      </c>
      <c r="M1501" s="2" t="n"/>
      <c r="N1501" s="7" t="n">
        <v>0</v>
      </c>
      <c r="O1501" s="4" t="n"/>
      <c r="P1501" s="2" t="inlineStr">
        <is>
          <t>45453100</t>
        </is>
      </c>
      <c r="Q1501" s="8" t="inlineStr">
        <is>
          <t>Ver</t>
        </is>
      </c>
      <c r="R1501" s="8" t="inlineStr">
        <is>
          <t>PCAP</t>
        </is>
      </c>
      <c r="S1501" s="9" t="n">
        <v>46311</v>
      </c>
      <c r="T1501" s="3" t="n">
        <v>46310.43684027778</v>
      </c>
      <c r="U1501" s="2" t="n"/>
    </row>
    <row r="1502">
      <c r="A1502" s="2" t="inlineStr">
        <is>
          <t>Resuelta</t>
        </is>
      </c>
      <c r="B1502" s="3" t="n">
        <v>46251.99930555555</v>
      </c>
      <c r="C1502" s="5" t="n">
        <v>2090896.91</v>
      </c>
      <c r="D1502" s="5" t="n">
        <v>2090896.91</v>
      </c>
      <c r="E1502" s="2" t="inlineStr">
        <is>
          <t>Comunitat Valenciana</t>
        </is>
      </c>
      <c r="F1502" s="2" t="inlineStr">
        <is>
          <t>Valencia</t>
        </is>
      </c>
      <c r="G1502" s="2" t="inlineStr">
        <is>
          <t>Mislata</t>
        </is>
      </c>
      <c r="H1502" s="2" t="inlineStr">
        <is>
          <t>Alcaldía del Ayuntamiento de Mislata</t>
        </is>
      </c>
      <c r="I1502" s="2" t="inlineStr">
        <is>
          <t>Ejecución de las obras de recuperación y reurbanización de la Avenida de la Paz y entorno, afectadas por la DANA de octubre de 2024, financiadas por el Fondo de Solidaridad de la Unión Europea (FSUE).</t>
        </is>
      </c>
      <c r="J1502" s="2" t="inlineStr">
        <is>
          <t>26-O-09</t>
        </is>
      </c>
      <c r="K1502" s="2" t="inlineStr">
        <is>
          <t>Abierto</t>
        </is>
      </c>
      <c r="L1502" s="6" t="n">
        <v>12</v>
      </c>
      <c r="M1502" s="2" t="inlineStr">
        <is>
          <t>E1-4</t>
        </is>
      </c>
      <c r="N1502" s="7" t="n">
        <v>0</v>
      </c>
      <c r="O1502" s="4" t="n"/>
      <c r="P1502" s="2" t="inlineStr">
        <is>
          <t>45232410; 45233140; 45112710; 45316100</t>
        </is>
      </c>
      <c r="Q1502" s="8" t="inlineStr">
        <is>
          <t>Ver</t>
        </is>
      </c>
      <c r="R1502" s="8" t="inlineStr">
        <is>
          <t>PCAP</t>
        </is>
      </c>
      <c r="S1502" s="9" t="n">
        <v>46311</v>
      </c>
      <c r="T1502" s="3" t="n">
        <v>46310.43261574074</v>
      </c>
      <c r="U1502" s="2" t="n"/>
    </row>
    <row r="1503">
      <c r="A1503" s="2" t="inlineStr">
        <is>
          <t>Plazo vencido</t>
        </is>
      </c>
      <c r="B1503" s="3" t="n">
        <v>46317.5</v>
      </c>
      <c r="C1503" s="5" t="n">
        <v>200456.33</v>
      </c>
      <c r="D1503" s="5" t="n">
        <v>208474.58</v>
      </c>
      <c r="E1503" s="2" t="inlineStr">
        <is>
          <t>Andalucía</t>
        </is>
      </c>
      <c r="F1503" s="2" t="inlineStr">
        <is>
          <t>Granada</t>
        </is>
      </c>
      <c r="G1503" s="2" t="inlineStr">
        <is>
          <t>Granada</t>
        </is>
      </c>
      <c r="H1503" s="2" t="inlineStr">
        <is>
          <t>Aena. Dirección del Aeropuerto de Granada-Jaén F.G.L.</t>
        </is>
      </c>
      <c r="I1503" s="2" t="inlineStr">
        <is>
          <t>Reforma De Locales Para Nuevo Punto Comercial En Zona Pública</t>
        </is>
      </c>
      <c r="J1503" s="2" t="inlineStr">
        <is>
          <t>GRX-67/2026</t>
        </is>
      </c>
      <c r="K1503" s="2" t="inlineStr">
        <is>
          <t>Normas internas</t>
        </is>
      </c>
      <c r="L1503" s="6" t="n">
        <v>6</v>
      </c>
      <c r="M1503" s="2" t="n"/>
      <c r="N1503" s="7" t="n">
        <v>0</v>
      </c>
      <c r="O1503" s="4" t="n"/>
      <c r="P1503" s="2" t="inlineStr">
        <is>
          <t>45400000</t>
        </is>
      </c>
      <c r="Q1503" s="8" t="inlineStr">
        <is>
          <t>Ver</t>
        </is>
      </c>
      <c r="R1503" s="8" t="inlineStr">
        <is>
          <t>PCAP</t>
        </is>
      </c>
      <c r="S1503" s="9" t="n">
        <v>46310</v>
      </c>
      <c r="T1503" s="3" t="n">
        <v>46310.43252314815</v>
      </c>
      <c r="U1503" s="2" t="n"/>
    </row>
    <row r="1504">
      <c r="A1504" s="2" t="inlineStr">
        <is>
          <t>Resuelta</t>
        </is>
      </c>
      <c r="B1504" s="3" t="n">
        <v>46223.5</v>
      </c>
      <c r="C1504" s="5" t="n">
        <v>41800</v>
      </c>
      <c r="D1504" s="5" t="n">
        <v>43472</v>
      </c>
      <c r="E1504" s="2" t="inlineStr">
        <is>
          <t>Andalucía</t>
        </is>
      </c>
      <c r="F1504" s="2" t="inlineStr">
        <is>
          <t>Granada</t>
        </is>
      </c>
      <c r="G1504" s="2" t="inlineStr">
        <is>
          <t>Granada</t>
        </is>
      </c>
      <c r="H1504" s="2" t="inlineStr">
        <is>
          <t>Aena. Dirección del Aeropuerto de Granada-Jaén F.G.L.</t>
        </is>
      </c>
      <c r="I1504" s="2" t="inlineStr">
        <is>
          <t>Reforma Aseos Toam Y Oficinas Terminal</t>
        </is>
      </c>
      <c r="J1504" s="2" t="inlineStr">
        <is>
          <t>GRX-46/2026</t>
        </is>
      </c>
      <c r="K1504" s="2" t="inlineStr">
        <is>
          <t>Normas internas</t>
        </is>
      </c>
      <c r="L1504" s="6" t="n"/>
      <c r="M1504" s="2" t="n"/>
      <c r="N1504" s="7" t="n">
        <v>0</v>
      </c>
      <c r="O1504" s="4" t="n"/>
      <c r="P1504" s="2" t="inlineStr">
        <is>
          <t>45000000</t>
        </is>
      </c>
      <c r="Q1504" s="8" t="inlineStr">
        <is>
          <t>Ver</t>
        </is>
      </c>
      <c r="R1504" s="8" t="inlineStr">
        <is>
          <t>PCAP</t>
        </is>
      </c>
      <c r="S1504" s="9" t="n">
        <v>46311</v>
      </c>
      <c r="T1504" s="3" t="n">
        <v>46310.43122685186</v>
      </c>
      <c r="U1504" s="2" t="n"/>
    </row>
    <row r="1505">
      <c r="A1505" s="2" t="inlineStr">
        <is>
          <t>Adjudicada</t>
        </is>
      </c>
      <c r="B1505" s="3" t="n">
        <v>46206.5</v>
      </c>
      <c r="C1505" s="5" t="n">
        <v>25969860.95</v>
      </c>
      <c r="D1505" s="5" t="n">
        <v>27008655.39</v>
      </c>
      <c r="E1505" s="2" t="inlineStr">
        <is>
          <t>Andalucía</t>
        </is>
      </c>
      <c r="F1505" s="2" t="inlineStr">
        <is>
          <t>Málaga</t>
        </is>
      </c>
      <c r="G1505" s="2" t="inlineStr">
        <is>
          <t>Málaga</t>
        </is>
      </c>
      <c r="H1505" s="2" t="inlineStr">
        <is>
          <t>Aena. Consejo de Administración</t>
        </is>
      </c>
      <c r="I1505" s="2" t="inlineStr">
        <is>
          <t>Renovación Del Pavimento De Las Plataformas R1, R2, R3, R4 Y R5. .-Aeropuerto De Málaga-Costa Del Sol</t>
        </is>
      </c>
      <c r="J1505" s="2" t="inlineStr">
        <is>
          <t>DIN-358/2025</t>
        </is>
      </c>
      <c r="K1505" s="2" t="inlineStr">
        <is>
          <t>Licitación con negociación</t>
        </is>
      </c>
      <c r="L1505" s="6" t="n">
        <v>25</v>
      </c>
      <c r="M1505" s="2" t="n"/>
      <c r="N1505" s="7" t="n">
        <v>0</v>
      </c>
      <c r="O1505" s="4" t="n"/>
      <c r="P1505" s="2" t="inlineStr">
        <is>
          <t>45235210</t>
        </is>
      </c>
      <c r="Q1505" s="8" t="inlineStr">
        <is>
          <t>Ver</t>
        </is>
      </c>
      <c r="R1505" s="8" t="inlineStr">
        <is>
          <t>PCAP</t>
        </is>
      </c>
      <c r="S1505" s="9" t="n">
        <v>46311</v>
      </c>
      <c r="T1505" s="3" t="n">
        <v>46310.42868055555</v>
      </c>
      <c r="U1505" s="2" t="n"/>
    </row>
    <row r="1506">
      <c r="A1506" s="2" t="inlineStr">
        <is>
          <t>Resuelta</t>
        </is>
      </c>
      <c r="B1506" s="3" t="n">
        <v>45993.99930555555</v>
      </c>
      <c r="C1506" s="5" t="n">
        <v>5939940.8</v>
      </c>
      <c r="D1506" s="5" t="n">
        <v>6177538.43</v>
      </c>
      <c r="E1506" s="2" t="inlineStr">
        <is>
          <t>Comunitat Valenciana</t>
        </is>
      </c>
      <c r="F1506" s="2" t="inlineStr">
        <is>
          <t>Alicante</t>
        </is>
      </c>
      <c r="G1506" s="2" t="inlineStr">
        <is>
          <t>Alicante / Alacant</t>
        </is>
      </c>
      <c r="H1506" s="2" t="inlineStr">
        <is>
          <t>Aena. Presidencia. Consejero Delegado</t>
        </is>
      </c>
      <c r="I1506" s="2" t="inlineStr">
        <is>
          <t>Nueva Sala Vip. Aeropuerto De Alicante-Elche</t>
        </is>
      </c>
      <c r="J1506" s="2" t="inlineStr">
        <is>
          <t>DIN-271/2025</t>
        </is>
      </c>
      <c r="K1506" s="2" t="inlineStr">
        <is>
          <t>Licitación con negociación</t>
        </is>
      </c>
      <c r="L1506" s="6" t="n"/>
      <c r="M1506" s="2" t="n"/>
      <c r="N1506" s="7" t="n">
        <v>0</v>
      </c>
      <c r="O1506" s="4" t="n"/>
      <c r="P1506" s="2" t="inlineStr">
        <is>
          <t>45213331</t>
        </is>
      </c>
      <c r="Q1506" s="8" t="inlineStr">
        <is>
          <t>Ver</t>
        </is>
      </c>
      <c r="R1506" s="8" t="inlineStr">
        <is>
          <t>PCAP</t>
        </is>
      </c>
      <c r="S1506" s="9" t="n">
        <v>46310</v>
      </c>
      <c r="T1506" s="3" t="n">
        <v>46310.42820601852</v>
      </c>
      <c r="U1506" s="2" t="n"/>
    </row>
    <row r="1507">
      <c r="A1507" s="2" t="inlineStr">
        <is>
          <t>Resuelta</t>
        </is>
      </c>
      <c r="B1507" s="3" t="n">
        <v>45922.99930555555</v>
      </c>
      <c r="C1507" s="5" t="n">
        <v>150615.94</v>
      </c>
      <c r="D1507" s="5" t="n">
        <v>150615.94</v>
      </c>
      <c r="E1507" s="2" t="inlineStr">
        <is>
          <t>Andalucía</t>
        </is>
      </c>
      <c r="F1507" s="2" t="inlineStr">
        <is>
          <t>Málaga</t>
        </is>
      </c>
      <c r="G1507" s="2" t="inlineStr">
        <is>
          <t>Málaga</t>
        </is>
      </c>
      <c r="H1507" s="2" t="inlineStr">
        <is>
          <t>Aena. Dirección del Aeropuerto de Málaga-Costa del Sol</t>
        </is>
      </c>
      <c r="I1507" s="2" t="inlineStr">
        <is>
          <t>Adecuación De Iluminación En Nivel Salida Dique D En El Aeropuerto De Málaga-Costa Del Sol</t>
        </is>
      </c>
      <c r="J1507" s="2" t="inlineStr">
        <is>
          <t>AGP-169/2025</t>
        </is>
      </c>
      <c r="K1507" s="2" t="inlineStr">
        <is>
          <t>Normas internas</t>
        </is>
      </c>
      <c r="L1507" s="6" t="n"/>
      <c r="M1507" s="2" t="n"/>
      <c r="N1507" s="7" t="n">
        <v>0</v>
      </c>
      <c r="O1507" s="4" t="n"/>
      <c r="P1507" s="2" t="inlineStr">
        <is>
          <t>45310000</t>
        </is>
      </c>
      <c r="Q1507" s="8" t="inlineStr">
        <is>
          <t>Ver</t>
        </is>
      </c>
      <c r="R1507" s="8" t="inlineStr">
        <is>
          <t>PCAP</t>
        </is>
      </c>
      <c r="S1507" s="9" t="n">
        <v>46311</v>
      </c>
      <c r="T1507" s="3" t="n">
        <v>46310.42600694444</v>
      </c>
      <c r="U1507" s="2" t="n"/>
    </row>
    <row r="1508">
      <c r="A1508" s="2" t="inlineStr">
        <is>
          <t>En plazo</t>
        </is>
      </c>
      <c r="B1508" s="3" t="n">
        <v>46330.99930555555</v>
      </c>
      <c r="C1508" s="5" t="n">
        <v>281468.89</v>
      </c>
      <c r="D1508" s="5" t="n">
        <v>337762.67</v>
      </c>
      <c r="E1508" s="2" t="inlineStr">
        <is>
          <t>Andalucía</t>
        </is>
      </c>
      <c r="F1508" s="2" t="inlineStr">
        <is>
          <t>Granada</t>
        </is>
      </c>
      <c r="G1508" s="2" t="n"/>
      <c r="H1508" s="2" t="inlineStr">
        <is>
          <t>Alcaldía del Ayuntamiento de Atarfe</t>
        </is>
      </c>
      <c r="I1508" s="2" t="inlineStr">
        <is>
          <t>Obras de reparación de pavimentos y asfaltado de viales.</t>
        </is>
      </c>
      <c r="J1508" s="2" t="inlineStr">
        <is>
          <t>7454/2026</t>
        </is>
      </c>
      <c r="K1508" s="2" t="inlineStr">
        <is>
          <t>Abierto simplificado</t>
        </is>
      </c>
      <c r="L1508" s="6" t="n">
        <v>2.5</v>
      </c>
      <c r="M1508" s="2" t="n"/>
      <c r="N1508" s="7" t="n">
        <v>0</v>
      </c>
      <c r="O1508" s="4" t="n"/>
      <c r="P1508" s="2" t="inlineStr">
        <is>
          <t>45233210; 45233252; 45233142; 45233253; 45233223; 45233220; 45233221</t>
        </is>
      </c>
      <c r="Q1508" s="8" t="inlineStr">
        <is>
          <t>Ver</t>
        </is>
      </c>
      <c r="R1508" s="8" t="inlineStr">
        <is>
          <t>PCAP</t>
        </is>
      </c>
      <c r="S1508" s="9" t="n">
        <v>46311</v>
      </c>
      <c r="T1508" s="3" t="n">
        <v>46310.42534722222</v>
      </c>
      <c r="U1508" s="2" t="n"/>
    </row>
    <row r="1509">
      <c r="A1509" s="2" t="inlineStr">
        <is>
          <t>Resuelta</t>
        </is>
      </c>
      <c r="B1509" s="3" t="n">
        <v>46245.99930555555</v>
      </c>
      <c r="C1509" s="5" t="n">
        <v>377093.42</v>
      </c>
      <c r="D1509" s="5" t="n">
        <v>377093.42</v>
      </c>
      <c r="E1509" s="2" t="inlineStr">
        <is>
          <t>Comunitat Valenciana</t>
        </is>
      </c>
      <c r="F1509" s="2" t="inlineStr">
        <is>
          <t>Valencia</t>
        </is>
      </c>
      <c r="G1509" s="2" t="inlineStr">
        <is>
          <t>CULLERA</t>
        </is>
      </c>
      <c r="H1509" s="2" t="inlineStr">
        <is>
          <t>Alcaldía del Ayuntamiento de Cullera</t>
        </is>
      </c>
      <c r="I1509" s="2" t="inlineStr">
        <is>
          <t>Contrato de Obras de Restauración de Fachadas en la Residencia Municipal de Cullera para Personas Mayores ( DANA 2024)</t>
        </is>
      </c>
      <c r="J1509" s="2" t="inlineStr">
        <is>
          <t>2909923K</t>
        </is>
      </c>
      <c r="K1509" s="2" t="inlineStr">
        <is>
          <t>Abierto simplificado</t>
        </is>
      </c>
      <c r="L1509" s="6" t="n">
        <v>3</v>
      </c>
      <c r="M1509" s="2" t="n"/>
      <c r="N1509" s="7" t="n">
        <v>0.24</v>
      </c>
      <c r="O1509" s="4" t="n"/>
      <c r="P1509" s="2" t="inlineStr">
        <is>
          <t>45000000</t>
        </is>
      </c>
      <c r="Q1509" s="8" t="inlineStr">
        <is>
          <t>Ver</t>
        </is>
      </c>
      <c r="R1509" s="8" t="inlineStr">
        <is>
          <t>PCAP</t>
        </is>
      </c>
      <c r="S1509" s="9" t="n">
        <v>46311</v>
      </c>
      <c r="T1509" s="3" t="n">
        <v>46310.41454861111</v>
      </c>
      <c r="U1509" s="2" t="n"/>
    </row>
    <row r="1510">
      <c r="A1510" s="2" t="inlineStr">
        <is>
          <t>Pendiente de adjudicación</t>
        </is>
      </c>
      <c r="B1510" s="3" t="n">
        <v>46287.99930555555</v>
      </c>
      <c r="C1510" s="5" t="n">
        <v>1828053.54</v>
      </c>
      <c r="D1510" s="5" t="n">
        <v>1828053.54</v>
      </c>
      <c r="E1510" s="2" t="inlineStr">
        <is>
          <t>Andalucía</t>
        </is>
      </c>
      <c r="F1510" s="2" t="inlineStr">
        <is>
          <t>Málaga</t>
        </is>
      </c>
      <c r="G1510" s="2" t="n"/>
      <c r="H1510" s="2" t="inlineStr">
        <is>
          <t>Concejalía Delegada en Materia de Contratación del Ayuntamiento de Torremolinos</t>
        </is>
      </c>
      <c r="I1510" s="2" t="inlineStr">
        <is>
          <t>Obras del Proyecto de Plan de Asfaltado Municipal del Ayuntamiento de Torremolinos</t>
        </is>
      </c>
      <c r="J1510" s="2" t="inlineStr">
        <is>
          <t>18201/2026</t>
        </is>
      </c>
      <c r="K1510" s="2" t="inlineStr">
        <is>
          <t>Abierto</t>
        </is>
      </c>
      <c r="L1510" s="6" t="n">
        <v>5</v>
      </c>
      <c r="M1510" s="2" t="n"/>
      <c r="N1510" s="7" t="n">
        <v>0.25</v>
      </c>
      <c r="O1510" s="4" t="n"/>
      <c r="P1510" s="2" t="inlineStr">
        <is>
          <t>45233222; 45000000</t>
        </is>
      </c>
      <c r="Q1510" s="8" t="inlineStr">
        <is>
          <t>Ver</t>
        </is>
      </c>
      <c r="R1510" s="8" t="inlineStr">
        <is>
          <t>PCAP</t>
        </is>
      </c>
      <c r="S1510" s="9" t="n">
        <v>46310</v>
      </c>
      <c r="T1510" s="3" t="n">
        <v>46310.40723379629</v>
      </c>
      <c r="U1510" s="2" t="n"/>
    </row>
    <row r="1511">
      <c r="A1511" s="2" t="inlineStr">
        <is>
          <t>En plazo</t>
        </is>
      </c>
      <c r="B1511" s="3" t="n">
        <v>46330.99930555555</v>
      </c>
      <c r="C1511" s="5" t="n">
        <v>200602.4</v>
      </c>
      <c r="D1511" s="5" t="n">
        <v>200602.4</v>
      </c>
      <c r="E1511" s="2" t="inlineStr">
        <is>
          <t>Andalucía</t>
        </is>
      </c>
      <c r="F1511" s="2" t="inlineStr">
        <is>
          <t>Sevilla</t>
        </is>
      </c>
      <c r="G1511" s="2" t="inlineStr">
        <is>
          <t>Alcalá de Guadaíra</t>
        </is>
      </c>
      <c r="H1511" s="2" t="inlineStr">
        <is>
          <t>Junta de Gobierno Local del Ayuntamiento de Alcalá de Guadaíra</t>
        </is>
      </c>
      <c r="I1511" s="2" t="inlineStr">
        <is>
          <t>obras, en dos lotes, de reforma del salón de plenos de la Casa Consistorial, sita en Plaza del Duque nº 1 (C-2025/085)</t>
        </is>
      </c>
      <c r="J1511" s="2" t="inlineStr">
        <is>
          <t>14464/2025</t>
        </is>
      </c>
      <c r="K1511" s="2" t="inlineStr">
        <is>
          <t>Abierto simplificado</t>
        </is>
      </c>
      <c r="L1511" s="6" t="n">
        <v>6</v>
      </c>
      <c r="M1511" s="2" t="n"/>
      <c r="N1511" s="7" t="n">
        <v>0.25</v>
      </c>
      <c r="O1511" s="4" t="n">
        <v>2</v>
      </c>
      <c r="P1511" s="2" t="inlineStr">
        <is>
          <t>45200000; 44111400; 44112200; 45421146; 45223210; 42512000; 45212350; 45421153</t>
        </is>
      </c>
      <c r="Q1511" s="8" t="inlineStr">
        <is>
          <t>Ver</t>
        </is>
      </c>
      <c r="R1511" s="8" t="inlineStr">
        <is>
          <t>PCAP</t>
        </is>
      </c>
      <c r="S1511" s="9" t="n">
        <v>46311</v>
      </c>
      <c r="T1511" s="3" t="n">
        <v>46310.3999537037</v>
      </c>
      <c r="U1511" s="2" t="n"/>
    </row>
    <row r="1512">
      <c r="A1512" s="2" t="inlineStr">
        <is>
          <t>Resuelta</t>
        </is>
      </c>
      <c r="B1512" s="3" t="n">
        <v>46225.99930555555</v>
      </c>
      <c r="C1512" s="5" t="n">
        <v>124733.54</v>
      </c>
      <c r="D1512" s="5" t="n">
        <v>124733.54</v>
      </c>
      <c r="E1512" s="2" t="inlineStr">
        <is>
          <t>Comunitat Valenciana</t>
        </is>
      </c>
      <c r="F1512" s="2" t="inlineStr">
        <is>
          <t>Valencia</t>
        </is>
      </c>
      <c r="G1512" s="2" t="n"/>
      <c r="H1512" s="2" t="inlineStr">
        <is>
          <t>Concejalía Delegada de Contratación del Ajuntament de Tavernes de la Valldigna</t>
        </is>
      </c>
      <c r="I1512" s="2" t="inlineStr">
        <is>
          <t>Finalización obras de mejora Mercado Municipal</t>
        </is>
      </c>
      <c r="J1512" s="2" t="inlineStr">
        <is>
          <t>2961813E</t>
        </is>
      </c>
      <c r="K1512" s="2" t="inlineStr">
        <is>
          <t>Negociado sin publicidad</t>
        </is>
      </c>
      <c r="L1512" s="6" t="n">
        <v>3</v>
      </c>
      <c r="M1512" s="2" t="n"/>
      <c r="N1512" s="7" t="n">
        <v>0</v>
      </c>
      <c r="O1512" s="4" t="n">
        <v>2</v>
      </c>
      <c r="P1512" s="2" t="inlineStr">
        <is>
          <t>45000000</t>
        </is>
      </c>
      <c r="Q1512" s="8" t="inlineStr">
        <is>
          <t>Ver</t>
        </is>
      </c>
      <c r="R1512" s="8" t="inlineStr">
        <is>
          <t>PCAP</t>
        </is>
      </c>
      <c r="S1512" s="9" t="n">
        <v>46311</v>
      </c>
      <c r="T1512" s="3" t="n">
        <v>46310.39554398148</v>
      </c>
      <c r="U1512" s="2" t="n"/>
    </row>
    <row r="1513">
      <c r="A1513" s="2" t="inlineStr">
        <is>
          <t>En plazo</t>
        </is>
      </c>
      <c r="B1513" s="3" t="n">
        <v>46330.99930555555</v>
      </c>
      <c r="C1513" s="5" t="n">
        <v>82644.63</v>
      </c>
      <c r="D1513" s="5" t="n">
        <v>82644.63</v>
      </c>
      <c r="E1513" s="2" t="inlineStr">
        <is>
          <t>Andalucía</t>
        </is>
      </c>
      <c r="F1513" s="2" t="inlineStr">
        <is>
          <t>Granada</t>
        </is>
      </c>
      <c r="G1513" s="2" t="n"/>
      <c r="H1513" s="2" t="inlineStr">
        <is>
          <t>Alcaldía del Ayuntamiento de Las Gabias</t>
        </is>
      </c>
      <c r="I1513" s="2" t="inlineStr">
        <is>
          <t>Adecuación de la sala de usos múltiples Centro Cultural Siglo XXI de Las Gabias.</t>
        </is>
      </c>
      <c r="J1513" s="2" t="inlineStr">
        <is>
          <t>2291/2026</t>
        </is>
      </c>
      <c r="K1513" s="2" t="inlineStr">
        <is>
          <t>Abierto simplificado</t>
        </is>
      </c>
      <c r="L1513" s="6" t="n">
        <v>2</v>
      </c>
      <c r="M1513" s="2" t="n"/>
      <c r="N1513" s="7" t="n">
        <v>0</v>
      </c>
      <c r="O1513" s="4" t="n"/>
      <c r="P1513" s="2" t="inlineStr">
        <is>
          <t>45453100</t>
        </is>
      </c>
      <c r="Q1513" s="8" t="inlineStr">
        <is>
          <t>Ver</t>
        </is>
      </c>
      <c r="R1513" s="8" t="inlineStr">
        <is>
          <t>PCAP</t>
        </is>
      </c>
      <c r="S1513" s="9" t="n">
        <v>46311</v>
      </c>
      <c r="T1513" s="3" t="n">
        <v>46310.39225694445</v>
      </c>
      <c r="U1513" s="2" t="n"/>
    </row>
    <row r="1514">
      <c r="A1514" s="2" t="inlineStr">
        <is>
          <t>Plazo vencido</t>
        </is>
      </c>
      <c r="B1514" s="3" t="n">
        <v>46316.99930555555</v>
      </c>
      <c r="C1514" s="5" t="n">
        <v>5946722.56</v>
      </c>
      <c r="D1514" s="5" t="n">
        <v>5946722.56</v>
      </c>
      <c r="E1514" s="2" t="inlineStr">
        <is>
          <t>Comunitat Valenciana</t>
        </is>
      </c>
      <c r="F1514" s="2" t="inlineStr">
        <is>
          <t>Valencia</t>
        </is>
      </c>
      <c r="G1514" s="2" t="n"/>
      <c r="H1514" s="2" t="inlineStr">
        <is>
          <t>Departamento de Salud La Fe. Dirección Económica-Gerencia</t>
        </is>
      </c>
      <c r="I1514" s="2" t="inlineStr">
        <is>
          <t>Obra para la ejecución del proyecto de adecuación del alumbrado general a luminarias LED del Hospital Universitari i Politécnic La Fe</t>
        </is>
      </c>
      <c r="J1514" s="2" t="inlineStr">
        <is>
          <t>PA 1494/2026</t>
        </is>
      </c>
      <c r="K1514" s="2" t="inlineStr">
        <is>
          <t>Abierto</t>
        </is>
      </c>
      <c r="L1514" s="6" t="n">
        <v>40</v>
      </c>
      <c r="M1514" s="2" t="inlineStr">
        <is>
          <t>I6-4</t>
        </is>
      </c>
      <c r="N1514" s="7" t="n">
        <v>0.3</v>
      </c>
      <c r="O1514" s="4" t="n"/>
      <c r="P1514" s="2" t="inlineStr">
        <is>
          <t>45316000; 45316100</t>
        </is>
      </c>
      <c r="Q1514" s="8" t="inlineStr">
        <is>
          <t>Ver</t>
        </is>
      </c>
      <c r="R1514" s="8" t="inlineStr">
        <is>
          <t>PCAP</t>
        </is>
      </c>
      <c r="S1514" s="9" t="n">
        <v>46311</v>
      </c>
      <c r="T1514" s="3" t="n">
        <v>46310.3894212963</v>
      </c>
      <c r="U1514" s="2" t="n"/>
    </row>
    <row r="1515">
      <c r="A1515" s="2" t="inlineStr">
        <is>
          <t>Pendiente de adjudicación</t>
        </is>
      </c>
      <c r="B1515" s="3" t="n">
        <v>45985.99930555555</v>
      </c>
      <c r="C1515" s="5" t="n">
        <v>148760.33</v>
      </c>
      <c r="D1515" s="5" t="n">
        <v>148760.33</v>
      </c>
      <c r="E1515" s="2" t="inlineStr">
        <is>
          <t>Comunitat Valenciana</t>
        </is>
      </c>
      <c r="F1515" s="2" t="inlineStr">
        <is>
          <t>Alicante</t>
        </is>
      </c>
      <c r="G1515" s="2" t="n"/>
      <c r="H1515" s="2" t="inlineStr">
        <is>
          <t>Presidencia de la Diputación Provincial de Alicante</t>
        </is>
      </c>
      <c r="I1515" s="2" t="inlineStr">
        <is>
          <t>Obras de refuerzo de firme entre los PPKK 3+500 y 4+500 de la CV-849 y ampliación de plataforma entre los PPKK 4+500 y 6+100.</t>
        </is>
      </c>
      <c r="J1515" s="2" t="inlineStr">
        <is>
          <t>O4S-227/2025</t>
        </is>
      </c>
      <c r="K1515" s="2" t="inlineStr">
        <is>
          <t>Abierto simplificado</t>
        </is>
      </c>
      <c r="L1515" s="6" t="n">
        <v>3</v>
      </c>
      <c r="M1515" s="2" t="n"/>
      <c r="N1515" s="7" t="n">
        <v>0.25</v>
      </c>
      <c r="O1515" s="4" t="n"/>
      <c r="P1515" s="2" t="inlineStr">
        <is>
          <t>45233140</t>
        </is>
      </c>
      <c r="Q1515" s="8" t="inlineStr">
        <is>
          <t>Ver</t>
        </is>
      </c>
      <c r="R1515" s="8" t="inlineStr">
        <is>
          <t>PCAP</t>
        </is>
      </c>
      <c r="S1515" s="9" t="n">
        <v>46311</v>
      </c>
      <c r="T1515" s="3" t="n">
        <v>46310.38584490741</v>
      </c>
      <c r="U1515" s="2" t="n"/>
    </row>
    <row r="1516">
      <c r="A1516" s="2" t="inlineStr">
        <is>
          <t>Resuelta</t>
        </is>
      </c>
      <c r="B1516" s="3" t="n">
        <v>46272.99930555555</v>
      </c>
      <c r="C1516" s="5" t="n">
        <v>136013.07</v>
      </c>
      <c r="D1516" s="5" t="n">
        <v>136013.07</v>
      </c>
      <c r="E1516" s="2" t="inlineStr">
        <is>
          <t>Andalucía</t>
        </is>
      </c>
      <c r="F1516" s="2" t="inlineStr">
        <is>
          <t>Jaén</t>
        </is>
      </c>
      <c r="G1516" s="2" t="inlineStr">
        <is>
          <t>MARMOLEJO</t>
        </is>
      </c>
      <c r="H1516" s="2" t="inlineStr">
        <is>
          <t>Junta de Gobierno Local del Ayuntamiento de Marmolejo</t>
        </is>
      </c>
      <c r="I1516"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1516" s="2" t="inlineStr">
        <is>
          <t>2065/2026</t>
        </is>
      </c>
      <c r="K1516" s="2" t="inlineStr">
        <is>
          <t>Abierto simplificado</t>
        </is>
      </c>
      <c r="L1516" s="6" t="n">
        <v>6</v>
      </c>
      <c r="M1516" s="2" t="n"/>
      <c r="N1516" s="7" t="n">
        <v>0</v>
      </c>
      <c r="O1516" s="4" t="n"/>
      <c r="P1516" s="2" t="inlineStr">
        <is>
          <t>45233252; 45112100; 45232150; 45232400</t>
        </is>
      </c>
      <c r="Q1516" s="8" t="inlineStr">
        <is>
          <t>Ver</t>
        </is>
      </c>
      <c r="R1516" s="8" t="inlineStr">
        <is>
          <t>PCAP</t>
        </is>
      </c>
      <c r="S1516" s="9" t="n">
        <v>46310</v>
      </c>
      <c r="T1516" s="3" t="n">
        <v>46310.38498842593</v>
      </c>
      <c r="U1516" s="2" t="inlineStr">
        <is>
          <t>2026-10-16: estado ADJ → RES</t>
        </is>
      </c>
    </row>
    <row r="1517">
      <c r="A1517" s="2" t="inlineStr">
        <is>
          <t>Resuelta</t>
        </is>
      </c>
      <c r="B1517" s="3" t="n">
        <v>46308.375</v>
      </c>
      <c r="C1517" s="5" t="n">
        <v>55262.54</v>
      </c>
      <c r="D1517" s="5" t="n">
        <v>66315.05</v>
      </c>
      <c r="E1517" s="2" t="inlineStr">
        <is>
          <t>Andalucía</t>
        </is>
      </c>
      <c r="F1517" s="2" t="inlineStr">
        <is>
          <t>Málaga</t>
        </is>
      </c>
      <c r="G1517" s="2" t="inlineStr">
        <is>
          <t>Málaga</t>
        </is>
      </c>
      <c r="H1517" s="2" t="inlineStr">
        <is>
          <t>Jefatura de la Sección Económico Administrativa 24 de la Base Aérea de Morón</t>
        </is>
      </c>
      <c r="I1517" s="2" t="inlineStr">
        <is>
          <t>3402/RMD/Obra de reforma de playa en piscina del pabellón logístico de la Base Aérea de Málaga</t>
        </is>
      </c>
      <c r="J1517" s="2" t="inlineStr">
        <is>
          <t>2026/EA24/00002115E</t>
        </is>
      </c>
      <c r="K1517" s="2" t="inlineStr">
        <is>
          <t>Abierto simplificado</t>
        </is>
      </c>
      <c r="L1517" s="6" t="n">
        <v>2</v>
      </c>
      <c r="M1517" s="2" t="n"/>
      <c r="N1517" s="7" t="n">
        <v>0</v>
      </c>
      <c r="O1517" s="4" t="n"/>
      <c r="P1517" s="2" t="inlineStr">
        <is>
          <t>45212212</t>
        </is>
      </c>
      <c r="Q1517" s="8" t="inlineStr">
        <is>
          <t>Ver</t>
        </is>
      </c>
      <c r="R1517" s="8" t="inlineStr">
        <is>
          <t>PCAP</t>
        </is>
      </c>
      <c r="S1517" s="9" t="n">
        <v>46311</v>
      </c>
      <c r="T1517" s="3" t="n">
        <v>46310.3846875</v>
      </c>
      <c r="U1517" s="2" t="n"/>
    </row>
    <row r="1518">
      <c r="A1518" s="2" t="inlineStr">
        <is>
          <t>En plazo</t>
        </is>
      </c>
      <c r="B1518" s="3" t="n">
        <v>46337.99930555555</v>
      </c>
      <c r="C1518" s="5" t="n">
        <v>489919.76</v>
      </c>
      <c r="D1518" s="5" t="n">
        <v>489919.76</v>
      </c>
      <c r="E1518" s="2" t="inlineStr">
        <is>
          <t>Andalucía</t>
        </is>
      </c>
      <c r="F1518" s="2" t="inlineStr">
        <is>
          <t>Sevilla</t>
        </is>
      </c>
      <c r="G1518" s="2" t="n"/>
      <c r="H1518" s="2" t="inlineStr">
        <is>
          <t>Gerencia de Sevilla Activa SAU</t>
        </is>
      </c>
      <c r="I1518" s="2" t="inlineStr">
        <is>
          <t>Proyecto y obra Pabellón Barrio de Quarto. Cortijo de Cuarto.</t>
        </is>
      </c>
      <c r="J1518" s="2" t="inlineStr">
        <is>
          <t>A41420191-2026/000087-PaA</t>
        </is>
      </c>
      <c r="K1518" s="2" t="inlineStr">
        <is>
          <t>Abierto</t>
        </is>
      </c>
      <c r="L1518" s="6" t="n">
        <v>7</v>
      </c>
      <c r="M1518" s="2" t="n"/>
      <c r="N1518" s="7" t="n">
        <v>0.8</v>
      </c>
      <c r="O1518" s="4" t="n"/>
      <c r="P1518" s="2" t="inlineStr">
        <is>
          <t>45200000</t>
        </is>
      </c>
      <c r="Q1518" s="8" t="inlineStr">
        <is>
          <t>Ver</t>
        </is>
      </c>
      <c r="R1518" s="8" t="inlineStr">
        <is>
          <t>PCAP</t>
        </is>
      </c>
      <c r="S1518" s="9" t="n">
        <v>46311</v>
      </c>
      <c r="T1518" s="3" t="n">
        <v>46310.37565972222</v>
      </c>
      <c r="U1518" s="2" t="n"/>
    </row>
    <row r="1519">
      <c r="A1519" s="2" t="inlineStr">
        <is>
          <t>Resuelta</t>
        </is>
      </c>
      <c r="B1519" s="3" t="n">
        <v>45397.99930555555</v>
      </c>
      <c r="C1519" s="5" t="n">
        <v>20699296.23</v>
      </c>
      <c r="D1519" s="5" t="n">
        <v>24839155.48</v>
      </c>
      <c r="E1519" s="2" t="inlineStr">
        <is>
          <t>Comunitat Valenciana</t>
        </is>
      </c>
      <c r="F1519" s="2" t="inlineStr">
        <is>
          <t>Valencia</t>
        </is>
      </c>
      <c r="G1519" s="2" t="inlineStr">
        <is>
          <t>Valencia</t>
        </is>
      </c>
      <c r="H1519" s="2" t="inlineStr">
        <is>
          <t>Rectorado de la Universitat de València</t>
        </is>
      </c>
      <c r="I1519" s="2" t="inlineStr">
        <is>
          <t>Construcción de Aulari Oest 2 en el Campus de Tarongers de la Universitat de València</t>
        </is>
      </c>
      <c r="J1519" s="2" t="inlineStr">
        <is>
          <t>2024OB00001</t>
        </is>
      </c>
      <c r="K1519" s="2" t="inlineStr">
        <is>
          <t>Abierto</t>
        </is>
      </c>
      <c r="L1519" s="6" t="n">
        <v>20</v>
      </c>
      <c r="M1519" s="2" t="inlineStr">
        <is>
          <t>C*-6</t>
        </is>
      </c>
      <c r="N1519" s="7" t="n">
        <v>0.3</v>
      </c>
      <c r="O1519" s="4" t="n"/>
      <c r="P1519" s="2" t="inlineStr">
        <is>
          <t>45214400</t>
        </is>
      </c>
      <c r="Q1519" s="8" t="inlineStr">
        <is>
          <t>Ver</t>
        </is>
      </c>
      <c r="R1519" s="8" t="inlineStr">
        <is>
          <t>PCAP</t>
        </is>
      </c>
      <c r="S1519" s="9" t="n">
        <v>46310</v>
      </c>
      <c r="T1519" s="3" t="n">
        <v>46310.375</v>
      </c>
      <c r="U1519" s="2" t="n"/>
    </row>
    <row r="1520">
      <c r="A1520" s="2" t="inlineStr">
        <is>
          <t>Plazo vencido</t>
        </is>
      </c>
      <c r="B1520" s="3" t="n">
        <v>46323.66666666666</v>
      </c>
      <c r="C1520" s="5" t="n">
        <v>192212.36</v>
      </c>
      <c r="D1520" s="5" t="n">
        <v>192212.36</v>
      </c>
      <c r="E1520" s="2" t="inlineStr">
        <is>
          <t>Comunitat Valenciana</t>
        </is>
      </c>
      <c r="F1520" s="2" t="inlineStr">
        <is>
          <t>Alicante</t>
        </is>
      </c>
      <c r="G1520" s="2" t="inlineStr">
        <is>
          <t>Alicante (Alacant)</t>
        </is>
      </c>
      <c r="H1520" s="2" t="inlineStr">
        <is>
          <t>Junta de Gobierno del Ayuntamiento de La Nucía</t>
        </is>
      </c>
      <c r="I1520" s="2" t="inlineStr">
        <is>
          <t>Obras de reposición de infraestructura en "El Calvari": Calle Tossalet y Calle Xiprer</t>
        </is>
      </c>
      <c r="J1520" s="2" t="inlineStr">
        <is>
          <t>12725/2026</t>
        </is>
      </c>
      <c r="K1520" s="2" t="inlineStr">
        <is>
          <t>Abierto simplificado</t>
        </is>
      </c>
      <c r="L1520" s="6" t="n">
        <v>2.3</v>
      </c>
      <c r="M1520" s="2" t="n"/>
      <c r="N1520" s="7" t="n"/>
      <c r="O1520" s="4" t="n"/>
      <c r="P1520" s="2" t="inlineStr">
        <is>
          <t>45211360; 34928510</t>
        </is>
      </c>
      <c r="Q1520" s="8" t="inlineStr">
        <is>
          <t>Ver</t>
        </is>
      </c>
      <c r="R1520" s="8" t="inlineStr">
        <is>
          <t>PCAP</t>
        </is>
      </c>
      <c r="S1520" s="9" t="n">
        <v>46310</v>
      </c>
      <c r="T1520" s="3" t="n">
        <v>46310.37109953703</v>
      </c>
      <c r="U1520" s="2" t="n"/>
    </row>
    <row r="1521">
      <c r="A1521" s="2" t="inlineStr">
        <is>
          <t>En plazo</t>
        </is>
      </c>
      <c r="B1521" s="3" t="n">
        <v>46329.99930555555</v>
      </c>
      <c r="C1521" s="5" t="n">
        <v>201033.24</v>
      </c>
      <c r="D1521" s="5" t="n">
        <v>241239.89</v>
      </c>
      <c r="E1521" s="2" t="inlineStr">
        <is>
          <t>Comunitat Valenciana</t>
        </is>
      </c>
      <c r="F1521" s="2" t="inlineStr">
        <is>
          <t>Valencia</t>
        </is>
      </c>
      <c r="G1521" s="2" t="n"/>
      <c r="H1521" s="2" t="inlineStr">
        <is>
          <t>Dirección Territorial de Educación, Investigación, Cultura y Deporte - Valencia</t>
        </is>
      </c>
      <c r="I1521" s="2" t="inlineStr">
        <is>
          <t>Reforma de aseos, cubierta y patios en el CEIP Mestalla de Valencia</t>
        </is>
      </c>
      <c r="J1521" s="2" t="inlineStr">
        <is>
          <t>CMAYOR/2026/19Y16/0061</t>
        </is>
      </c>
      <c r="K1521" s="2" t="inlineStr">
        <is>
          <t>Abierto simplificado</t>
        </is>
      </c>
      <c r="L1521" s="6" t="n">
        <v>6</v>
      </c>
      <c r="M1521" s="2" t="n"/>
      <c r="N1521" s="7" t="n">
        <v>0</v>
      </c>
      <c r="O1521" s="4" t="n"/>
      <c r="P1521" s="2" t="inlineStr">
        <is>
          <t>45214210</t>
        </is>
      </c>
      <c r="Q1521" s="8" t="inlineStr">
        <is>
          <t>Ver</t>
        </is>
      </c>
      <c r="R1521" s="8" t="inlineStr">
        <is>
          <t>PCAP</t>
        </is>
      </c>
      <c r="S1521" s="9" t="n">
        <v>46310</v>
      </c>
      <c r="T1521" s="3" t="n">
        <v>46310.36878472222</v>
      </c>
      <c r="U1521" s="2" t="n"/>
    </row>
    <row r="1522">
      <c r="A1522" s="2" t="inlineStr">
        <is>
          <t>Pendiente de adjudicación</t>
        </is>
      </c>
      <c r="B1522" s="3" t="n">
        <v>46301.54166666666</v>
      </c>
      <c r="C1522" s="5" t="n">
        <v>82641.58</v>
      </c>
      <c r="D1522" s="5" t="n">
        <v>90905.74000000001</v>
      </c>
      <c r="E1522" s="2" t="inlineStr">
        <is>
          <t>Comunitat Valenciana</t>
        </is>
      </c>
      <c r="F1522" s="2" t="inlineStr">
        <is>
          <t>Valencia</t>
        </is>
      </c>
      <c r="G1522" s="2" t="n"/>
      <c r="H1522" s="2" t="inlineStr">
        <is>
          <t>Presidencia de la Diputación Provincial de Valencia</t>
        </is>
      </c>
      <c r="I1522" s="2" t="inlineStr">
        <is>
          <t>Obras de Estabilización de taludes en el camino de acceso a la Ermita de Santa Bárbara en T.M. de Bolbaite</t>
        </is>
      </c>
      <c r="J1522" s="2" t="inlineStr">
        <is>
          <t>544/26/MAM</t>
        </is>
      </c>
      <c r="K1522" s="2" t="inlineStr">
        <is>
          <t>Abierto simplificado</t>
        </is>
      </c>
      <c r="L1522" s="6" t="n">
        <v>3</v>
      </c>
      <c r="M1522" s="2" t="n"/>
      <c r="N1522" s="7" t="n">
        <v>0</v>
      </c>
      <c r="O1522" s="4" t="n"/>
      <c r="P1522" s="2" t="inlineStr">
        <is>
          <t>45111230</t>
        </is>
      </c>
      <c r="Q1522" s="8" t="inlineStr">
        <is>
          <t>Ver</t>
        </is>
      </c>
      <c r="R1522" s="8" t="inlineStr">
        <is>
          <t>PCAP</t>
        </is>
      </c>
      <c r="S1522" s="9" t="n">
        <v>46311</v>
      </c>
      <c r="T1522" s="3" t="n">
        <v>46310.36464120371</v>
      </c>
      <c r="U1522" s="2" t="n"/>
    </row>
    <row r="1523">
      <c r="A1523" s="2" t="inlineStr">
        <is>
          <t>Resuelta</t>
        </is>
      </c>
      <c r="B1523" s="3" t="n">
        <v>46233.79166666666</v>
      </c>
      <c r="C1523" s="5" t="n">
        <v>1751705</v>
      </c>
      <c r="D1523" s="5" t="n">
        <v>658504.16</v>
      </c>
      <c r="E1523" s="2" t="inlineStr">
        <is>
          <t>Comunitat Valenciana</t>
        </is>
      </c>
      <c r="F1523" s="2" t="inlineStr">
        <is>
          <t>Valencia</t>
        </is>
      </c>
      <c r="G1523" s="2" t="inlineStr">
        <is>
          <t>Loriguilla</t>
        </is>
      </c>
      <c r="H1523" s="2" t="inlineStr">
        <is>
          <t>Ayuntamiento de Loriguilla</t>
        </is>
      </c>
      <c r="I1523"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1523" s="2" t="inlineStr">
        <is>
          <t>1196/2026.- BALSAS LAMINACIÓN TMD- DANA</t>
        </is>
      </c>
      <c r="K1523" s="2" t="inlineStr">
        <is>
          <t>Abierto</t>
        </is>
      </c>
      <c r="L1523" s="6" t="n">
        <v>6</v>
      </c>
      <c r="M1523" s="2" t="inlineStr">
        <is>
          <t>E7-4</t>
        </is>
      </c>
      <c r="N1523" s="7" t="n">
        <v>0.75</v>
      </c>
      <c r="O1523" s="4" t="n"/>
      <c r="P1523" s="2" t="inlineStr">
        <is>
          <t>45240000; 71242000; 71420000; 45112710; 71310000; 71300000</t>
        </is>
      </c>
      <c r="Q1523" s="8" t="inlineStr">
        <is>
          <t>Ver</t>
        </is>
      </c>
      <c r="R1523" s="8" t="inlineStr">
        <is>
          <t>PCAP</t>
        </is>
      </c>
      <c r="S1523" s="9" t="n">
        <v>46310</v>
      </c>
      <c r="T1523" s="3" t="n">
        <v>46310.35854166667</v>
      </c>
      <c r="U1523" s="2" t="inlineStr">
        <is>
          <t>2026-10-16: estado ADJ → RES</t>
        </is>
      </c>
    </row>
    <row r="1524">
      <c r="A1524" s="2" t="inlineStr">
        <is>
          <t>Pendiente de adjudicación</t>
        </is>
      </c>
      <c r="B1524" s="3" t="n">
        <v>46301.99930555555</v>
      </c>
      <c r="C1524" s="5" t="n">
        <v>364387.68</v>
      </c>
      <c r="D1524" s="5" t="n">
        <v>364387.68</v>
      </c>
      <c r="E1524" s="2" t="inlineStr">
        <is>
          <t>Comunitat Valenciana</t>
        </is>
      </c>
      <c r="F1524" s="2" t="inlineStr">
        <is>
          <t>Alicante</t>
        </is>
      </c>
      <c r="G1524" s="2" t="inlineStr">
        <is>
          <t>Beniarbeig</t>
        </is>
      </c>
      <c r="H1524" s="2" t="inlineStr">
        <is>
          <t>Alcaldía del Ayuntamiento de Beniarbeig</t>
        </is>
      </c>
      <c r="I1524" s="2" t="inlineStr">
        <is>
          <t>"Rehabilitación Casas Maestros como Centro Social - Plan Conviure"</t>
        </is>
      </c>
      <c r="J1524" s="2" t="inlineStr">
        <is>
          <t>1285/2026</t>
        </is>
      </c>
      <c r="K1524" s="2" t="inlineStr">
        <is>
          <t>Abierto simplificado</t>
        </is>
      </c>
      <c r="L1524" s="6" t="n">
        <v>10</v>
      </c>
      <c r="M1524" s="2" t="n"/>
      <c r="N1524" s="7" t="n">
        <v>0</v>
      </c>
      <c r="O1524" s="4" t="n"/>
      <c r="P1524" s="2" t="inlineStr">
        <is>
          <t>45200000</t>
        </is>
      </c>
      <c r="Q1524" s="8" t="inlineStr">
        <is>
          <t>Ver</t>
        </is>
      </c>
      <c r="R1524" s="8" t="inlineStr">
        <is>
          <t>PCAP</t>
        </is>
      </c>
      <c r="S1524" s="9" t="n">
        <v>46311</v>
      </c>
      <c r="T1524" s="3" t="n">
        <v>46310.35746527778</v>
      </c>
      <c r="U1524" s="2" t="n"/>
    </row>
    <row r="1525">
      <c r="A1525" s="2" t="inlineStr">
        <is>
          <t>En plazo</t>
        </is>
      </c>
      <c r="B1525" s="3" t="n">
        <v>46330.99930555555</v>
      </c>
      <c r="C1525" s="5" t="n">
        <v>45600</v>
      </c>
      <c r="D1525" s="5" t="n">
        <v>54720</v>
      </c>
      <c r="E1525" s="2" t="inlineStr">
        <is>
          <t>Comunitat Valenciana</t>
        </is>
      </c>
      <c r="F1525" s="2" t="inlineStr">
        <is>
          <t>Valencia</t>
        </is>
      </c>
      <c r="G1525" s="2" t="inlineStr">
        <is>
          <t>Alzira</t>
        </is>
      </c>
      <c r="H1525" s="2" t="inlineStr">
        <is>
          <t>Valenciana d'Estrategies i Recursos per a la Sostenibilitat Ambiental, Sociedad Anónima</t>
        </is>
      </c>
      <c r="I1525" s="2" t="inlineStr">
        <is>
          <t>Ignifugacion de los elementos portantes de los recorridos de evacuación, en la Planta de Cllasificación de Envases Ligeros de VAERSA, sita en Alzira (Valencia)</t>
        </is>
      </c>
      <c r="J1525" s="2" t="inlineStr">
        <is>
          <t>CMAYOR/2026/VAERS/0085</t>
        </is>
      </c>
      <c r="K1525" s="2" t="inlineStr">
        <is>
          <t>Abierto simplificado</t>
        </is>
      </c>
      <c r="L1525" s="6" t="n">
        <v>3</v>
      </c>
      <c r="M1525" s="2" t="n"/>
      <c r="N1525" s="7" t="n">
        <v>0</v>
      </c>
      <c r="O1525" s="4" t="n"/>
      <c r="P1525" s="2" t="inlineStr">
        <is>
          <t>45343100</t>
        </is>
      </c>
      <c r="Q1525" s="8" t="inlineStr">
        <is>
          <t>Ver</t>
        </is>
      </c>
      <c r="R1525" s="8" t="inlineStr">
        <is>
          <t>PCAP</t>
        </is>
      </c>
      <c r="S1525" s="9" t="n">
        <v>46311</v>
      </c>
      <c r="T1525" s="3" t="n">
        <v>46310.35740740741</v>
      </c>
      <c r="U1525" s="2" t="n"/>
    </row>
    <row r="1526">
      <c r="A1526" s="2" t="inlineStr">
        <is>
          <t>En plazo</t>
        </is>
      </c>
      <c r="B1526" s="3" t="n">
        <v>46330.99930555555</v>
      </c>
      <c r="C1526" s="5" t="n">
        <v>184860.66</v>
      </c>
      <c r="D1526" s="5" t="n">
        <v>184860.66</v>
      </c>
      <c r="E1526" s="2" t="inlineStr">
        <is>
          <t>Andalucía</t>
        </is>
      </c>
      <c r="F1526" s="2" t="inlineStr">
        <is>
          <t>Sevilla</t>
        </is>
      </c>
      <c r="G1526" s="2" t="n"/>
      <c r="H1526" s="2" t="inlineStr">
        <is>
          <t>Alcaldía del Ayuntamiento de Espartinas</t>
        </is>
      </c>
      <c r="I1526"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1526" s="2" t="inlineStr">
        <is>
          <t>2378/2026</t>
        </is>
      </c>
      <c r="K1526" s="2" t="inlineStr">
        <is>
          <t>Abierto simplificado</t>
        </is>
      </c>
      <c r="L1526" s="6" t="n">
        <v>3</v>
      </c>
      <c r="M1526" s="2" t="n"/>
      <c r="N1526" s="7" t="n">
        <v>0</v>
      </c>
      <c r="O1526" s="4" t="n"/>
      <c r="P1526" s="2" t="inlineStr">
        <is>
          <t>45233252; 45112710</t>
        </is>
      </c>
      <c r="Q1526" s="8" t="inlineStr">
        <is>
          <t>Ver</t>
        </is>
      </c>
      <c r="R1526" s="8" t="inlineStr">
        <is>
          <t>PCAP</t>
        </is>
      </c>
      <c r="S1526" s="9" t="n">
        <v>46311</v>
      </c>
      <c r="T1526" s="3" t="n">
        <v>46310.34202546296</v>
      </c>
      <c r="U1526" s="2" t="n"/>
    </row>
    <row r="1527">
      <c r="A1527" s="2" t="inlineStr">
        <is>
          <t>Plazo vencido</t>
        </is>
      </c>
      <c r="B1527" s="3" t="n">
        <v>46314.54166666666</v>
      </c>
      <c r="C1527" s="5" t="n">
        <v>3230429.22</v>
      </c>
      <c r="D1527" s="5" t="n">
        <v>3230429.22</v>
      </c>
      <c r="E1527" s="2" t="inlineStr">
        <is>
          <t>Andalucía</t>
        </is>
      </c>
      <c r="F1527" s="2" t="n"/>
      <c r="G1527" s="2" t="n"/>
      <c r="H1527" s="2" t="inlineStr">
        <is>
          <t>ADIF - Presidencia</t>
        </is>
      </c>
      <c r="I1527"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1527" s="2" t="inlineStr">
        <is>
          <t>3.26/27507.0212</t>
        </is>
      </c>
      <c r="K1527" s="2" t="inlineStr">
        <is>
          <t>Abierto</t>
        </is>
      </c>
      <c r="L1527" s="6" t="n">
        <v>16</v>
      </c>
      <c r="M1527" s="2" t="inlineStr">
        <is>
          <t>D5-5</t>
        </is>
      </c>
      <c r="N1527" s="7" t="n">
        <v>0.49</v>
      </c>
      <c r="O1527" s="4" t="n"/>
      <c r="P1527" s="2" t="inlineStr">
        <is>
          <t>45234100</t>
        </is>
      </c>
      <c r="Q1527" s="8" t="inlineStr">
        <is>
          <t>Ver</t>
        </is>
      </c>
      <c r="R1527" s="8" t="inlineStr">
        <is>
          <t>PCAP</t>
        </is>
      </c>
      <c r="S1527" s="9" t="n">
        <v>46310</v>
      </c>
      <c r="T1527" s="3" t="n">
        <v>46310.336875</v>
      </c>
      <c r="U1527" s="2" t="n"/>
    </row>
    <row r="1528">
      <c r="A1528" s="2" t="inlineStr">
        <is>
          <t>Adjudicada</t>
        </is>
      </c>
      <c r="B1528" s="3" t="n">
        <v>46223.99930555555</v>
      </c>
      <c r="C1528" s="5" t="n">
        <v>103140.85</v>
      </c>
      <c r="D1528" s="5" t="n">
        <v>103140.85</v>
      </c>
      <c r="E1528" s="2" t="inlineStr">
        <is>
          <t>Andalucía</t>
        </is>
      </c>
      <c r="F1528" s="2" t="inlineStr">
        <is>
          <t>Sevilla</t>
        </is>
      </c>
      <c r="G1528" s="2" t="n"/>
      <c r="H1528" s="2" t="inlineStr">
        <is>
          <t>Presidencia de la Diputación Provincial de Sevilla</t>
        </is>
      </c>
      <c r="I1528" s="2" t="inlineStr">
        <is>
          <t>Obras de sustitución de canalización desde depósito de la Malena en Castilblanco de los Arroyos (Sevilla)</t>
        </is>
      </c>
      <c r="J1528" s="2" t="inlineStr">
        <is>
          <t>2026/000442-PAAS</t>
        </is>
      </c>
      <c r="K1528" s="2" t="inlineStr">
        <is>
          <t>Abierto simplificado</t>
        </is>
      </c>
      <c r="L1528" s="6" t="n">
        <v>2</v>
      </c>
      <c r="M1528" s="2" t="n"/>
      <c r="N1528" s="7" t="n">
        <v>0</v>
      </c>
      <c r="O1528" s="4" t="n"/>
      <c r="P1528" s="2" t="inlineStr">
        <is>
          <t>45232150</t>
        </is>
      </c>
      <c r="Q1528" s="8" t="inlineStr">
        <is>
          <t>Ver</t>
        </is>
      </c>
      <c r="R1528" s="8" t="inlineStr">
        <is>
          <t>PCAP</t>
        </is>
      </c>
      <c r="S1528" s="9" t="n">
        <v>46311</v>
      </c>
      <c r="T1528" s="3" t="n">
        <v>46310.33001157407</v>
      </c>
      <c r="U1528" s="2" t="n"/>
    </row>
    <row r="1529">
      <c r="A1529" s="2" t="inlineStr">
        <is>
          <t>Resuelta</t>
        </is>
      </c>
      <c r="B1529" s="3" t="n">
        <v>45608.99930555555</v>
      </c>
      <c r="C1529" s="5" t="n">
        <v>28800</v>
      </c>
      <c r="D1529" s="5" t="n">
        <v>172800</v>
      </c>
      <c r="E1529" s="2" t="inlineStr">
        <is>
          <t>Andalucía</t>
        </is>
      </c>
      <c r="F1529" s="2" t="inlineStr">
        <is>
          <t>Málaga</t>
        </is>
      </c>
      <c r="G1529" s="2" t="inlineStr">
        <is>
          <t>Málaga</t>
        </is>
      </c>
      <c r="H1529" s="2" t="inlineStr">
        <is>
          <t>Gerencia de la Empresa de Limpiezas Municipales y Parque del Oeste, S.A.M.</t>
        </is>
      </c>
      <c r="I1529" s="2" t="inlineStr">
        <is>
          <t>Ejecución de obras de construcción y obra civil que, de forma recurrente, deben realizarse en el Parque del Oeste para la reparación o mantenimiento de elementos existentes</t>
        </is>
      </c>
      <c r="J1529" s="2" t="inlineStr">
        <is>
          <t>32/24</t>
        </is>
      </c>
      <c r="K1529" s="2" t="inlineStr">
        <is>
          <t>Abierto</t>
        </is>
      </c>
      <c r="L1529" s="6" t="n"/>
      <c r="M1529" s="2" t="n"/>
      <c r="N1529" s="7" t="n">
        <v>0</v>
      </c>
      <c r="O1529" s="4" t="n"/>
      <c r="P1529" s="2" t="inlineStr">
        <is>
          <t>45000000</t>
        </is>
      </c>
      <c r="Q1529" s="8" t="inlineStr">
        <is>
          <t>Ver</t>
        </is>
      </c>
      <c r="R1529" s="8" t="inlineStr">
        <is>
          <t>PCAP</t>
        </is>
      </c>
      <c r="S1529" s="9" t="n">
        <v>46311</v>
      </c>
      <c r="T1529" s="3" t="n">
        <v>46310.31829861111</v>
      </c>
      <c r="U1529" s="2" t="n"/>
    </row>
    <row r="1530">
      <c r="A1530" s="2" t="inlineStr">
        <is>
          <t>Pendiente de adjudicación</t>
        </is>
      </c>
      <c r="B1530" s="3" t="n">
        <v>46226.99930555555</v>
      </c>
      <c r="C1530" s="5" t="n">
        <v>80000</v>
      </c>
      <c r="D1530" s="5" t="n">
        <v>160000</v>
      </c>
      <c r="E1530" s="2" t="inlineStr">
        <is>
          <t>Andalucía</t>
        </is>
      </c>
      <c r="F1530" s="2" t="inlineStr">
        <is>
          <t>Sevilla</t>
        </is>
      </c>
      <c r="G1530" s="2" t="inlineStr">
        <is>
          <t>Sanlúcar la Mayor</t>
        </is>
      </c>
      <c r="H1530" s="2" t="inlineStr">
        <is>
          <t>Alcaldía del Ayuntamiento de Sanlúcar la Mayor</t>
        </is>
      </c>
      <c r="I1530" s="2" t="inlineStr">
        <is>
          <t>Suministro, Instalación, desmontaje y mantenimiento del alumbrado decorativo de la NAVIDAD 2026 y 2027</t>
        </is>
      </c>
      <c r="J1530" s="2" t="inlineStr">
        <is>
          <t>2026/CTT_01/000016 - 28/26.-CTOS</t>
        </is>
      </c>
      <c r="K1530" s="2" t="inlineStr">
        <is>
          <t>Abierto simplificado</t>
        </is>
      </c>
      <c r="L1530" s="6" t="n"/>
      <c r="M1530" s="2" t="n"/>
      <c r="N1530" s="7" t="n">
        <v>0.4</v>
      </c>
      <c r="O1530" s="4" t="n"/>
      <c r="P1530" s="2" t="inlineStr">
        <is>
          <t>45310000</t>
        </is>
      </c>
      <c r="Q1530" s="8" t="inlineStr">
        <is>
          <t>Ver</t>
        </is>
      </c>
      <c r="R1530" s="8" t="inlineStr">
        <is>
          <t>PCAP</t>
        </is>
      </c>
      <c r="S1530" s="9" t="n">
        <v>46311</v>
      </c>
      <c r="T1530" s="3" t="n">
        <v>46310.29524305555</v>
      </c>
      <c r="U1530" s="2" t="n"/>
    </row>
    <row r="1531">
      <c r="A1531" s="2" t="inlineStr">
        <is>
          <t>Resuelta</t>
        </is>
      </c>
      <c r="B1531" s="3" t="n">
        <v>46174.54166666666</v>
      </c>
      <c r="C1531" s="5" t="n">
        <v>3353589.26</v>
      </c>
      <c r="D1531" s="5" t="n">
        <v>3606099.98</v>
      </c>
      <c r="E1531" s="2" t="inlineStr">
        <is>
          <t>Comunitat Valenciana</t>
        </is>
      </c>
      <c r="F1531" s="2" t="n"/>
      <c r="G1531" s="2" t="n"/>
      <c r="H1531" s="2" t="inlineStr">
        <is>
          <t>ADIF Alta Velocidad - Presidencia</t>
        </is>
      </c>
      <c r="I1531" s="2" t="inlineStr">
        <is>
          <t>Ejecución de las obras del proyecto sustitución del cable troncal de 64 F.O. en los tramos Alicante - Villena y Valencia - Castellón</t>
        </is>
      </c>
      <c r="J1531" s="2" t="inlineStr">
        <is>
          <t>3.26/25830.0063</t>
        </is>
      </c>
      <c r="K1531" s="2" t="inlineStr">
        <is>
          <t>Abierto</t>
        </is>
      </c>
      <c r="L1531" s="6" t="n">
        <v>24</v>
      </c>
      <c r="M1531" s="2" t="inlineStr">
        <is>
          <t>I7-4</t>
        </is>
      </c>
      <c r="N1531" s="7" t="n">
        <v>0</v>
      </c>
      <c r="O1531" s="4" t="n"/>
      <c r="P1531" s="2" t="inlineStr">
        <is>
          <t>45314300</t>
        </is>
      </c>
      <c r="Q1531" s="8" t="inlineStr">
        <is>
          <t>Ver</t>
        </is>
      </c>
      <c r="R1531" s="8" t="inlineStr">
        <is>
          <t>PCAP</t>
        </is>
      </c>
      <c r="S1531" s="9" t="n">
        <v>46311</v>
      </c>
      <c r="T1531" s="3" t="n">
        <v>46310.28876157408</v>
      </c>
      <c r="U1531" s="2" t="n"/>
    </row>
    <row r="1532">
      <c r="A1532" s="2" t="inlineStr">
        <is>
          <t>Plazo vencido</t>
        </is>
      </c>
      <c r="B1532" s="3" t="n">
        <v>46323.99930555555</v>
      </c>
      <c r="C1532" s="5" t="n">
        <v>54218.51</v>
      </c>
      <c r="D1532" s="5" t="n">
        <v>54218.51</v>
      </c>
      <c r="E1532" s="2" t="inlineStr">
        <is>
          <t>Comunitat Valenciana</t>
        </is>
      </c>
      <c r="F1532" s="2" t="inlineStr">
        <is>
          <t>Valencia</t>
        </is>
      </c>
      <c r="G1532" s="2" t="inlineStr">
        <is>
          <t>Benimodo</t>
        </is>
      </c>
      <c r="H1532" s="2" t="inlineStr">
        <is>
          <t>Alcaldia del Ayuntamiento de Benimodo</t>
        </is>
      </c>
      <c r="I1532" s="2" t="inlineStr">
        <is>
          <t>Obres de captació de les aigües pluvials per a la mitigació d'inundacions en l'avinguda del Llaurador (FASE I)</t>
        </is>
      </c>
      <c r="J1532" s="2" t="inlineStr">
        <is>
          <t>1025/2026</t>
        </is>
      </c>
      <c r="K1532" s="2" t="inlineStr">
        <is>
          <t>Abierto simplificado</t>
        </is>
      </c>
      <c r="L1532" s="6" t="n">
        <v>3</v>
      </c>
      <c r="M1532" s="2" t="n"/>
      <c r="N1532" s="7" t="n">
        <v>0</v>
      </c>
      <c r="O1532" s="4" t="n"/>
      <c r="P1532" s="2" t="inlineStr">
        <is>
          <t>45232130; 45232452; 45232410</t>
        </is>
      </c>
      <c r="Q1532" s="8" t="inlineStr">
        <is>
          <t>Ver</t>
        </is>
      </c>
      <c r="R1532" s="8" t="inlineStr">
        <is>
          <t>PCAP</t>
        </is>
      </c>
      <c r="S1532" s="9" t="n">
        <v>46311</v>
      </c>
      <c r="T1532" s="3" t="n">
        <v>46309.9961574074</v>
      </c>
      <c r="U1532" s="2" t="n"/>
    </row>
    <row r="1533">
      <c r="A1533" s="2" t="inlineStr">
        <is>
          <t>Adjudicada</t>
        </is>
      </c>
      <c r="B1533" s="3" t="n">
        <v>46253.58263888889</v>
      </c>
      <c r="C1533" s="5" t="n">
        <v>114357.08</v>
      </c>
      <c r="D1533" s="5" t="n">
        <v>114357.08</v>
      </c>
      <c r="E1533" s="2" t="inlineStr">
        <is>
          <t>Comunitat Valenciana</t>
        </is>
      </c>
      <c r="F1533" s="2" t="inlineStr">
        <is>
          <t>Castellón</t>
        </is>
      </c>
      <c r="G1533" s="2" t="inlineStr">
        <is>
          <t>ARGELITA</t>
        </is>
      </c>
      <c r="H1533" s="2" t="inlineStr">
        <is>
          <t>Pleno del Ayuntamiento de Argelita</t>
        </is>
      </c>
      <c r="I1533" s="2" t="inlineStr">
        <is>
          <t>Obras Conservación, Protección y puesta en valor de los restos del Palacio de Ceyt Abu Ceyt. Fase 2.0</t>
        </is>
      </c>
      <c r="J1533" s="2" t="inlineStr">
        <is>
          <t>183/2026</t>
        </is>
      </c>
      <c r="K1533" s="2" t="inlineStr">
        <is>
          <t>Abierto simplificado</t>
        </is>
      </c>
      <c r="L1533" s="6" t="n">
        <v>5</v>
      </c>
      <c r="M1533" s="2" t="n"/>
      <c r="N1533" s="7" t="n">
        <v>0</v>
      </c>
      <c r="O1533" s="4" t="n"/>
      <c r="P1533" s="2" t="inlineStr">
        <is>
          <t>45000000; 45454100; 45212350</t>
        </is>
      </c>
      <c r="Q1533" s="8" t="inlineStr">
        <is>
          <t>Ver</t>
        </is>
      </c>
      <c r="R1533" s="8" t="inlineStr">
        <is>
          <t>PCAP</t>
        </is>
      </c>
      <c r="S1533" s="9" t="n">
        <v>46311</v>
      </c>
      <c r="T1533" s="3" t="n">
        <v>46309.97775462963</v>
      </c>
      <c r="U1533" s="2" t="n"/>
    </row>
    <row r="1534">
      <c r="A1534" s="2" t="inlineStr">
        <is>
          <t>En plazo</t>
        </is>
      </c>
      <c r="B1534" s="3" t="n">
        <v>46336.5</v>
      </c>
      <c r="C1534" s="5" t="n">
        <v>366093.61</v>
      </c>
      <c r="D1534" s="5" t="n">
        <v>366093.61</v>
      </c>
      <c r="E1534" s="2" t="inlineStr">
        <is>
          <t>Comunitat Valenciana</t>
        </is>
      </c>
      <c r="F1534" s="2" t="inlineStr">
        <is>
          <t>Valencia</t>
        </is>
      </c>
      <c r="G1534" s="2" t="n"/>
      <c r="H1534" s="2" t="inlineStr">
        <is>
          <t>Gerencia de Ferrocarrils de la Generalitat Valenciana</t>
        </is>
      </c>
      <c r="I1534" s="2" t="inlineStr">
        <is>
          <t>Suministro y sustitución de cabinas de alta tensión en 20 KV en el Centro de Transformación de Benimaclet y en el Centro de entrega de energía de la subestación de Quart de FGV en Metrovalencia.</t>
        </is>
      </c>
      <c r="J1534" s="2" t="inlineStr">
        <is>
          <t>26/054</t>
        </is>
      </c>
      <c r="K1534" s="2" t="inlineStr">
        <is>
          <t>Abierto</t>
        </is>
      </c>
      <c r="L1534" s="6" t="n">
        <v>9.300000000000001</v>
      </c>
      <c r="M1534" s="2" t="inlineStr">
        <is>
          <t>D4-1</t>
        </is>
      </c>
      <c r="N1534" s="7" t="n">
        <v>0.25</v>
      </c>
      <c r="O1534" s="4" t="n">
        <v>2</v>
      </c>
      <c r="P1534" s="2" t="inlineStr">
        <is>
          <t>45234170; 45315700; 45234181</t>
        </is>
      </c>
      <c r="Q1534" s="8" t="inlineStr">
        <is>
          <t>Ver</t>
        </is>
      </c>
      <c r="R1534" s="8" t="inlineStr">
        <is>
          <t>PCAP</t>
        </is>
      </c>
      <c r="S1534" s="9" t="n">
        <v>46310</v>
      </c>
      <c r="T1534" s="3" t="n">
        <v>46309.79041666666</v>
      </c>
      <c r="U1534" s="2" t="n"/>
    </row>
    <row r="1535">
      <c r="A1535" s="2" t="inlineStr">
        <is>
          <t>Adjudicada</t>
        </is>
      </c>
      <c r="B1535" s="3" t="n">
        <v>45940.99930555555</v>
      </c>
      <c r="C1535" s="5" t="n">
        <v>73744.50999999999</v>
      </c>
      <c r="D1535" s="5" t="n">
        <v>73744.50999999999</v>
      </c>
      <c r="E1535" s="2" t="inlineStr">
        <is>
          <t>Andalucía</t>
        </is>
      </c>
      <c r="F1535" s="2" t="inlineStr">
        <is>
          <t>Almería</t>
        </is>
      </c>
      <c r="G1535" s="2" t="inlineStr">
        <is>
          <t>Turre</t>
        </is>
      </c>
      <c r="H1535" s="2" t="inlineStr">
        <is>
          <t>Presidencia de la Mancomunidad de municipios del Levante Almeriense</t>
        </is>
      </c>
      <c r="I1535"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535" s="2" t="inlineStr">
        <is>
          <t>63/2025</t>
        </is>
      </c>
      <c r="K1535" s="2" t="inlineStr">
        <is>
          <t>Abierto simplificado</t>
        </is>
      </c>
      <c r="L1535" s="6" t="n">
        <v>1.2</v>
      </c>
      <c r="M1535" s="2" t="n"/>
      <c r="N1535" s="7" t="n">
        <v>0</v>
      </c>
      <c r="O1535" s="4" t="n"/>
      <c r="P1535" s="2" t="inlineStr">
        <is>
          <t>45240000; 45246000; 45248200</t>
        </is>
      </c>
      <c r="Q1535" s="8" t="inlineStr">
        <is>
          <t>Ver</t>
        </is>
      </c>
      <c r="R1535" s="8" t="inlineStr">
        <is>
          <t>PCAP</t>
        </is>
      </c>
      <c r="S1535" s="9" t="n">
        <v>46310</v>
      </c>
      <c r="T1535" s="3" t="n">
        <v>46309.74974537037</v>
      </c>
      <c r="U1535" s="2" t="n"/>
    </row>
    <row r="1536">
      <c r="A1536" s="2" t="inlineStr">
        <is>
          <t>Pendiente de adjudicación</t>
        </is>
      </c>
      <c r="B1536" s="3" t="n">
        <v>46230.54166666666</v>
      </c>
      <c r="C1536" s="5" t="n">
        <v>1539118.58</v>
      </c>
      <c r="D1536" s="5" t="n">
        <v>1539118.58</v>
      </c>
      <c r="E1536" s="2" t="inlineStr">
        <is>
          <t>Comunitat Valenciana</t>
        </is>
      </c>
      <c r="F1536" s="2" t="inlineStr">
        <is>
          <t>Alicante</t>
        </is>
      </c>
      <c r="G1536" s="2" t="n"/>
      <c r="H1536" s="2" t="inlineStr">
        <is>
          <t>Consejo de Administración de Aigües i Sanejament d'Elx S.A.</t>
        </is>
      </c>
      <c r="I1536" s="2" t="inlineStr">
        <is>
          <t>Obras de la Red de Ejecución del Coletor de Peña Águilas y Llano de San José. Enlaces Fases 1-4 con Colector Primario</t>
        </is>
      </c>
      <c r="J1536" s="2" t="inlineStr">
        <is>
          <t>2026/0012/OB</t>
        </is>
      </c>
      <c r="K1536" s="2" t="inlineStr">
        <is>
          <t>Abierto</t>
        </is>
      </c>
      <c r="L1536" s="6" t="n">
        <v>7</v>
      </c>
      <c r="M1536" s="2" t="n"/>
      <c r="N1536" s="7" t="n">
        <v>0.45</v>
      </c>
      <c r="O1536" s="4" t="n"/>
      <c r="P1536" s="2" t="inlineStr">
        <is>
          <t>45231300</t>
        </is>
      </c>
      <c r="Q1536" s="8" t="inlineStr">
        <is>
          <t>Ver</t>
        </is>
      </c>
      <c r="R1536" s="8" t="inlineStr">
        <is>
          <t>PCAP</t>
        </is>
      </c>
      <c r="S1536" s="9" t="n">
        <v>46310</v>
      </c>
      <c r="T1536" s="3" t="n">
        <v>46309.74383101852</v>
      </c>
      <c r="U1536" s="2" t="n"/>
    </row>
    <row r="1537">
      <c r="A1537" s="2" t="inlineStr">
        <is>
          <t>Pendiente de adjudicación</t>
        </is>
      </c>
      <c r="B1537" s="3" t="n">
        <v>46230.58333333334</v>
      </c>
      <c r="C1537" s="5" t="n">
        <v>351818.26</v>
      </c>
      <c r="D1537" s="5" t="n">
        <v>351818.26</v>
      </c>
      <c r="E1537" s="2" t="inlineStr">
        <is>
          <t>Andalucía</t>
        </is>
      </c>
      <c r="F1537" s="2" t="inlineStr">
        <is>
          <t>Málaga</t>
        </is>
      </c>
      <c r="G1537" s="2" t="n"/>
      <c r="H1537" s="2" t="inlineStr">
        <is>
          <t>Dirección General de Tráfico</t>
        </is>
      </c>
      <c r="I1537" s="2" t="inlineStr">
        <is>
          <t>Obra de instalación de equipamiento ITS en la A-7 tramo desde enlace A-7/A-357 hasta enlace A-7/AP-7 (Torremolinos).</t>
        </is>
      </c>
      <c r="J1537" s="2" t="inlineStr">
        <is>
          <t>3DGT6A000231</t>
        </is>
      </c>
      <c r="K1537" s="2" t="inlineStr">
        <is>
          <t>Abierto simplificado</t>
        </is>
      </c>
      <c r="L1537" s="6" t="n">
        <v>9</v>
      </c>
      <c r="M1537" s="2" t="n"/>
      <c r="N1537" s="7" t="n">
        <v>0.25</v>
      </c>
      <c r="O1537" s="4" t="n"/>
      <c r="P1537" s="2" t="inlineStr">
        <is>
          <t>45222300</t>
        </is>
      </c>
      <c r="Q1537" s="8" t="inlineStr">
        <is>
          <t>Ver</t>
        </is>
      </c>
      <c r="R1537" s="8" t="inlineStr">
        <is>
          <t>PCAP</t>
        </is>
      </c>
      <c r="S1537" s="9" t="n">
        <v>46310</v>
      </c>
      <c r="T1537" s="3" t="n">
        <v>46309.67</v>
      </c>
      <c r="U1537" s="2" t="n"/>
    </row>
    <row r="1538">
      <c r="A1538" s="2" t="inlineStr">
        <is>
          <t>En plazo</t>
        </is>
      </c>
      <c r="B1538" s="3" t="n">
        <v>46335.99930555555</v>
      </c>
      <c r="C1538" s="5" t="n">
        <v>929839.95</v>
      </c>
      <c r="D1538" s="5" t="n">
        <v>929839.95</v>
      </c>
      <c r="E1538" s="2" t="inlineStr">
        <is>
          <t>Andalucía</t>
        </is>
      </c>
      <c r="F1538" s="2" t="inlineStr">
        <is>
          <t>Córdoba</t>
        </is>
      </c>
      <c r="G1538" s="2" t="inlineStr">
        <is>
          <t>CABRA</t>
        </is>
      </c>
      <c r="H1538" s="2" t="inlineStr">
        <is>
          <t>Alcaldía del Ayuntamiento de Cabra</t>
        </is>
      </c>
      <c r="I1538"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1538" s="2" t="inlineStr">
        <is>
          <t>2026/21080</t>
        </is>
      </c>
      <c r="K1538" s="2" t="inlineStr">
        <is>
          <t>Abierto</t>
        </is>
      </c>
      <c r="L1538" s="6" t="n">
        <v>12</v>
      </c>
      <c r="M1538" s="2" t="n"/>
      <c r="N1538" s="7" t="n">
        <v>0</v>
      </c>
      <c r="O1538" s="4" t="n"/>
      <c r="P1538" s="2" t="inlineStr">
        <is>
          <t>45211000; 71200000</t>
        </is>
      </c>
      <c r="Q1538" s="8" t="inlineStr">
        <is>
          <t>Ver</t>
        </is>
      </c>
      <c r="R1538" s="8" t="inlineStr">
        <is>
          <t>PCAP</t>
        </is>
      </c>
      <c r="S1538" s="9" t="n">
        <v>46310</v>
      </c>
      <c r="T1538" s="3" t="n">
        <v>46309.63292824074</v>
      </c>
      <c r="U1538" s="2" t="n"/>
    </row>
    <row r="1539">
      <c r="A1539" s="2" t="inlineStr">
        <is>
          <t>En plazo</t>
        </is>
      </c>
      <c r="B1539" s="3" t="n">
        <v>46330.79166666666</v>
      </c>
      <c r="C1539" s="5" t="n">
        <v>92561.98</v>
      </c>
      <c r="D1539" s="5" t="n">
        <v>92561.98</v>
      </c>
      <c r="E1539" s="2" t="inlineStr">
        <is>
          <t>Andalucía</t>
        </is>
      </c>
      <c r="F1539" s="2" t="inlineStr">
        <is>
          <t>Málaga</t>
        </is>
      </c>
      <c r="G1539" s="2" t="inlineStr">
        <is>
          <t>Yunquera</t>
        </is>
      </c>
      <c r="H1539" s="2" t="inlineStr">
        <is>
          <t>Alcaldía del Ayuntamiento de Yunquera</t>
        </is>
      </c>
      <c r="I1539" s="2" t="inlineStr">
        <is>
          <t>Adecuación Calle Calvario</t>
        </is>
      </c>
      <c r="J1539" s="2" t="inlineStr">
        <is>
          <t>307/2026</t>
        </is>
      </c>
      <c r="K1539" s="2" t="inlineStr">
        <is>
          <t>Abierto simplificado</t>
        </is>
      </c>
      <c r="L1539" s="6" t="n">
        <v>6</v>
      </c>
      <c r="M1539" s="2" t="n"/>
      <c r="N1539" s="7" t="n">
        <v>0.2</v>
      </c>
      <c r="O1539" s="4" t="n"/>
      <c r="P1539" s="2" t="inlineStr">
        <is>
          <t>45233251</t>
        </is>
      </c>
      <c r="Q1539" s="8" t="inlineStr">
        <is>
          <t>Ver</t>
        </is>
      </c>
      <c r="R1539" s="8" t="inlineStr">
        <is>
          <t>PCAP</t>
        </is>
      </c>
      <c r="S1539" s="9" t="n">
        <v>46310</v>
      </c>
      <c r="T1539" s="3" t="n">
        <v>46309.63162037037</v>
      </c>
      <c r="U1539" s="2" t="n"/>
    </row>
    <row r="1540">
      <c r="A1540" s="2" t="inlineStr">
        <is>
          <t>Pendiente de adjudicación</t>
        </is>
      </c>
      <c r="B1540" s="3" t="n">
        <v>46267.58333333334</v>
      </c>
      <c r="C1540" s="5" t="n">
        <v>74228.84</v>
      </c>
      <c r="D1540" s="5" t="n">
        <v>74228.84</v>
      </c>
      <c r="E1540" s="2" t="inlineStr">
        <is>
          <t>Andalucía</t>
        </is>
      </c>
      <c r="F1540" s="2" t="inlineStr">
        <is>
          <t>Granada</t>
        </is>
      </c>
      <c r="G1540" s="2" t="inlineStr">
        <is>
          <t>Albolote (Granada)</t>
        </is>
      </c>
      <c r="H1540" s="2" t="inlineStr">
        <is>
          <t>Junta de Gobierno del Ayuntamiento de Albolote</t>
        </is>
      </c>
      <c r="I1540" s="2" t="inlineStr">
        <is>
          <t>Obras de mejora del alumbrado publico en diversas calles de las urbanizaciones Loma Verde UE-21III y La Atalaya UE-23 de Albolote, en concreto las actuaciones sen van a llevar a cabo en dos urbanizaciones: Loma Verde y La Atalaya.</t>
        </is>
      </c>
      <c r="J1540" s="2" t="inlineStr">
        <is>
          <t>2951/2026</t>
        </is>
      </c>
      <c r="K1540" s="2" t="inlineStr">
        <is>
          <t>Abierto simplificado</t>
        </is>
      </c>
      <c r="L1540" s="6" t="n">
        <v>2</v>
      </c>
      <c r="M1540" s="2" t="inlineStr">
        <is>
          <t>I1-1</t>
        </is>
      </c>
      <c r="N1540" s="7" t="n">
        <v>0</v>
      </c>
      <c r="O1540" s="4" t="n"/>
      <c r="P1540" s="2" t="inlineStr">
        <is>
          <t>45316000; 45316100; 45259000</t>
        </is>
      </c>
      <c r="Q1540" s="8" t="inlineStr">
        <is>
          <t>Ver</t>
        </is>
      </c>
      <c r="R1540" s="8" t="inlineStr">
        <is>
          <t>PCAP</t>
        </is>
      </c>
      <c r="S1540" s="9" t="n">
        <v>46310</v>
      </c>
      <c r="T1540" s="3" t="n">
        <v>46309.63023148148</v>
      </c>
      <c r="U1540" s="2" t="n"/>
    </row>
    <row r="1541">
      <c r="A1541" s="2" t="inlineStr">
        <is>
          <t>Resuelta</t>
        </is>
      </c>
      <c r="B1541" s="3" t="n">
        <v>46219.99930555555</v>
      </c>
      <c r="C1541" s="5" t="n">
        <v>361903.75</v>
      </c>
      <c r="D1541" s="5" t="n">
        <v>361903.75</v>
      </c>
      <c r="E1541" s="2" t="inlineStr">
        <is>
          <t>Comunitat Valenciana</t>
        </is>
      </c>
      <c r="F1541" s="2" t="inlineStr">
        <is>
          <t>Valencia</t>
        </is>
      </c>
      <c r="G1541" s="2" t="n"/>
      <c r="H1541" s="2" t="inlineStr">
        <is>
          <t>Concejalía Delegada de Contratación del Ajuntament de Tavernes de la Valldigna</t>
        </is>
      </c>
      <c r="I1541" s="2" t="inlineStr">
        <is>
          <t>Finalización acondicionamiento ambiental vía ciclopeatonal río Vaca</t>
        </is>
      </c>
      <c r="J1541" s="2" t="inlineStr">
        <is>
          <t>2862369N</t>
        </is>
      </c>
      <c r="K1541" s="2" t="inlineStr">
        <is>
          <t>Negociado sin publicidad</t>
        </is>
      </c>
      <c r="L1541" s="6" t="n">
        <v>6</v>
      </c>
      <c r="M1541" s="2" t="n"/>
      <c r="N1541" s="7" t="n">
        <v>0</v>
      </c>
      <c r="O1541" s="4" t="n"/>
      <c r="P1541" s="2" t="inlineStr">
        <is>
          <t>45000000</t>
        </is>
      </c>
      <c r="Q1541" s="8" t="inlineStr">
        <is>
          <t>Ver</t>
        </is>
      </c>
      <c r="R1541" s="8" t="inlineStr">
        <is>
          <t>PCAP</t>
        </is>
      </c>
      <c r="S1541" s="9" t="n">
        <v>46310</v>
      </c>
      <c r="T1541" s="3" t="n">
        <v>46309.61981481482</v>
      </c>
      <c r="U1541" s="2" t="n"/>
    </row>
    <row r="1542">
      <c r="A1542" s="2" t="inlineStr">
        <is>
          <t>Resuelta</t>
        </is>
      </c>
      <c r="B1542" s="3" t="n">
        <v>46290.99930555555</v>
      </c>
      <c r="C1542" s="5" t="n">
        <v>47506.74</v>
      </c>
      <c r="D1542" s="5" t="n">
        <v>57483.16</v>
      </c>
      <c r="E1542" s="2" t="inlineStr">
        <is>
          <t>Andalucía</t>
        </is>
      </c>
      <c r="F1542" s="2" t="inlineStr">
        <is>
          <t>Almería</t>
        </is>
      </c>
      <c r="G1542" s="2" t="inlineStr">
        <is>
          <t>Pechina</t>
        </is>
      </c>
      <c r="H1542" s="2" t="inlineStr">
        <is>
          <t>Alcaldía del Ayuntamiento de Pechina</t>
        </is>
      </c>
      <c r="I1542" s="2" t="inlineStr">
        <is>
          <t>La ejecución de obras del "Proyecto de obra de adecuación de parcela a aparcamiento público", junto a Calle Turco nº 6 (zona de la Jarica) en Pechina (Almería)</t>
        </is>
      </c>
      <c r="J1542" s="2" t="inlineStr">
        <is>
          <t>1382/2026</t>
        </is>
      </c>
      <c r="K1542" s="2" t="inlineStr">
        <is>
          <t>Abierto simplificado</t>
        </is>
      </c>
      <c r="L1542" s="6" t="n">
        <v>3</v>
      </c>
      <c r="M1542" s="2" t="n"/>
      <c r="N1542" s="7" t="n">
        <v>0</v>
      </c>
      <c r="O1542" s="4" t="n"/>
      <c r="P1542" s="2" t="inlineStr">
        <is>
          <t>45223320</t>
        </is>
      </c>
      <c r="Q1542" s="8" t="inlineStr">
        <is>
          <t>Ver</t>
        </is>
      </c>
      <c r="R1542" s="8" t="inlineStr">
        <is>
          <t>PCAP</t>
        </is>
      </c>
      <c r="S1542" s="9" t="n">
        <v>46310</v>
      </c>
      <c r="T1542" s="3" t="n">
        <v>46309.61863425926</v>
      </c>
      <c r="U1542" s="2" t="n"/>
    </row>
    <row r="1543">
      <c r="A1543" s="2" t="inlineStr">
        <is>
          <t>Resuelta</t>
        </is>
      </c>
      <c r="B1543" s="3" t="n">
        <v>46272.99930555555</v>
      </c>
      <c r="C1543" s="5" t="n">
        <v>153266.31</v>
      </c>
      <c r="D1543" s="5" t="n">
        <v>153266.31</v>
      </c>
      <c r="E1543" s="2" t="inlineStr">
        <is>
          <t>Andalucía</t>
        </is>
      </c>
      <c r="F1543" s="2" t="inlineStr">
        <is>
          <t>Huelva</t>
        </is>
      </c>
      <c r="G1543" s="2" t="inlineStr">
        <is>
          <t>Punta Umbría</t>
        </is>
      </c>
      <c r="H1543" s="2" t="inlineStr">
        <is>
          <t>Alcaldía del Ayuntamiento de Punta umbría</t>
        </is>
      </c>
      <c r="I1543" s="2" t="inlineStr">
        <is>
          <t>Obras correspondientes al Proyecto de reposición de firmes de la Avda. Boulevar del Agua de Punta Umbría, incluido dentro del Programa de la Excma Provincial de Huelva: Tu Diputación actúa.</t>
        </is>
      </c>
      <c r="J1543" s="2" t="inlineStr">
        <is>
          <t>4595/2026</t>
        </is>
      </c>
      <c r="K1543" s="2" t="inlineStr">
        <is>
          <t>Abierto simplificado</t>
        </is>
      </c>
      <c r="L1543" s="6" t="n">
        <v>2</v>
      </c>
      <c r="M1543" s="2" t="n"/>
      <c r="N1543" s="7" t="n">
        <v>0</v>
      </c>
      <c r="O1543" s="4" t="n"/>
      <c r="P1543" s="2" t="inlineStr">
        <is>
          <t>45233222; 45233223; 45233252</t>
        </is>
      </c>
      <c r="Q1543" s="8" t="inlineStr">
        <is>
          <t>Ver</t>
        </is>
      </c>
      <c r="R1543" s="8" t="inlineStr">
        <is>
          <t>PCAP</t>
        </is>
      </c>
      <c r="S1543" s="9" t="n">
        <v>46310</v>
      </c>
      <c r="T1543" s="3" t="n">
        <v>46309.61835648148</v>
      </c>
      <c r="U1543" s="2" t="n"/>
    </row>
    <row r="1544">
      <c r="A1544" s="2" t="inlineStr">
        <is>
          <t>Pendiente de adjudicación</t>
        </is>
      </c>
      <c r="B1544" s="3" t="n">
        <v>46308.99930555555</v>
      </c>
      <c r="C1544" s="5" t="n">
        <v>49586.77</v>
      </c>
      <c r="D1544" s="5" t="n">
        <v>49586.77</v>
      </c>
      <c r="E1544" s="2" t="inlineStr">
        <is>
          <t>Andalucía</t>
        </is>
      </c>
      <c r="F1544" s="2" t="inlineStr">
        <is>
          <t>Málaga</t>
        </is>
      </c>
      <c r="G1544" s="2" t="n"/>
      <c r="H1544" s="2" t="inlineStr">
        <is>
          <t>Alcaldía del Ayuntamiento de Cortes de la Frontera</t>
        </is>
      </c>
      <c r="I1544" s="2" t="inlineStr">
        <is>
          <t>Ejecución de las obras correspondientes al proyecto de pavimentación y arreglo de vías publicas en Cortes de la Frontera,</t>
        </is>
      </c>
      <c r="J1544" s="2" t="inlineStr">
        <is>
          <t>2026/580</t>
        </is>
      </c>
      <c r="K1544" s="2" t="inlineStr">
        <is>
          <t>Abierto simplificado</t>
        </is>
      </c>
      <c r="L1544" s="6" t="n">
        <v>1</v>
      </c>
      <c r="M1544" s="2" t="n"/>
      <c r="N1544" s="7" t="n">
        <v>0</v>
      </c>
      <c r="O1544" s="4" t="n"/>
      <c r="P1544" s="2" t="inlineStr">
        <is>
          <t>45233300; 45233252</t>
        </is>
      </c>
      <c r="Q1544" s="8" t="inlineStr">
        <is>
          <t>Ver</t>
        </is>
      </c>
      <c r="R1544" s="8" t="inlineStr">
        <is>
          <t>PCAP</t>
        </is>
      </c>
      <c r="S1544" s="9" t="n">
        <v>46310</v>
      </c>
      <c r="T1544" s="3" t="n">
        <v>46309.61712962963</v>
      </c>
      <c r="U1544" s="2" t="n"/>
    </row>
    <row r="1545">
      <c r="A1545" s="2" t="inlineStr">
        <is>
          <t>Resuelta</t>
        </is>
      </c>
      <c r="B1545" s="3" t="n">
        <v>46245.99930555555</v>
      </c>
      <c r="C1545" s="5" t="n">
        <v>1307166.02</v>
      </c>
      <c r="D1545" s="5" t="n">
        <v>1307166.02</v>
      </c>
      <c r="E1545" s="2" t="inlineStr">
        <is>
          <t>Comunitat Valenciana</t>
        </is>
      </c>
      <c r="F1545" s="2" t="inlineStr">
        <is>
          <t>Valencia</t>
        </is>
      </c>
      <c r="G1545" s="2" t="inlineStr">
        <is>
          <t>Cullera</t>
        </is>
      </c>
      <c r="H1545" s="2" t="inlineStr">
        <is>
          <t>Alcaldía del Ayuntamiento de Cullera</t>
        </is>
      </c>
      <c r="I1545" s="2" t="inlineStr">
        <is>
          <t>Obras de Reurbanización de las calles:Dalt, San Francisco,Pl/Verdura, La Sèquia, Horts, Gils, Mare de Déu Bona Guia, Nou, San Vicente Ferrer, Ramón y Cajal y Santa Marta</t>
        </is>
      </c>
      <c r="J1545" s="2" t="inlineStr">
        <is>
          <t>2743309C</t>
        </is>
      </c>
      <c r="K1545" s="2" t="inlineStr">
        <is>
          <t>Abierto simplificado</t>
        </is>
      </c>
      <c r="L1545" s="6" t="n">
        <v>8</v>
      </c>
      <c r="M1545" s="2" t="inlineStr">
        <is>
          <t>G6-3; E1-3; A*-1</t>
        </is>
      </c>
      <c r="N1545" s="7" t="n">
        <v>0.15</v>
      </c>
      <c r="O1545" s="4" t="n"/>
      <c r="P1545" s="2" t="inlineStr">
        <is>
          <t>45111000; 45432112; 45233223; 44162500; 45233140; 45316000; 45233293</t>
        </is>
      </c>
      <c r="Q1545" s="8" t="inlineStr">
        <is>
          <t>Ver</t>
        </is>
      </c>
      <c r="R1545" s="8" t="inlineStr">
        <is>
          <t>PCAP</t>
        </is>
      </c>
      <c r="S1545" s="9" t="n">
        <v>46310</v>
      </c>
      <c r="T1545" s="3" t="n">
        <v>46309.61641203704</v>
      </c>
      <c r="U1545" s="2" t="n"/>
    </row>
    <row r="1546">
      <c r="A1546" s="2" t="inlineStr">
        <is>
          <t>En plazo</t>
        </is>
      </c>
      <c r="B1546" s="3" t="n">
        <v>46329.99930555555</v>
      </c>
      <c r="C1546" s="5" t="n">
        <v>128978.27</v>
      </c>
      <c r="D1546" s="5" t="n">
        <v>128978.27</v>
      </c>
      <c r="E1546" s="2" t="inlineStr">
        <is>
          <t>Andalucía</t>
        </is>
      </c>
      <c r="F1546" s="2" t="inlineStr">
        <is>
          <t>Granada</t>
        </is>
      </c>
      <c r="G1546" s="2" t="n"/>
      <c r="H1546" s="2" t="inlineStr">
        <is>
          <t>Junta de Gobierno del Ayuntamiento de Huétor Vega</t>
        </is>
      </c>
      <c r="I1546" s="2" t="inlineStr">
        <is>
          <t>Ejecución de las obras correspondientes al Pan de Pavimentación de Huétor Vega</t>
        </is>
      </c>
      <c r="J1546" s="2" t="inlineStr">
        <is>
          <t>4894-2026</t>
        </is>
      </c>
      <c r="K1546" s="2" t="inlineStr">
        <is>
          <t>Abierto simplificado</t>
        </is>
      </c>
      <c r="L1546" s="6" t="n">
        <v>1</v>
      </c>
      <c r="M1546" s="2" t="n"/>
      <c r="N1546" s="7" t="n">
        <v>0</v>
      </c>
      <c r="O1546" s="4" t="n"/>
      <c r="P1546" s="2" t="inlineStr">
        <is>
          <t>45233222; 45233223</t>
        </is>
      </c>
      <c r="Q1546" s="8" t="inlineStr">
        <is>
          <t>Ver</t>
        </is>
      </c>
      <c r="R1546" s="8" t="inlineStr">
        <is>
          <t>PCAP</t>
        </is>
      </c>
      <c r="S1546" s="9" t="n">
        <v>46310</v>
      </c>
      <c r="T1546" s="3" t="n">
        <v>46309.6054050926</v>
      </c>
      <c r="U1546" s="2" t="n"/>
    </row>
    <row r="1547">
      <c r="A1547" s="2" t="inlineStr">
        <is>
          <t>Pendiente de adjudicación</t>
        </is>
      </c>
      <c r="B1547" s="3" t="n">
        <v>46276.99930555555</v>
      </c>
      <c r="C1547" s="5" t="n">
        <v>130238.82</v>
      </c>
      <c r="D1547" s="5" t="n">
        <v>143262.7</v>
      </c>
      <c r="E1547" s="2" t="inlineStr">
        <is>
          <t>Andalucía</t>
        </is>
      </c>
      <c r="F1547" s="2" t="inlineStr">
        <is>
          <t>Sevilla</t>
        </is>
      </c>
      <c r="G1547" s="2" t="inlineStr">
        <is>
          <t>Sevilla</t>
        </is>
      </c>
      <c r="H1547" s="2" t="inlineStr">
        <is>
          <t>Dirección Provincial del Servicio Público de Empleo Estatal en Sevilla</t>
        </is>
      </c>
      <c r="I1547" s="2" t="inlineStr">
        <is>
          <t>Obra de sustitución de equipos de climatización en planta primera de Dirección Provincial de Sevilla del Servicio Público de Empleo Estatal</t>
        </is>
      </c>
      <c r="J1547" s="2" t="inlineStr">
        <is>
          <t>41/SE-1 /2026</t>
        </is>
      </c>
      <c r="K1547" s="2" t="inlineStr">
        <is>
          <t>Abierto simplificado</t>
        </is>
      </c>
      <c r="L1547" s="6" t="n">
        <v>2</v>
      </c>
      <c r="M1547" s="2" t="n"/>
      <c r="N1547" s="7" t="n">
        <v>0</v>
      </c>
      <c r="O1547" s="4" t="n"/>
      <c r="P1547" s="2" t="inlineStr">
        <is>
          <t>45000000; 45331220</t>
        </is>
      </c>
      <c r="Q1547" s="8" t="inlineStr">
        <is>
          <t>Ver</t>
        </is>
      </c>
      <c r="R1547" s="8" t="inlineStr">
        <is>
          <t>PCAP</t>
        </is>
      </c>
      <c r="S1547" s="9" t="n">
        <v>46310</v>
      </c>
      <c r="T1547" s="3" t="n">
        <v>46309.60180555555</v>
      </c>
      <c r="U1547" s="2" t="n"/>
    </row>
    <row r="1548">
      <c r="A1548" s="2" t="inlineStr">
        <is>
          <t>Resuelta</t>
        </is>
      </c>
      <c r="B1548" s="3" t="n">
        <v>46167.99930555555</v>
      </c>
      <c r="C1548" s="5" t="n">
        <v>451564.32</v>
      </c>
      <c r="D1548" s="5" t="n">
        <v>451564.32</v>
      </c>
      <c r="E1548" s="2" t="inlineStr">
        <is>
          <t>Comunitat Valenciana</t>
        </is>
      </c>
      <c r="F1548" s="2" t="inlineStr">
        <is>
          <t>Valencia</t>
        </is>
      </c>
      <c r="G1548" s="2" t="inlineStr">
        <is>
          <t>Valencia</t>
        </is>
      </c>
      <c r="H1548" s="2" t="inlineStr">
        <is>
          <t>Rectorado de la Universitat Politècnica de València</t>
        </is>
      </c>
      <c r="I1548" s="2" t="inlineStr">
        <is>
          <t>Obra de reparación de la cubierta de nivel 3 en el edificio 8B del campus de Vera de la Universitat Politècnica de València</t>
        </is>
      </c>
      <c r="J1548" s="2" t="inlineStr">
        <is>
          <t>MY26/VICC/O/23</t>
        </is>
      </c>
      <c r="K1548" s="2" t="inlineStr">
        <is>
          <t>Abierto</t>
        </is>
      </c>
      <c r="L1548" s="6" t="n">
        <v>3.5</v>
      </c>
      <c r="M1548" s="2" t="n"/>
      <c r="N1548" s="7" t="n">
        <v>0.45</v>
      </c>
      <c r="O1548" s="4" t="n"/>
      <c r="P1548" s="2" t="inlineStr">
        <is>
          <t>45430000</t>
        </is>
      </c>
      <c r="Q1548" s="8" t="inlineStr">
        <is>
          <t>Ver</t>
        </is>
      </c>
      <c r="R1548" s="2" t="n"/>
      <c r="S1548" s="9" t="n">
        <v>46310</v>
      </c>
      <c r="T1548" s="3" t="n">
        <v>46309.5996875</v>
      </c>
      <c r="U1548" s="2" t="n"/>
    </row>
    <row r="1549">
      <c r="A1549" s="2" t="inlineStr">
        <is>
          <t>Resuelta</t>
        </is>
      </c>
      <c r="B1549" s="3" t="n">
        <v>46252.99930555555</v>
      </c>
      <c r="C1549" s="5" t="n">
        <v>66287.97</v>
      </c>
      <c r="D1549" s="5" t="n">
        <v>66287.97</v>
      </c>
      <c r="E1549" s="2" t="inlineStr">
        <is>
          <t>Andalucía</t>
        </is>
      </c>
      <c r="F1549" s="2" t="inlineStr">
        <is>
          <t>Jaén</t>
        </is>
      </c>
      <c r="G1549" s="2" t="inlineStr">
        <is>
          <t>Castellar</t>
        </is>
      </c>
      <c r="H1549" s="2" t="inlineStr">
        <is>
          <t>Alcaldía del Ayuntamiento de Castellar</t>
        </is>
      </c>
      <c r="I1549" s="2" t="inlineStr">
        <is>
          <t>El objeto es regir la ejecución del contrato de obra REFORMA PARQUE INFANTIL.</t>
        </is>
      </c>
      <c r="J1549" s="2" t="inlineStr">
        <is>
          <t>466/2025</t>
        </is>
      </c>
      <c r="K1549" s="2" t="inlineStr">
        <is>
          <t>Abierto simplificado</t>
        </is>
      </c>
      <c r="L1549" s="6" t="n">
        <v>3</v>
      </c>
      <c r="M1549" s="2" t="n"/>
      <c r="N1549" s="7" t="n">
        <v>0</v>
      </c>
      <c r="O1549" s="4" t="n"/>
      <c r="P1549" s="2" t="inlineStr">
        <is>
          <t>45432111; 37535200</t>
        </is>
      </c>
      <c r="Q1549" s="8" t="inlineStr">
        <is>
          <t>Ver</t>
        </is>
      </c>
      <c r="R1549" s="8" t="inlineStr">
        <is>
          <t>PCAP</t>
        </is>
      </c>
      <c r="S1549" s="9" t="n">
        <v>46310</v>
      </c>
      <c r="T1549" s="3" t="n">
        <v>46309.59966435185</v>
      </c>
      <c r="U1549" s="2" t="n"/>
    </row>
    <row r="1550">
      <c r="A1550" s="2" t="inlineStr">
        <is>
          <t>En plazo</t>
        </is>
      </c>
      <c r="B1550" s="3" t="n">
        <v>46329.58333333334</v>
      </c>
      <c r="C1550" s="5" t="n">
        <v>58905</v>
      </c>
      <c r="D1550" s="5" t="n">
        <v>58905</v>
      </c>
      <c r="E1550" s="2" t="inlineStr">
        <is>
          <t>Comunitat Valenciana</t>
        </is>
      </c>
      <c r="F1550" s="2" t="inlineStr">
        <is>
          <t>Valencia</t>
        </is>
      </c>
      <c r="G1550" s="2" t="inlineStr">
        <is>
          <t>REQUENA</t>
        </is>
      </c>
      <c r="H1550" s="2" t="inlineStr">
        <is>
          <t>Alcaldía del Ayuntamiento de Requena</t>
        </is>
      </c>
      <c r="I1550" s="2" t="inlineStr">
        <is>
          <t>Ampliacion de centro Social en El Derramador - Requena</t>
        </is>
      </c>
      <c r="J1550" s="2" t="inlineStr">
        <is>
          <t>3022920A</t>
        </is>
      </c>
      <c r="K1550" s="2" t="inlineStr">
        <is>
          <t>Abierto simplificado</t>
        </is>
      </c>
      <c r="L1550" s="6" t="n">
        <v>6</v>
      </c>
      <c r="M1550" s="2" t="n"/>
      <c r="N1550" s="7" t="n">
        <v>0</v>
      </c>
      <c r="O1550" s="4" t="n"/>
      <c r="P1550" s="2" t="inlineStr">
        <is>
          <t>45000000</t>
        </is>
      </c>
      <c r="Q1550" s="8" t="inlineStr">
        <is>
          <t>Ver</t>
        </is>
      </c>
      <c r="R1550" s="8" t="inlineStr">
        <is>
          <t>PCAP</t>
        </is>
      </c>
      <c r="S1550" s="9" t="n">
        <v>46310</v>
      </c>
      <c r="T1550" s="3" t="n">
        <v>46309.59537037037</v>
      </c>
      <c r="U1550" s="2" t="n"/>
    </row>
    <row r="1551">
      <c r="A1551" s="2" t="inlineStr">
        <is>
          <t>Resuelta</t>
        </is>
      </c>
      <c r="B1551" s="3" t="n">
        <v>43487.45833333334</v>
      </c>
      <c r="C1551" s="5" t="n">
        <v>7098032.62</v>
      </c>
      <c r="D1551" s="5" t="n">
        <v>7098032.62</v>
      </c>
      <c r="E1551" s="2" t="inlineStr">
        <is>
          <t>Comunitat Valenciana</t>
        </is>
      </c>
      <c r="F1551" s="2" t="n"/>
      <c r="G1551" s="2" t="n"/>
      <c r="H1551" s="2" t="inlineStr">
        <is>
          <t>ADIF -Consejo de Administración</t>
        </is>
      </c>
      <c r="I1551" s="2" t="inlineStr">
        <is>
          <t>Redaccion de proyecto y ejecucion de obra: instalacion de bloqueo por liberacion automatica en via unica de la linea xativa - alcoi. plan nucleo de cercanias valencia/castello (2017 - 2025).</t>
        </is>
      </c>
      <c r="J1551" s="2" t="inlineStr">
        <is>
          <t>3.18/27507.0255</t>
        </is>
      </c>
      <c r="K1551" s="2" t="inlineStr">
        <is>
          <t>Abierto</t>
        </is>
      </c>
      <c r="L1551" s="6" t="n">
        <v>10</v>
      </c>
      <c r="M1551" s="2" t="n"/>
      <c r="N1551" s="7" t="n">
        <v>0.4</v>
      </c>
      <c r="O1551" s="4" t="n"/>
      <c r="P1551" s="2" t="inlineStr">
        <is>
          <t>45234115; 71300000</t>
        </is>
      </c>
      <c r="Q1551" s="8" t="inlineStr">
        <is>
          <t>Ver</t>
        </is>
      </c>
      <c r="R1551" s="8" t="inlineStr">
        <is>
          <t>PCAP</t>
        </is>
      </c>
      <c r="S1551" s="9" t="n">
        <v>46310</v>
      </c>
      <c r="T1551" s="3" t="n">
        <v>46309.59444444445</v>
      </c>
      <c r="U1551" s="2" t="n"/>
    </row>
    <row r="1552">
      <c r="A1552" s="2" t="inlineStr">
        <is>
          <t>Resuelta</t>
        </is>
      </c>
      <c r="B1552" s="3" t="n">
        <v>46308.625</v>
      </c>
      <c r="C1552" s="5" t="n">
        <v>163682.17</v>
      </c>
      <c r="D1552" s="5" t="n">
        <v>163682.17</v>
      </c>
      <c r="E1552" s="2" t="inlineStr">
        <is>
          <t>Andalucía</t>
        </is>
      </c>
      <c r="F1552" s="2" t="inlineStr">
        <is>
          <t>Córdoba</t>
        </is>
      </c>
      <c r="G1552" s="2" t="n"/>
      <c r="H1552" s="2" t="inlineStr">
        <is>
          <t>Jefatura de Intendencia de Asuntos Económicos Sur</t>
        </is>
      </c>
      <c r="I1552" s="2" t="inlineStr">
        <is>
          <t>OBRA TC 204-21/25 de reparación y sustitución de la red de saneamiento y solería del patio/terraza, RLM Gran Capitán (Córdoba)</t>
        </is>
      </c>
      <c r="J1552" s="2" t="inlineStr">
        <is>
          <t>2026/ETSAE0226/00007415E</t>
        </is>
      </c>
      <c r="K1552" s="2" t="inlineStr">
        <is>
          <t>Abierto</t>
        </is>
      </c>
      <c r="L1552" s="6" t="n">
        <v>3</v>
      </c>
      <c r="M1552" s="2" t="n"/>
      <c r="N1552" s="7" t="n">
        <v>0</v>
      </c>
      <c r="O1552" s="4" t="n"/>
      <c r="P1552" s="2" t="inlineStr">
        <is>
          <t>45232410</t>
        </is>
      </c>
      <c r="Q1552" s="8" t="inlineStr">
        <is>
          <t>Ver</t>
        </is>
      </c>
      <c r="R1552" s="8" t="inlineStr">
        <is>
          <t>PCAP</t>
        </is>
      </c>
      <c r="S1552" s="9" t="n">
        <v>46310</v>
      </c>
      <c r="T1552" s="3" t="n">
        <v>46309.58866898148</v>
      </c>
      <c r="U1552" s="2" t="n"/>
    </row>
    <row r="1553">
      <c r="A1553" s="2" t="inlineStr">
        <is>
          <t>En plazo</t>
        </is>
      </c>
      <c r="B1553" s="3" t="n">
        <v>46338.99930555555</v>
      </c>
      <c r="C1553" s="5" t="n">
        <v>145132.82</v>
      </c>
      <c r="D1553" s="5" t="n">
        <v>145132.82</v>
      </c>
      <c r="E1553" s="2" t="inlineStr">
        <is>
          <t>Andalucía</t>
        </is>
      </c>
      <c r="F1553" s="2" t="inlineStr">
        <is>
          <t>Jaén</t>
        </is>
      </c>
      <c r="G1553" s="2" t="n"/>
      <c r="H1553" s="2" t="inlineStr">
        <is>
          <t>Alcaldía del Ayuntamiento de Jamilena</t>
        </is>
      </c>
      <c r="I1553" s="2" t="inlineStr">
        <is>
          <t>Construcción de Rotonda a la entrada del municipio de Jamilena</t>
        </is>
      </c>
      <c r="J1553" s="2" t="inlineStr">
        <is>
          <t>1137/2026</t>
        </is>
      </c>
      <c r="K1553" s="2" t="inlineStr">
        <is>
          <t>Abierto simplificado</t>
        </is>
      </c>
      <c r="L1553" s="6" t="n">
        <v>6</v>
      </c>
      <c r="M1553" s="2" t="n"/>
      <c r="N1553" s="7" t="n">
        <v>0</v>
      </c>
      <c r="O1553" s="4" t="n"/>
      <c r="P1553" s="2" t="inlineStr">
        <is>
          <t>45233128</t>
        </is>
      </c>
      <c r="Q1553" s="8" t="inlineStr">
        <is>
          <t>Ver</t>
        </is>
      </c>
      <c r="R1553" s="8" t="inlineStr">
        <is>
          <t>PCAP</t>
        </is>
      </c>
      <c r="S1553" s="9" t="n">
        <v>46310</v>
      </c>
      <c r="T1553" s="3" t="n">
        <v>46309.58770833333</v>
      </c>
      <c r="U1553" s="2" t="n"/>
    </row>
    <row r="1554">
      <c r="A1554" s="2" t="inlineStr">
        <is>
          <t>Plazo vencido</t>
        </is>
      </c>
      <c r="B1554" s="3" t="n">
        <v>46323.99930555555</v>
      </c>
      <c r="C1554" s="5" t="n">
        <v>79995.87</v>
      </c>
      <c r="D1554" s="5" t="n">
        <v>79995.87</v>
      </c>
      <c r="E1554" s="2" t="inlineStr">
        <is>
          <t>Comunitat Valenciana</t>
        </is>
      </c>
      <c r="F1554" s="2" t="inlineStr">
        <is>
          <t>Alicante</t>
        </is>
      </c>
      <c r="G1554" s="2" t="n"/>
      <c r="H1554" s="2" t="inlineStr">
        <is>
          <t>Junta de Gobierno del Ayuntamiento de Mutxamel</t>
        </is>
      </c>
      <c r="I1554" s="2" t="inlineStr">
        <is>
          <t>Obras de nuevas cimentaciones y traslado de farolas de la Avda. Carlos Soler y adyacentes</t>
        </is>
      </c>
      <c r="J1554" s="2" t="inlineStr">
        <is>
          <t>47/26 MTX</t>
        </is>
      </c>
      <c r="K1554" s="2" t="inlineStr">
        <is>
          <t>Abierto simplificado</t>
        </is>
      </c>
      <c r="L1554" s="6" t="n">
        <v>3</v>
      </c>
      <c r="M1554" s="2" t="n"/>
      <c r="N1554" s="7" t="n">
        <v>0</v>
      </c>
      <c r="O1554" s="4" t="n"/>
      <c r="P1554" s="2" t="inlineStr">
        <is>
          <t>45316100; 45262210</t>
        </is>
      </c>
      <c r="Q1554" s="8" t="inlineStr">
        <is>
          <t>Ver</t>
        </is>
      </c>
      <c r="R1554" s="8" t="inlineStr">
        <is>
          <t>PCAP</t>
        </is>
      </c>
      <c r="S1554" s="9" t="n">
        <v>46310</v>
      </c>
      <c r="T1554" s="3" t="n">
        <v>46309.58753472222</v>
      </c>
      <c r="U1554" s="2" t="n"/>
    </row>
    <row r="1555">
      <c r="A1555" s="2" t="inlineStr">
        <is>
          <t>Resuelta</t>
        </is>
      </c>
      <c r="B1555" s="3" t="n">
        <v>46296.375</v>
      </c>
      <c r="C1555" s="5" t="n">
        <v>95612.73</v>
      </c>
      <c r="D1555" s="5" t="n">
        <v>95612.73</v>
      </c>
      <c r="E1555" s="2" t="inlineStr">
        <is>
          <t>Andalucía</t>
        </is>
      </c>
      <c r="F1555" s="2" t="inlineStr">
        <is>
          <t>Cádiz</t>
        </is>
      </c>
      <c r="G1555" s="2" t="n"/>
      <c r="H1555" s="2" t="inlineStr">
        <is>
          <t>Intendente de San Fernando</t>
        </is>
      </c>
      <c r="I1555" s="2" t="inlineStr">
        <is>
          <t>INFRA26-061 CB Reparación de carpinterías en la Escuela de Suboficiales. Lote 1</t>
        </is>
      </c>
      <c r="J1555" s="2" t="inlineStr">
        <is>
          <t>2026/AR43U/00002517E</t>
        </is>
      </c>
      <c r="K1555" s="2" t="inlineStr">
        <is>
          <t>Abierto</t>
        </is>
      </c>
      <c r="L1555" s="6" t="n">
        <v>2.3</v>
      </c>
      <c r="M1555" s="2" t="n"/>
      <c r="N1555" s="7" t="n">
        <v>0</v>
      </c>
      <c r="O1555" s="4" t="n"/>
      <c r="P1555" s="2" t="inlineStr">
        <is>
          <t>45000000</t>
        </is>
      </c>
      <c r="Q1555" s="8" t="inlineStr">
        <is>
          <t>Ver</t>
        </is>
      </c>
      <c r="R1555" s="8" t="inlineStr">
        <is>
          <t>PCAP</t>
        </is>
      </c>
      <c r="S1555" s="9" t="n">
        <v>46310</v>
      </c>
      <c r="T1555" s="3" t="n">
        <v>46309.58381944444</v>
      </c>
      <c r="U1555" s="2" t="n"/>
    </row>
    <row r="1556">
      <c r="A1556" s="2" t="inlineStr">
        <is>
          <t>Resuelta</t>
        </is>
      </c>
      <c r="B1556" s="3" t="n">
        <v>46295.375</v>
      </c>
      <c r="C1556" s="5" t="n">
        <v>339283.53</v>
      </c>
      <c r="D1556" s="5" t="n">
        <v>339283.53</v>
      </c>
      <c r="E1556" s="2" t="inlineStr">
        <is>
          <t>Andalucía</t>
        </is>
      </c>
      <c r="F1556" s="2" t="inlineStr">
        <is>
          <t>Cádiz</t>
        </is>
      </c>
      <c r="G1556" s="2" t="n"/>
      <c r="H1556" s="2" t="inlineStr">
        <is>
          <t>Intendente de San Fernando</t>
        </is>
      </c>
      <c r="I1556" s="2" t="inlineStr">
        <is>
          <t>INFRA 26-050 CB Obras de reparación y conservación cantina edif 2º camp Tear Lote 1</t>
        </is>
      </c>
      <c r="J1556" s="2" t="inlineStr">
        <is>
          <t>2026/AR43U/00002549E</t>
        </is>
      </c>
      <c r="K1556" s="2" t="inlineStr">
        <is>
          <t>Abierto</t>
        </is>
      </c>
      <c r="L1556" s="6" t="n">
        <v>2</v>
      </c>
      <c r="M1556" s="2" t="n"/>
      <c r="N1556" s="7" t="n">
        <v>0</v>
      </c>
      <c r="O1556" s="4" t="n"/>
      <c r="P1556" s="2" t="inlineStr">
        <is>
          <t>45400000</t>
        </is>
      </c>
      <c r="Q1556" s="8" t="inlineStr">
        <is>
          <t>Ver</t>
        </is>
      </c>
      <c r="R1556" s="8" t="inlineStr">
        <is>
          <t>PCAP</t>
        </is>
      </c>
      <c r="S1556" s="9" t="n">
        <v>46310</v>
      </c>
      <c r="T1556" s="3" t="n">
        <v>46309.58148148148</v>
      </c>
      <c r="U1556" s="2" t="n"/>
    </row>
    <row r="1557">
      <c r="A1557" s="2" t="inlineStr">
        <is>
          <t>Resuelta</t>
        </is>
      </c>
      <c r="B1557" s="3" t="n">
        <v>46190.95833333334</v>
      </c>
      <c r="C1557" s="5" t="n">
        <v>996058.12</v>
      </c>
      <c r="D1557" s="5" t="n">
        <v>1195264.74</v>
      </c>
      <c r="E1557" s="2" t="inlineStr">
        <is>
          <t>Comunitat Valenciana</t>
        </is>
      </c>
      <c r="F1557" s="2" t="inlineStr">
        <is>
          <t>Valencia</t>
        </is>
      </c>
      <c r="G1557" s="2" t="n"/>
      <c r="H1557" s="2" t="inlineStr">
        <is>
          <t>Consejo de Administración de la Societat Valenciana FIRA València S.A.</t>
        </is>
      </c>
      <c r="I1557" s="2" t="inlineStr">
        <is>
          <t>La renovación del sistema de detección de incendios y detección de CO del Parking de Societat Valenciana Fira València S.A</t>
        </is>
      </c>
      <c r="J1557" s="2" t="inlineStr">
        <is>
          <t>CMAYOR/2026/FIRAV/0028</t>
        </is>
      </c>
      <c r="K1557" s="2" t="inlineStr">
        <is>
          <t>Abierto</t>
        </is>
      </c>
      <c r="L1557" s="6" t="n">
        <v>5</v>
      </c>
      <c r="M1557" s="2" t="inlineStr">
        <is>
          <t>K9-4</t>
        </is>
      </c>
      <c r="N1557" s="7" t="n">
        <v>0.45</v>
      </c>
      <c r="O1557" s="4" t="n"/>
      <c r="P1557" s="2" t="inlineStr">
        <is>
          <t>45343000; 71321000; 45310000; 45331210; 31625100</t>
        </is>
      </c>
      <c r="Q1557" s="8" t="inlineStr">
        <is>
          <t>Ver</t>
        </is>
      </c>
      <c r="R1557" s="8" t="inlineStr">
        <is>
          <t>PCAP</t>
        </is>
      </c>
      <c r="S1557" s="9" t="n">
        <v>46310</v>
      </c>
      <c r="T1557" s="3" t="n">
        <v>46309.5781712963</v>
      </c>
      <c r="U1557" s="2" t="n"/>
    </row>
    <row r="1558">
      <c r="A1558" s="2" t="inlineStr">
        <is>
          <t>Resuelta</t>
        </is>
      </c>
      <c r="B1558" s="3" t="n">
        <v>46296.375</v>
      </c>
      <c r="C1558" s="5" t="n">
        <v>39789.66</v>
      </c>
      <c r="D1558" s="5" t="n">
        <v>39789.66</v>
      </c>
      <c r="E1558" s="2" t="inlineStr">
        <is>
          <t>Andalucía</t>
        </is>
      </c>
      <c r="F1558" s="2" t="inlineStr">
        <is>
          <t>Cádiz</t>
        </is>
      </c>
      <c r="G1558" s="2" t="n"/>
      <c r="H1558" s="2" t="inlineStr">
        <is>
          <t>Intendente de San Fernando</t>
        </is>
      </c>
      <c r="I1558" s="2" t="inlineStr">
        <is>
          <t>Reparaciones de carpinterias en los batallones del segundo campamento del TEAR Lote 7</t>
        </is>
      </c>
      <c r="J1558" s="2" t="inlineStr">
        <is>
          <t>2026/AR43U/00002521E</t>
        </is>
      </c>
      <c r="K1558" s="2" t="inlineStr">
        <is>
          <t>Abierto</t>
        </is>
      </c>
      <c r="L1558" s="6" t="n">
        <v>1.9</v>
      </c>
      <c r="M1558" s="2" t="n"/>
      <c r="N1558" s="7" t="n">
        <v>0</v>
      </c>
      <c r="O1558" s="4" t="n"/>
      <c r="P1558" s="2" t="inlineStr">
        <is>
          <t>45421100</t>
        </is>
      </c>
      <c r="Q1558" s="8" t="inlineStr">
        <is>
          <t>Ver</t>
        </is>
      </c>
      <c r="R1558" s="8" t="inlineStr">
        <is>
          <t>PCAP</t>
        </is>
      </c>
      <c r="S1558" s="9" t="n">
        <v>46310</v>
      </c>
      <c r="T1558" s="3" t="n">
        <v>46309.57776620371</v>
      </c>
      <c r="U1558" s="2" t="n"/>
    </row>
    <row r="1559">
      <c r="A1559" s="2" t="inlineStr">
        <is>
          <t>Plazo vencido</t>
        </is>
      </c>
      <c r="B1559" s="3" t="n">
        <v>46323.99930555555</v>
      </c>
      <c r="C1559" s="5" t="n">
        <v>3936</v>
      </c>
      <c r="D1559" s="5" t="n">
        <v>3936</v>
      </c>
      <c r="E1559" s="2" t="inlineStr">
        <is>
          <t>Andalucía</t>
        </is>
      </c>
      <c r="F1559" s="2" t="inlineStr">
        <is>
          <t>Córdoba</t>
        </is>
      </c>
      <c r="G1559" s="2" t="n"/>
      <c r="H1559" s="2" t="inlineStr">
        <is>
          <t>Diputado delegado de Infraestructuras, Sostenibilidad y Agricultura</t>
        </is>
      </c>
      <c r="I1559" s="2" t="inlineStr">
        <is>
          <t>Contratación de la obra Remodelación de la instalación eléctrica de edificio para Consultorio Médico en la Aldea de Ojuelos Altos, en Fuente Obejuna (Córdoba). Obra incluida en el Plan de Aldeas 2024-2027.</t>
        </is>
      </c>
      <c r="J1559" s="2" t="inlineStr">
        <is>
          <t>714/26</t>
        </is>
      </c>
      <c r="K1559" s="2" t="inlineStr">
        <is>
          <t>Abierto simplificado</t>
        </is>
      </c>
      <c r="L1559" s="6" t="n">
        <v>1</v>
      </c>
      <c r="M1559" s="2" t="n"/>
      <c r="N1559" s="7" t="n">
        <v>0</v>
      </c>
      <c r="O1559" s="4" t="n"/>
      <c r="P1559" s="2" t="inlineStr">
        <is>
          <t>45310000</t>
        </is>
      </c>
      <c r="Q1559" s="8" t="inlineStr">
        <is>
          <t>Ver</t>
        </is>
      </c>
      <c r="R1559" s="8" t="inlineStr">
        <is>
          <t>PCAP</t>
        </is>
      </c>
      <c r="S1559" s="9" t="n">
        <v>46310</v>
      </c>
      <c r="T1559" s="3" t="n">
        <v>46309.57608796296</v>
      </c>
      <c r="U1559" s="2" t="n"/>
    </row>
    <row r="1560">
      <c r="A1560" s="2" t="inlineStr">
        <is>
          <t>Resuelta</t>
        </is>
      </c>
      <c r="B1560" s="3" t="n">
        <v>46216.99930555555</v>
      </c>
      <c r="C1560" s="5" t="n">
        <v>598148.76</v>
      </c>
      <c r="D1560" s="5" t="n">
        <v>598148.76</v>
      </c>
      <c r="E1560" s="2" t="inlineStr">
        <is>
          <t>Andalucía</t>
        </is>
      </c>
      <c r="F1560" s="2" t="inlineStr">
        <is>
          <t>Córdoba</t>
        </is>
      </c>
      <c r="G1560" s="2" t="n"/>
      <c r="H1560" s="2" t="inlineStr">
        <is>
          <t>Junta de Gobierno de la Diputación Provincial de Córdoba</t>
        </is>
      </c>
      <c r="I1560" s="2" t="inlineStr">
        <is>
          <t>Contrato de obra de Terminación del Centro Cultural, 3ª fase, en Espejo (Córdoba) (352/26)</t>
        </is>
      </c>
      <c r="J1560" s="2" t="inlineStr">
        <is>
          <t>352/26</t>
        </is>
      </c>
      <c r="K1560" s="2" t="inlineStr">
        <is>
          <t>Abierto</t>
        </is>
      </c>
      <c r="L1560" s="6" t="n">
        <v>10</v>
      </c>
      <c r="M1560" s="2" t="inlineStr">
        <is>
          <t>C6-2; C4-1; C7-1; C9-1</t>
        </is>
      </c>
      <c r="N1560" s="7" t="n">
        <v>0.25</v>
      </c>
      <c r="O1560" s="4" t="n"/>
      <c r="P1560" s="2" t="inlineStr">
        <is>
          <t>45212322; 45210000</t>
        </is>
      </c>
      <c r="Q1560" s="8" t="inlineStr">
        <is>
          <t>Ver</t>
        </is>
      </c>
      <c r="R1560" s="8" t="inlineStr">
        <is>
          <t>PCAP</t>
        </is>
      </c>
      <c r="S1560" s="9" t="n">
        <v>46310</v>
      </c>
      <c r="T1560" s="3" t="n">
        <v>46309.57240740741</v>
      </c>
      <c r="U1560" s="2" t="n"/>
    </row>
    <row r="1561">
      <c r="A1561" s="2" t="inlineStr">
        <is>
          <t>Resuelta</t>
        </is>
      </c>
      <c r="B1561" s="3" t="n">
        <v>46174.99930555555</v>
      </c>
      <c r="C1561" s="5" t="n">
        <v>120603.83</v>
      </c>
      <c r="D1561" s="5" t="n">
        <v>132664.21</v>
      </c>
      <c r="E1561" s="2" t="inlineStr">
        <is>
          <t>Comunitat Valenciana</t>
        </is>
      </c>
      <c r="F1561" s="2" t="inlineStr">
        <is>
          <t>Valencia</t>
        </is>
      </c>
      <c r="G1561" s="2" t="n"/>
      <c r="H1561" s="2" t="inlineStr">
        <is>
          <t>Junta de Gobierno del Ayuntamiento de Silla</t>
        </is>
      </c>
      <c r="I1561" s="2" t="inlineStr">
        <is>
          <t>Obra «Renovación y mejora del viario urbano: Calle Mare de Deu dels Desemparats, Avenida de la Generalitat y Avenida Ausiás March de Silla», incluida en el Plan Abierto de Inversiones 2024-2027 de la Diputación de Valencia</t>
        </is>
      </c>
      <c r="J1561" s="2" t="inlineStr">
        <is>
          <t>2793104M</t>
        </is>
      </c>
      <c r="K1561" s="2" t="inlineStr">
        <is>
          <t>Abierto simplificado</t>
        </is>
      </c>
      <c r="L1561" s="6" t="n">
        <v>6</v>
      </c>
      <c r="M1561" s="2" t="n"/>
      <c r="N1561" s="7" t="n">
        <v>0</v>
      </c>
      <c r="O1561" s="4" t="n">
        <v>3</v>
      </c>
      <c r="P1561" s="2" t="inlineStr">
        <is>
          <t>45233140; 45233221; 45112700</t>
        </is>
      </c>
      <c r="Q1561" s="8" t="inlineStr">
        <is>
          <t>Ver</t>
        </is>
      </c>
      <c r="R1561" s="8" t="inlineStr">
        <is>
          <t>PCAP</t>
        </is>
      </c>
      <c r="S1561" s="9" t="n">
        <v>46310</v>
      </c>
      <c r="T1561" s="3" t="n">
        <v>46309.56876157408</v>
      </c>
      <c r="U1561" s="2" t="n"/>
    </row>
    <row r="1562">
      <c r="A1562" s="2" t="inlineStr">
        <is>
          <t>En plazo</t>
        </is>
      </c>
      <c r="B1562" s="3" t="n">
        <v>46329.99930555555</v>
      </c>
      <c r="C1562" s="5" t="n">
        <v>102588.44</v>
      </c>
      <c r="D1562" s="5" t="n">
        <v>102588.44</v>
      </c>
      <c r="E1562" s="2" t="inlineStr">
        <is>
          <t>Andalucía</t>
        </is>
      </c>
      <c r="F1562" s="2" t="inlineStr">
        <is>
          <t>Granada</t>
        </is>
      </c>
      <c r="G1562" s="2" t="inlineStr">
        <is>
          <t>Santa Fe</t>
        </is>
      </c>
      <c r="H1562" s="2" t="inlineStr">
        <is>
          <t>Junta de Gobierno del Ayuntamiento de Santa Fe</t>
        </is>
      </c>
      <c r="I1562" s="2" t="inlineStr">
        <is>
          <t>Contrato administrativo de obras para la renovación del pavimento asfaltico en la calle Mariana Pineda de Santa Fe (Granada), financiada por la Administración General del Estado, a través del Ministerio de Política Territorial y Memoria Democrática.</t>
        </is>
      </c>
      <c r="J1562" s="2" t="inlineStr">
        <is>
          <t>5139/2026</t>
        </is>
      </c>
      <c r="K1562" s="2" t="inlineStr">
        <is>
          <t>Abierto simplificado</t>
        </is>
      </c>
      <c r="L1562" s="6" t="n">
        <v>1</v>
      </c>
      <c r="M1562" s="2" t="n"/>
      <c r="N1562" s="7" t="n">
        <v>0</v>
      </c>
      <c r="O1562" s="4" t="n"/>
      <c r="P1562" s="2" t="inlineStr">
        <is>
          <t>45233252</t>
        </is>
      </c>
      <c r="Q1562" s="8" t="inlineStr">
        <is>
          <t>Ver</t>
        </is>
      </c>
      <c r="R1562" s="8" t="inlineStr">
        <is>
          <t>PCAP</t>
        </is>
      </c>
      <c r="S1562" s="9" t="n">
        <v>46310</v>
      </c>
      <c r="T1562" s="3" t="n">
        <v>46309.56608796296</v>
      </c>
      <c r="U1562" s="2" t="n"/>
    </row>
    <row r="1563">
      <c r="A1563" s="2" t="inlineStr">
        <is>
          <t>Resuelta</t>
        </is>
      </c>
      <c r="B1563" s="3" t="n">
        <v>46280.99930555555</v>
      </c>
      <c r="C1563" s="5" t="n">
        <v>371900.83</v>
      </c>
      <c r="D1563" s="5" t="n">
        <v>371900.83</v>
      </c>
      <c r="E1563" s="2" t="inlineStr">
        <is>
          <t>Andalucía</t>
        </is>
      </c>
      <c r="F1563" s="2" t="inlineStr">
        <is>
          <t>Córdoba</t>
        </is>
      </c>
      <c r="G1563" s="2" t="inlineStr">
        <is>
          <t>Bujalance</t>
        </is>
      </c>
      <c r="H1563" s="2" t="inlineStr">
        <is>
          <t>Junta de Gobierno de la Diputación Provincial de Córdoba</t>
        </is>
      </c>
      <c r="I1563" s="2" t="inlineStr">
        <is>
          <t>Contratación de la obra reforma del Teatro Español en Bujalance(Córdoba), obra incluida en los Planes Provinciales de Obras y Servicios 2024-2027 (bienio 2026-2027).</t>
        </is>
      </c>
      <c r="J1563" s="2" t="inlineStr">
        <is>
          <t>627/26</t>
        </is>
      </c>
      <c r="K1563" s="2" t="inlineStr">
        <is>
          <t>Abierto</t>
        </is>
      </c>
      <c r="L1563" s="6" t="n">
        <v>6</v>
      </c>
      <c r="M1563" s="2" t="n"/>
      <c r="N1563" s="7" t="n">
        <v>0.25</v>
      </c>
      <c r="O1563" s="4" t="n"/>
      <c r="P1563" s="2" t="inlineStr">
        <is>
          <t>45220000</t>
        </is>
      </c>
      <c r="Q1563" s="8" t="inlineStr">
        <is>
          <t>Ver</t>
        </is>
      </c>
      <c r="R1563" s="8" t="inlineStr">
        <is>
          <t>PCAP</t>
        </is>
      </c>
      <c r="S1563" s="9" t="n">
        <v>46310</v>
      </c>
      <c r="T1563" s="3" t="n">
        <v>46309.56577546296</v>
      </c>
      <c r="U1563" s="2" t="n"/>
    </row>
    <row r="1564">
      <c r="A1564" s="2" t="inlineStr">
        <is>
          <t>Adjudicada</t>
        </is>
      </c>
      <c r="B1564" s="3" t="n">
        <v>46280.99930555555</v>
      </c>
      <c r="C1564" s="5" t="n">
        <v>93422.45</v>
      </c>
      <c r="D1564" s="5" t="n">
        <v>93422.45</v>
      </c>
      <c r="E1564" s="2" t="inlineStr">
        <is>
          <t>Andalucía</t>
        </is>
      </c>
      <c r="F1564" s="2" t="inlineStr">
        <is>
          <t>Málaga</t>
        </is>
      </c>
      <c r="G1564" s="2" t="n"/>
      <c r="H1564" s="2" t="inlineStr">
        <is>
          <t>Alcaldía del Ayuntamiento de Álora</t>
        </is>
      </c>
      <c r="I1564" s="2" t="inlineStr">
        <is>
          <t>Estabilización deslizamiento en Calle Uriquí y Santa Argentea</t>
        </is>
      </c>
      <c r="J1564" s="2" t="inlineStr">
        <is>
          <t>9/2026</t>
        </is>
      </c>
      <c r="K1564" s="2" t="inlineStr">
        <is>
          <t>Abierto</t>
        </is>
      </c>
      <c r="L1564" s="6" t="n">
        <v>4</v>
      </c>
      <c r="M1564" s="2" t="n"/>
      <c r="N1564" s="7" t="n">
        <v>0</v>
      </c>
      <c r="O1564" s="4" t="n"/>
      <c r="P1564" s="2" t="inlineStr">
        <is>
          <t>45262620; 45262311</t>
        </is>
      </c>
      <c r="Q1564" s="8" t="inlineStr">
        <is>
          <t>Ver</t>
        </is>
      </c>
      <c r="R1564" s="8" t="inlineStr">
        <is>
          <t>PCAP</t>
        </is>
      </c>
      <c r="S1564" s="9" t="n">
        <v>46310</v>
      </c>
      <c r="T1564" s="3" t="n">
        <v>46309.56518518519</v>
      </c>
      <c r="U1564" s="2" t="n"/>
    </row>
    <row r="1565">
      <c r="A1565" s="2" t="inlineStr">
        <is>
          <t>Pendiente de adjudicación</t>
        </is>
      </c>
      <c r="B1565" s="3" t="n">
        <v>46231.58333333334</v>
      </c>
      <c r="C1565" s="5" t="n">
        <v>11298571.19</v>
      </c>
      <c r="D1565" s="5" t="n">
        <v>11298571.19</v>
      </c>
      <c r="E1565" s="2" t="inlineStr">
        <is>
          <t>Comunitat Valenciana</t>
        </is>
      </c>
      <c r="F1565" s="2" t="inlineStr">
        <is>
          <t>Valencia</t>
        </is>
      </c>
      <c r="G1565" s="2" t="n"/>
      <c r="H1565" s="2" t="inlineStr">
        <is>
          <t>Presidencia de la Entidad Valenciana de Vivienda y Suelo</t>
        </is>
      </c>
      <c r="I1565" s="2" t="inlineStr">
        <is>
          <t>Obras de Edificio de 69 Viviendas de Protección Pública, y 77 Plazas de Aparcamiento, en la confluencia de las calles Vicente Alexandre y San Pedro Poveda, de Alicante.</t>
        </is>
      </c>
      <c r="J1565" s="2" t="inlineStr">
        <is>
          <t>CMAYOR/2026/EVHA/0006</t>
        </is>
      </c>
      <c r="K1565" s="2" t="inlineStr">
        <is>
          <t>Abierto</t>
        </is>
      </c>
      <c r="L1565" s="6" t="n">
        <v>24</v>
      </c>
      <c r="M1565" s="2" t="inlineStr">
        <is>
          <t>C6-6; C*-6; C2-6</t>
        </is>
      </c>
      <c r="N1565" s="7" t="n">
        <v>0.3</v>
      </c>
      <c r="O1565" s="4" t="n"/>
      <c r="P1565" s="2" t="inlineStr">
        <is>
          <t>45211340</t>
        </is>
      </c>
      <c r="Q1565" s="8" t="inlineStr">
        <is>
          <t>Ver</t>
        </is>
      </c>
      <c r="R1565" s="8" t="inlineStr">
        <is>
          <t>PCAP</t>
        </is>
      </c>
      <c r="S1565" s="9" t="n">
        <v>46310</v>
      </c>
      <c r="T1565" s="3" t="n">
        <v>46309.56424768519</v>
      </c>
      <c r="U1565" s="2" t="n"/>
    </row>
    <row r="1566">
      <c r="A1566" s="2" t="inlineStr">
        <is>
          <t>Resuelta</t>
        </is>
      </c>
      <c r="B1566" s="3" t="n">
        <v>46273.99930555555</v>
      </c>
      <c r="C1566" s="5" t="n">
        <v>78512.39</v>
      </c>
      <c r="D1566" s="5" t="n">
        <v>86363.63</v>
      </c>
      <c r="E1566" s="2" t="inlineStr">
        <is>
          <t>Comunitat Valenciana</t>
        </is>
      </c>
      <c r="F1566" s="2" t="inlineStr">
        <is>
          <t>Alicante</t>
        </is>
      </c>
      <c r="G1566" s="2" t="inlineStr">
        <is>
          <t>Ondara</t>
        </is>
      </c>
      <c r="H1566" s="2" t="inlineStr">
        <is>
          <t>Junta de Gobierno del Ayuntamiento de Ondara</t>
        </is>
      </c>
      <c r="I1566" s="2" t="inlineStr">
        <is>
          <t>Millores a l'avinguda Marina Alta. Pla Inversions 2026 IFS</t>
        </is>
      </c>
      <c r="J1566" s="2" t="inlineStr">
        <is>
          <t>2637/2026</t>
        </is>
      </c>
      <c r="K1566" s="2" t="inlineStr">
        <is>
          <t>Abierto simplificado</t>
        </is>
      </c>
      <c r="L1566" s="6" t="n"/>
      <c r="M1566" s="2" t="n"/>
      <c r="N1566" s="7" t="n">
        <v>0</v>
      </c>
      <c r="O1566" s="4" t="n"/>
      <c r="P1566" s="2" t="inlineStr">
        <is>
          <t>45211360; 45316100</t>
        </is>
      </c>
      <c r="Q1566" s="8" t="inlineStr">
        <is>
          <t>Ver</t>
        </is>
      </c>
      <c r="R1566" s="8" t="inlineStr">
        <is>
          <t>PCAP</t>
        </is>
      </c>
      <c r="S1566" s="9" t="n">
        <v>46310</v>
      </c>
      <c r="T1566" s="3" t="n">
        <v>46309.55842592593</v>
      </c>
      <c r="U1566" s="2" t="n"/>
    </row>
    <row r="1567">
      <c r="A1567" s="2" t="inlineStr">
        <is>
          <t>Adjudicada</t>
        </is>
      </c>
      <c r="B1567" s="3" t="n">
        <v>46190.99930555555</v>
      </c>
      <c r="C1567" s="5" t="n">
        <v>232231.4</v>
      </c>
      <c r="D1567" s="5" t="n">
        <v>232231.4</v>
      </c>
      <c r="E1567" s="2" t="inlineStr">
        <is>
          <t>Andalucía</t>
        </is>
      </c>
      <c r="F1567" s="2" t="inlineStr">
        <is>
          <t>Almería</t>
        </is>
      </c>
      <c r="G1567" s="2" t="n"/>
      <c r="H1567" s="2" t="inlineStr">
        <is>
          <t>Junta de Gobierno de la Diputación Provincial de Almería</t>
        </is>
      </c>
      <c r="I1567" s="2" t="inlineStr">
        <is>
          <t>Mejora De Acceso A La Entrada A Alcontar 81PPOS24-27BI</t>
        </is>
      </c>
      <c r="J1567" s="2" t="inlineStr">
        <is>
          <t>2025/D31000/006-013/00201</t>
        </is>
      </c>
      <c r="K1567" s="2" t="inlineStr">
        <is>
          <t>Abierto simplificado</t>
        </is>
      </c>
      <c r="L1567" s="6" t="n">
        <v>4.1</v>
      </c>
      <c r="M1567" s="2" t="n"/>
      <c r="N1567" s="7" t="n">
        <v>0.25</v>
      </c>
      <c r="O1567" s="4" t="n"/>
      <c r="P1567" s="2" t="inlineStr">
        <is>
          <t>45233340</t>
        </is>
      </c>
      <c r="Q1567" s="8" t="inlineStr">
        <is>
          <t>Ver</t>
        </is>
      </c>
      <c r="R1567" s="8" t="inlineStr">
        <is>
          <t>PCAP</t>
        </is>
      </c>
      <c r="S1567" s="9" t="n">
        <v>46310</v>
      </c>
      <c r="T1567" s="3" t="n">
        <v>46309.5565162037</v>
      </c>
      <c r="U1567" s="2" t="n"/>
    </row>
    <row r="1568">
      <c r="A1568" s="2" t="inlineStr">
        <is>
          <t>Plazo vencido</t>
        </is>
      </c>
      <c r="B1568" s="3" t="n">
        <v>46323.99930555555</v>
      </c>
      <c r="C1568" s="5" t="n">
        <v>49586.78</v>
      </c>
      <c r="D1568" s="5" t="n">
        <v>49586.78</v>
      </c>
      <c r="E1568" s="2" t="inlineStr">
        <is>
          <t>Andalucía</t>
        </is>
      </c>
      <c r="F1568" s="2" t="inlineStr">
        <is>
          <t>Cádiz</t>
        </is>
      </c>
      <c r="G1568" s="2" t="n"/>
      <c r="H1568" s="2" t="inlineStr">
        <is>
          <t>Alcaldía del Ayuntamiento de Trebujena</t>
        </is>
      </c>
      <c r="I1568"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1568" s="2" t="inlineStr">
        <is>
          <t>2026/2364/02</t>
        </is>
      </c>
      <c r="K1568" s="2" t="inlineStr">
        <is>
          <t>Abierto simplificado</t>
        </is>
      </c>
      <c r="L1568" s="6" t="n">
        <v>5</v>
      </c>
      <c r="M1568" s="2" t="n"/>
      <c r="N1568" s="7" t="n">
        <v>0</v>
      </c>
      <c r="O1568" s="4" t="n"/>
      <c r="P1568" s="2" t="inlineStr">
        <is>
          <t>45443000</t>
        </is>
      </c>
      <c r="Q1568" s="8" t="inlineStr">
        <is>
          <t>Ver</t>
        </is>
      </c>
      <c r="R1568" s="8" t="inlineStr">
        <is>
          <t>PCAP</t>
        </is>
      </c>
      <c r="S1568" s="9" t="n">
        <v>46310</v>
      </c>
      <c r="T1568" s="3" t="n">
        <v>46309.55476851852</v>
      </c>
      <c r="U1568" s="2" t="n"/>
    </row>
    <row r="1569">
      <c r="A1569" s="2" t="inlineStr">
        <is>
          <t>En plazo</t>
        </is>
      </c>
      <c r="B1569" s="3" t="n">
        <v>46329.99930555555</v>
      </c>
      <c r="C1569" s="5" t="n">
        <v>255330.58</v>
      </c>
      <c r="D1569" s="5" t="n">
        <v>255330.58</v>
      </c>
      <c r="E1569" s="2" t="inlineStr">
        <is>
          <t>Andalucía</t>
        </is>
      </c>
      <c r="F1569" s="2" t="inlineStr">
        <is>
          <t>Granada</t>
        </is>
      </c>
      <c r="G1569" s="2" t="inlineStr">
        <is>
          <t>Santa Fe</t>
        </is>
      </c>
      <c r="H1569" s="2" t="inlineStr">
        <is>
          <t>Junta de Gobierno del Ayuntamiento de Santa Fe</t>
        </is>
      </c>
      <c r="I1569" s="2" t="inlineStr">
        <is>
          <t>Contrato administrativo de obras para la ejecución del Plan de Asfaltado 2026 del municipio de Santa Fe (Granada)</t>
        </is>
      </c>
      <c r="J1569" s="2" t="inlineStr">
        <is>
          <t>4654/2026</t>
        </is>
      </c>
      <c r="K1569" s="2" t="inlineStr">
        <is>
          <t>Abierto simplificado</t>
        </is>
      </c>
      <c r="L1569" s="6" t="n">
        <v>2</v>
      </c>
      <c r="M1569" s="2" t="n"/>
      <c r="N1569" s="7" t="n">
        <v>0</v>
      </c>
      <c r="O1569" s="4" t="n"/>
      <c r="P1569" s="2" t="inlineStr">
        <is>
          <t>45233252</t>
        </is>
      </c>
      <c r="Q1569" s="8" t="inlineStr">
        <is>
          <t>Ver</t>
        </is>
      </c>
      <c r="R1569" s="8" t="inlineStr">
        <is>
          <t>PCAP</t>
        </is>
      </c>
      <c r="S1569" s="9" t="n">
        <v>46310</v>
      </c>
      <c r="T1569" s="3" t="n">
        <v>46309.55333333334</v>
      </c>
      <c r="U1569" s="2" t="n"/>
    </row>
    <row r="1570">
      <c r="A1570" s="2" t="inlineStr">
        <is>
          <t>Resuelta</t>
        </is>
      </c>
      <c r="B1570" s="3" t="n">
        <v>46293.99930555555</v>
      </c>
      <c r="C1570" s="5" t="n">
        <v>4000</v>
      </c>
      <c r="D1570" s="5" t="n">
        <v>4000</v>
      </c>
      <c r="E1570" s="2" t="inlineStr">
        <is>
          <t>Comunitat Valenciana</t>
        </is>
      </c>
      <c r="F1570" s="2" t="inlineStr">
        <is>
          <t>Valencia</t>
        </is>
      </c>
      <c r="G1570" s="2" t="n"/>
      <c r="H1570" s="2" t="inlineStr">
        <is>
          <t>Junta de Gobierno del Ayuntamiento de Alzira</t>
        </is>
      </c>
      <c r="I1570" s="2" t="inlineStr">
        <is>
          <t>Mantenimiento de las instalaciones eléctricas de baja tensión y de alumbrado exterior</t>
        </is>
      </c>
      <c r="J1570" s="2" t="inlineStr">
        <is>
          <t>OC-7560/26 (BSDA)</t>
        </is>
      </c>
      <c r="K1570" s="2" t="inlineStr">
        <is>
          <t>Restringido</t>
        </is>
      </c>
      <c r="L1570" s="6" t="n">
        <v>12</v>
      </c>
      <c r="M1570" s="2" t="n"/>
      <c r="N1570" s="7" t="n">
        <v>0</v>
      </c>
      <c r="O1570" s="4" t="n">
        <v>1</v>
      </c>
      <c r="P1570" s="2" t="inlineStr">
        <is>
          <t>45262520; 45316000</t>
        </is>
      </c>
      <c r="Q1570" s="8" t="inlineStr">
        <is>
          <t>Ver</t>
        </is>
      </c>
      <c r="R1570" s="8" t="inlineStr">
        <is>
          <t>PCAP</t>
        </is>
      </c>
      <c r="S1570" s="9" t="n">
        <v>46310</v>
      </c>
      <c r="T1570" s="3" t="n">
        <v>46309.55318287037</v>
      </c>
      <c r="U1570" s="2" t="n"/>
    </row>
    <row r="1571">
      <c r="A1571" s="2" t="inlineStr">
        <is>
          <t>Resuelta</t>
        </is>
      </c>
      <c r="B1571" s="3" t="n">
        <v>46257.99930555555</v>
      </c>
      <c r="C1571" s="5" t="n">
        <v>1071532.4</v>
      </c>
      <c r="D1571" s="5" t="n">
        <v>1071532.4</v>
      </c>
      <c r="E1571" s="2" t="inlineStr">
        <is>
          <t>Comunitat Valenciana</t>
        </is>
      </c>
      <c r="F1571" s="2" t="inlineStr">
        <is>
          <t>Valencia</t>
        </is>
      </c>
      <c r="G1571" s="2" t="inlineStr">
        <is>
          <t>GESTALGAR</t>
        </is>
      </c>
      <c r="H1571" s="2" t="inlineStr">
        <is>
          <t>Alcaldía del Ayuntamiento de Gestalgar</t>
        </is>
      </c>
      <c r="I1571" s="2" t="inlineStr">
        <is>
          <t>Contratación. Subvención orden TMD/101/2025.Obras Restitución de daños tras la DANA en ladera Alto Gaspar en Gestalgar(Valencia).</t>
        </is>
      </c>
      <c r="J1571" s="2" t="inlineStr">
        <is>
          <t>2933943X</t>
        </is>
      </c>
      <c r="K1571" s="2" t="inlineStr">
        <is>
          <t>Abierto simplificado</t>
        </is>
      </c>
      <c r="L1571" s="6" t="n">
        <v>8</v>
      </c>
      <c r="M1571" s="2" t="n"/>
      <c r="N1571" s="7" t="n">
        <v>0</v>
      </c>
      <c r="O1571" s="4" t="n"/>
      <c r="P1571" s="2" t="inlineStr">
        <is>
          <t>45111230</t>
        </is>
      </c>
      <c r="Q1571" s="8" t="inlineStr">
        <is>
          <t>Ver</t>
        </is>
      </c>
      <c r="R1571" s="8" t="inlineStr">
        <is>
          <t>PCAP</t>
        </is>
      </c>
      <c r="S1571" s="9" t="n">
        <v>46310</v>
      </c>
      <c r="T1571" s="3" t="n">
        <v>46309.54679398148</v>
      </c>
      <c r="U1571" s="2" t="n"/>
    </row>
    <row r="1572">
      <c r="A1572" s="2" t="inlineStr">
        <is>
          <t>Resuelta</t>
        </is>
      </c>
      <c r="B1572" s="3" t="n">
        <v>46297.99930555555</v>
      </c>
      <c r="C1572" s="5" t="n">
        <v>150000</v>
      </c>
      <c r="D1572" s="5" t="n">
        <v>150000</v>
      </c>
      <c r="E1572" s="2" t="inlineStr">
        <is>
          <t>Andalucía</t>
        </is>
      </c>
      <c r="F1572" s="2" t="inlineStr">
        <is>
          <t>Sevilla</t>
        </is>
      </c>
      <c r="G1572" s="2" t="inlineStr">
        <is>
          <t>Carmona</t>
        </is>
      </c>
      <c r="H1572" s="2" t="inlineStr">
        <is>
          <t>Consejo de Administración de Limpieza y Mantenimiento de Carmona, S.L.U.</t>
        </is>
      </c>
      <c r="I1572" s="2" t="inlineStr">
        <is>
          <t>Trabajos para limpieza de cauces de arroyos a su paso por urbanizaciones y áreas de influencia, en función de las necesidades.</t>
        </is>
      </c>
      <c r="J1572" s="2" t="inlineStr">
        <is>
          <t>2026-L2-CB2</t>
        </is>
      </c>
      <c r="K1572" s="2" t="inlineStr">
        <is>
          <t>Abierto</t>
        </is>
      </c>
      <c r="L1572" s="6" t="n">
        <v>8</v>
      </c>
      <c r="M1572" s="2" t="n"/>
      <c r="N1572" s="7" t="n">
        <v>0</v>
      </c>
      <c r="O1572" s="4" t="n"/>
      <c r="P1572" s="2" t="inlineStr">
        <is>
          <t>45520000; 44110000; 44113100</t>
        </is>
      </c>
      <c r="Q1572" s="8" t="inlineStr">
        <is>
          <t>Ver</t>
        </is>
      </c>
      <c r="R1572" s="2" t="n"/>
      <c r="S1572" s="9" t="n">
        <v>46310</v>
      </c>
      <c r="T1572" s="3" t="n">
        <v>46309.54519675926</v>
      </c>
      <c r="U1572" s="2" t="n"/>
    </row>
    <row r="1573">
      <c r="A1573" s="2" t="inlineStr">
        <is>
          <t>Pendiente de adjudicación</t>
        </is>
      </c>
      <c r="B1573" s="3" t="n">
        <v>46161.75</v>
      </c>
      <c r="C1573" s="5" t="n">
        <v>661156.38</v>
      </c>
      <c r="D1573" s="5" t="n">
        <v>661156.38</v>
      </c>
      <c r="E1573" s="2" t="inlineStr">
        <is>
          <t>Andalucía</t>
        </is>
      </c>
      <c r="F1573" s="2" t="inlineStr">
        <is>
          <t>Cádiz</t>
        </is>
      </c>
      <c r="G1573" s="2" t="inlineStr">
        <is>
          <t>Conil de la Frontera</t>
        </is>
      </c>
      <c r="H1573" s="2" t="inlineStr">
        <is>
          <t>Alcaldia del Ayuntamiento de Conil de la Frontera</t>
        </is>
      </c>
      <c r="I1573"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1573" s="2" t="inlineStr">
        <is>
          <t>1445/2026</t>
        </is>
      </c>
      <c r="K1573" s="2" t="inlineStr">
        <is>
          <t>Abierto simplificado</t>
        </is>
      </c>
      <c r="L1573" s="6" t="n">
        <v>8</v>
      </c>
      <c r="M1573" s="2" t="n"/>
      <c r="N1573" s="7" t="n">
        <v>0</v>
      </c>
      <c r="O1573" s="4" t="n"/>
      <c r="P1573" s="2" t="inlineStr">
        <is>
          <t>45100000; 45212220</t>
        </is>
      </c>
      <c r="Q1573" s="8" t="inlineStr">
        <is>
          <t>Ver</t>
        </is>
      </c>
      <c r="R1573" s="8" t="inlineStr">
        <is>
          <t>PCAP</t>
        </is>
      </c>
      <c r="S1573" s="9" t="n">
        <v>46310</v>
      </c>
      <c r="T1573" s="3" t="n">
        <v>46309.54258101852</v>
      </c>
      <c r="U1573" s="2" t="n"/>
    </row>
    <row r="1574">
      <c r="A1574" s="2" t="inlineStr">
        <is>
          <t>En plazo</t>
        </is>
      </c>
      <c r="B1574" s="3" t="n">
        <v>46329.99930555555</v>
      </c>
      <c r="C1574" s="5" t="n">
        <v>120661.16</v>
      </c>
      <c r="D1574" s="5" t="n">
        <v>120661.16</v>
      </c>
      <c r="E1574" s="2" t="inlineStr">
        <is>
          <t>Andalucía</t>
        </is>
      </c>
      <c r="F1574" s="2" t="inlineStr">
        <is>
          <t>Jaén</t>
        </is>
      </c>
      <c r="G1574" s="2" t="n"/>
      <c r="H1574" s="2" t="inlineStr">
        <is>
          <t>Alcaldía del Ayuntamiento de Úbeda</t>
        </is>
      </c>
      <c r="I1574" s="2" t="inlineStr">
        <is>
          <t>"Adecuación de apeadero para autobuses turísticos en el Mirador de San Francisco de Úbeda"</t>
        </is>
      </c>
      <c r="J1574" s="2" t="inlineStr">
        <is>
          <t>OBR7476/2026</t>
        </is>
      </c>
      <c r="K1574" s="2" t="inlineStr">
        <is>
          <t>Abierto simplificado</t>
        </is>
      </c>
      <c r="L1574" s="6" t="n">
        <v>4</v>
      </c>
      <c r="M1574" s="2" t="n"/>
      <c r="N1574" s="7" t="n">
        <v>0</v>
      </c>
      <c r="O1574" s="4" t="n"/>
      <c r="P1574" s="2" t="inlineStr">
        <is>
          <t>45233200</t>
        </is>
      </c>
      <c r="Q1574" s="8" t="inlineStr">
        <is>
          <t>Ver</t>
        </is>
      </c>
      <c r="R1574" s="8" t="inlineStr">
        <is>
          <t>PCAP</t>
        </is>
      </c>
      <c r="S1574" s="9" t="n">
        <v>46310</v>
      </c>
      <c r="T1574" s="3" t="n">
        <v>46309.53690972222</v>
      </c>
      <c r="U1574" s="2" t="n"/>
    </row>
    <row r="1575">
      <c r="A1575" s="2" t="inlineStr">
        <is>
          <t>Resuelta</t>
        </is>
      </c>
      <c r="B1575" s="3" t="n">
        <v>46188.75</v>
      </c>
      <c r="C1575" s="5" t="n">
        <v>365638.97</v>
      </c>
      <c r="D1575" s="5" t="n">
        <v>365638.97</v>
      </c>
      <c r="E1575" s="2" t="inlineStr">
        <is>
          <t>Andalucía</t>
        </is>
      </c>
      <c r="F1575" s="2" t="inlineStr">
        <is>
          <t>Almería</t>
        </is>
      </c>
      <c r="G1575" s="2" t="inlineStr">
        <is>
          <t>Almería</t>
        </is>
      </c>
      <c r="H1575" s="2" t="inlineStr">
        <is>
          <t>Presidencia de la Autoridad Portuaria de Almería</t>
        </is>
      </c>
      <c r="I1575" s="2" t="inlineStr">
        <is>
          <t>Obras de Mejora y Rehabilitación del Edificio OTP (Organización de Trabajadores Portuarios)</t>
        </is>
      </c>
      <c r="J1575" s="2" t="inlineStr">
        <is>
          <t>21/O/AS/AL26</t>
        </is>
      </c>
      <c r="K1575" s="2" t="inlineStr">
        <is>
          <t>Abierto simplificado</t>
        </is>
      </c>
      <c r="L1575" s="6" t="n">
        <v>8</v>
      </c>
      <c r="M1575" s="2" t="n"/>
      <c r="N1575" s="7" t="n">
        <v>0.25</v>
      </c>
      <c r="O1575" s="4" t="n"/>
      <c r="P1575" s="2" t="inlineStr">
        <is>
          <t>45200000</t>
        </is>
      </c>
      <c r="Q1575" s="8" t="inlineStr">
        <is>
          <t>Ver</t>
        </is>
      </c>
      <c r="R1575" s="2" t="n"/>
      <c r="S1575" s="9" t="n">
        <v>46310</v>
      </c>
      <c r="T1575" s="3" t="n">
        <v>46309.53686342593</v>
      </c>
      <c r="U1575" s="2" t="n"/>
    </row>
    <row r="1576">
      <c r="A1576" s="2" t="inlineStr">
        <is>
          <t>Plazo vencido</t>
        </is>
      </c>
      <c r="B1576" s="3" t="n">
        <v>46316.625</v>
      </c>
      <c r="C1576" s="5" t="n">
        <v>35537.19</v>
      </c>
      <c r="D1576" s="5" t="n">
        <v>35537.19</v>
      </c>
      <c r="E1576" s="2" t="inlineStr">
        <is>
          <t>Andalucía</t>
        </is>
      </c>
      <c r="F1576" s="2" t="inlineStr">
        <is>
          <t>Málaga</t>
        </is>
      </c>
      <c r="G1576" s="2" t="inlineStr">
        <is>
          <t>fuente de piedra</t>
        </is>
      </c>
      <c r="H1576" s="2" t="inlineStr">
        <is>
          <t>Junta de Gobierno Local del Ayuntamiento de Fuente de Piedra</t>
        </is>
      </c>
      <c r="I1576"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1576" s="2" t="inlineStr">
        <is>
          <t>986/2024</t>
        </is>
      </c>
      <c r="K1576" s="2" t="inlineStr">
        <is>
          <t>Abierto simplificado</t>
        </is>
      </c>
      <c r="L1576" s="6" t="n">
        <v>3</v>
      </c>
      <c r="M1576" s="2" t="n"/>
      <c r="N1576" s="7" t="n">
        <v>0</v>
      </c>
      <c r="O1576" s="4" t="n"/>
      <c r="P1576" s="2" t="inlineStr">
        <is>
          <t>45233222</t>
        </is>
      </c>
      <c r="Q1576" s="8" t="inlineStr">
        <is>
          <t>Ver</t>
        </is>
      </c>
      <c r="R1576" s="8" t="inlineStr">
        <is>
          <t>PCAP</t>
        </is>
      </c>
      <c r="S1576" s="9" t="n">
        <v>46310</v>
      </c>
      <c r="T1576" s="3" t="n">
        <v>46309.53685185185</v>
      </c>
      <c r="U1576" s="2" t="n"/>
    </row>
    <row r="1577">
      <c r="A1577" s="2" t="inlineStr">
        <is>
          <t>En plazo</t>
        </is>
      </c>
      <c r="B1577" s="3" t="n">
        <v>46330.99930555555</v>
      </c>
      <c r="C1577" s="5" t="n">
        <v>127657.69</v>
      </c>
      <c r="D1577" s="5" t="n">
        <v>127657.69</v>
      </c>
      <c r="E1577" s="2" t="inlineStr">
        <is>
          <t>Comunitat Valenciana</t>
        </is>
      </c>
      <c r="F1577" s="2" t="inlineStr">
        <is>
          <t>Valencia</t>
        </is>
      </c>
      <c r="G1577" s="2" t="n"/>
      <c r="H1577" s="2" t="inlineStr">
        <is>
          <t>Alcaldía del Ayuntamiento de Alginet</t>
        </is>
      </c>
      <c r="I1577" s="2" t="inlineStr">
        <is>
          <t>Obra de cubrición del patio del almacén municipal d'Alginet consistente en una estructura metálica y cubierta ligera</t>
        </is>
      </c>
      <c r="J1577" s="2" t="inlineStr">
        <is>
          <t>2927457N</t>
        </is>
      </c>
      <c r="K1577" s="2" t="inlineStr">
        <is>
          <t>Abierto simplificado</t>
        </is>
      </c>
      <c r="L1577" s="6" t="n">
        <v>3</v>
      </c>
      <c r="M1577" s="2" t="n"/>
      <c r="N1577" s="7" t="n">
        <v>0</v>
      </c>
      <c r="O1577" s="4" t="n"/>
      <c r="P1577" s="2" t="inlineStr">
        <is>
          <t>45213221; 45223220; 45223110; 45261210</t>
        </is>
      </c>
      <c r="Q1577" s="8" t="inlineStr">
        <is>
          <t>Ver</t>
        </is>
      </c>
      <c r="R1577" s="8" t="inlineStr">
        <is>
          <t>PCAP</t>
        </is>
      </c>
      <c r="S1577" s="9" t="n">
        <v>46310</v>
      </c>
      <c r="T1577" s="3" t="n">
        <v>46309.53657407407</v>
      </c>
      <c r="U1577" s="2" t="n"/>
    </row>
    <row r="1578">
      <c r="A1578" s="2" t="inlineStr">
        <is>
          <t>Adjudicada</t>
        </is>
      </c>
      <c r="B1578" s="3" t="n">
        <v>46230.99930555555</v>
      </c>
      <c r="C1578" s="5" t="n">
        <v>297520.66</v>
      </c>
      <c r="D1578" s="5" t="n">
        <v>297520.66</v>
      </c>
      <c r="E1578" s="2" t="inlineStr">
        <is>
          <t>Andalucía</t>
        </is>
      </c>
      <c r="F1578" s="2" t="inlineStr">
        <is>
          <t>Almería</t>
        </is>
      </c>
      <c r="G1578" s="2" t="n"/>
      <c r="H1578" s="2" t="inlineStr">
        <is>
          <t>Junta de Gobierno de la Diputación Provincial de Almería</t>
        </is>
      </c>
      <c r="I1578" s="2" t="inlineStr">
        <is>
          <t>Rehabilitación Del Firme Y Mejora En C.p. Al-6300: De La A-7 A La A-1175 Por La Alquería De Adra 20RVP2025-2026</t>
        </is>
      </c>
      <c r="J1578" s="2" t="inlineStr">
        <is>
          <t>2026/D31000/006-013/00037</t>
        </is>
      </c>
      <c r="K1578" s="2" t="inlineStr">
        <is>
          <t>Abierto simplificado</t>
        </is>
      </c>
      <c r="L1578" s="6" t="n">
        <v>4</v>
      </c>
      <c r="M1578" s="2" t="n"/>
      <c r="N1578" s="7" t="n">
        <v>0.25</v>
      </c>
      <c r="O1578" s="4" t="n"/>
      <c r="P1578" s="2" t="inlineStr">
        <is>
          <t>45233220</t>
        </is>
      </c>
      <c r="Q1578" s="8" t="inlineStr">
        <is>
          <t>Ver</t>
        </is>
      </c>
      <c r="R1578" s="8" t="inlineStr">
        <is>
          <t>PCAP</t>
        </is>
      </c>
      <c r="S1578" s="9" t="n">
        <v>46310</v>
      </c>
      <c r="T1578" s="3" t="n">
        <v>46309.5358912037</v>
      </c>
      <c r="U1578" s="2" t="n"/>
    </row>
    <row r="1579">
      <c r="A1579" s="2" t="inlineStr">
        <is>
          <t>Resuelta</t>
        </is>
      </c>
      <c r="B1579" s="3" t="n">
        <v>46076.99930555555</v>
      </c>
      <c r="C1579" s="5" t="n">
        <v>220661.16</v>
      </c>
      <c r="D1579" s="5" t="n">
        <v>220661.16</v>
      </c>
      <c r="E1579" s="2" t="inlineStr">
        <is>
          <t>Comunitat Valenciana</t>
        </is>
      </c>
      <c r="F1579" s="2" t="inlineStr">
        <is>
          <t>Valencia</t>
        </is>
      </c>
      <c r="G1579" s="2" t="n"/>
      <c r="H1579" s="2" t="inlineStr">
        <is>
          <t>Junta de Gobierno del Ayuntamiento de Paiporta</t>
        </is>
      </c>
      <c r="I1579"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1579" s="2" t="inlineStr">
        <is>
          <t>2582938P</t>
        </is>
      </c>
      <c r="K1579" s="2" t="inlineStr">
        <is>
          <t>Abierto simplificado</t>
        </is>
      </c>
      <c r="L1579" s="6" t="n">
        <v>2</v>
      </c>
      <c r="M1579" s="2" t="n"/>
      <c r="N1579" s="7" t="n">
        <v>0</v>
      </c>
      <c r="O1579" s="4" t="n"/>
      <c r="P1579" s="2" t="inlineStr">
        <is>
          <t>45233161; 45233294; 45111000; 45233270; 45233221; 45233222; 45233293; 45233251</t>
        </is>
      </c>
      <c r="Q1579" s="8" t="inlineStr">
        <is>
          <t>Ver</t>
        </is>
      </c>
      <c r="R1579" s="8" t="inlineStr">
        <is>
          <t>PCAP</t>
        </is>
      </c>
      <c r="S1579" s="9" t="n">
        <v>46310</v>
      </c>
      <c r="T1579" s="3" t="n">
        <v>46309.53554398148</v>
      </c>
      <c r="U1579" s="2" t="n"/>
    </row>
    <row r="1580">
      <c r="A1580" s="2" t="inlineStr">
        <is>
          <t>En plazo</t>
        </is>
      </c>
      <c r="B1580" s="3" t="n">
        <v>46329.99930555555</v>
      </c>
      <c r="C1580" s="5" t="n">
        <v>564012.4</v>
      </c>
      <c r="D1580" s="5" t="n">
        <v>564012.4</v>
      </c>
      <c r="E1580" s="2" t="inlineStr">
        <is>
          <t>Comunitat Valenciana</t>
        </is>
      </c>
      <c r="F1580" s="2" t="n"/>
      <c r="G1580" s="2" t="inlineStr">
        <is>
          <t>Oliva</t>
        </is>
      </c>
      <c r="H1580" s="2" t="inlineStr">
        <is>
          <t>Concejal de Contratación del Ayuntamiento de Oliva</t>
        </is>
      </c>
      <c r="I1580" s="2" t="inlineStr">
        <is>
          <t>Mejora de la accesibilidad en espacios públicos y renovación de la red de abastecimiento de agua potable</t>
        </is>
      </c>
      <c r="J1580" s="2" t="inlineStr">
        <is>
          <t>15056/2026</t>
        </is>
      </c>
      <c r="K1580" s="2" t="inlineStr">
        <is>
          <t>Abierto simplificado</t>
        </is>
      </c>
      <c r="L1580" s="6" t="n">
        <v>5</v>
      </c>
      <c r="M1580" s="2" t="n"/>
      <c r="N1580" s="7" t="n">
        <v>0</v>
      </c>
      <c r="O1580" s="4" t="n"/>
      <c r="P1580" s="2" t="inlineStr">
        <is>
          <t>45200000</t>
        </is>
      </c>
      <c r="Q1580" s="8" t="inlineStr">
        <is>
          <t>Ver</t>
        </is>
      </c>
      <c r="R1580" s="8" t="inlineStr">
        <is>
          <t>PCAP</t>
        </is>
      </c>
      <c r="S1580" s="9" t="n">
        <v>46310</v>
      </c>
      <c r="T1580" s="3" t="n">
        <v>46309.53194444445</v>
      </c>
      <c r="U1580" s="2" t="n"/>
    </row>
    <row r="1581">
      <c r="A1581" s="2" t="inlineStr">
        <is>
          <t>Adjudicada</t>
        </is>
      </c>
      <c r="B1581" s="3" t="n">
        <v>46157.83333333334</v>
      </c>
      <c r="C1581" s="5" t="n">
        <v>823639.89</v>
      </c>
      <c r="D1581" s="5" t="n">
        <v>823639.89</v>
      </c>
      <c r="E1581" s="2" t="inlineStr">
        <is>
          <t>Andalucía</t>
        </is>
      </c>
      <c r="F1581" s="2" t="inlineStr">
        <is>
          <t>Málaga</t>
        </is>
      </c>
      <c r="G1581" s="2" t="n"/>
      <c r="H1581" s="2" t="inlineStr">
        <is>
          <t>Consejería delegada de ACOSOL, S.A.U.</t>
        </is>
      </c>
      <c r="I1581" s="2" t="inlineStr">
        <is>
          <t>Contratación del proyecto constructivo y la ejecución de las obras de las instalaciones de almacenamiento de productos químicos (APQ) y de protección contra incendios (PCI) de la ETAP de Río Verde, T.M de Marbella</t>
        </is>
      </c>
      <c r="J1581" s="2" t="inlineStr">
        <is>
          <t>27-26</t>
        </is>
      </c>
      <c r="K1581" s="2" t="inlineStr">
        <is>
          <t>Abierto</t>
        </is>
      </c>
      <c r="L1581" s="6" t="n">
        <v>8</v>
      </c>
      <c r="M1581" s="2" t="inlineStr">
        <is>
          <t>E1-6</t>
        </is>
      </c>
      <c r="N1581" s="7" t="n">
        <v>0.49</v>
      </c>
      <c r="O1581" s="4" t="n"/>
      <c r="P1581" s="2" t="inlineStr">
        <is>
          <t>45213200; 71200000; 45210000</t>
        </is>
      </c>
      <c r="Q1581" s="8" t="inlineStr">
        <is>
          <t>Ver</t>
        </is>
      </c>
      <c r="R1581" s="8" t="inlineStr">
        <is>
          <t>PCAP</t>
        </is>
      </c>
      <c r="S1581" s="9" t="n">
        <v>46310</v>
      </c>
      <c r="T1581" s="3" t="n">
        <v>46309.53013888889</v>
      </c>
      <c r="U1581" s="2" t="n"/>
    </row>
    <row r="1582">
      <c r="A1582" s="2" t="inlineStr">
        <is>
          <t>Pendiente de adjudicación</t>
        </is>
      </c>
      <c r="B1582" s="3" t="n">
        <v>46294.75</v>
      </c>
      <c r="C1582" s="5" t="n">
        <v>64420.77</v>
      </c>
      <c r="D1582" s="5" t="n">
        <v>66420.77</v>
      </c>
      <c r="E1582" s="2" t="inlineStr">
        <is>
          <t>Comunitat Valenciana</t>
        </is>
      </c>
      <c r="F1582" s="2" t="inlineStr">
        <is>
          <t>Alicante</t>
        </is>
      </c>
      <c r="G1582" s="2" t="inlineStr">
        <is>
          <t>Alicante (Alacant)</t>
        </is>
      </c>
      <c r="H1582" s="2" t="inlineStr">
        <is>
          <t>Junta de Gobierno del Ayuntamiento de Santa Pola</t>
        </is>
      </c>
      <c r="I1582" s="2" t="inlineStr">
        <is>
          <t>Licitación para las obras de rehabilitación de la cubierta del Pabellón Virgen de Loreto</t>
        </is>
      </c>
      <c r="J1582" s="2" t="inlineStr">
        <is>
          <t>13646/2026</t>
        </is>
      </c>
      <c r="K1582" s="2" t="inlineStr">
        <is>
          <t>Abierto simplificado</t>
        </is>
      </c>
      <c r="L1582" s="6" t="n">
        <v>2</v>
      </c>
      <c r="M1582" s="2" t="n"/>
      <c r="N1582" s="7" t="n">
        <v>0.4</v>
      </c>
      <c r="O1582" s="4" t="n"/>
      <c r="P1582" s="2" t="inlineStr">
        <is>
          <t>45261000; 45261900; 45261300; 45261310; 45261420; 45261410</t>
        </is>
      </c>
      <c r="Q1582" s="8" t="inlineStr">
        <is>
          <t>Ver</t>
        </is>
      </c>
      <c r="R1582" s="8" t="inlineStr">
        <is>
          <t>PCAP</t>
        </is>
      </c>
      <c r="S1582" s="9" t="n">
        <v>46310</v>
      </c>
      <c r="T1582" s="3" t="n">
        <v>46309.53</v>
      </c>
      <c r="U1582" s="2" t="n"/>
    </row>
    <row r="1583">
      <c r="A1583" s="2" t="inlineStr">
        <is>
          <t>Pendiente de adjudicación</t>
        </is>
      </c>
      <c r="B1583" s="3" t="n">
        <v>46308.58333333334</v>
      </c>
      <c r="C1583" s="5" t="n">
        <v>45059.74</v>
      </c>
      <c r="D1583" s="5" t="n">
        <v>54071.69</v>
      </c>
      <c r="E1583" s="2" t="inlineStr">
        <is>
          <t>Comunitat Valenciana</t>
        </is>
      </c>
      <c r="F1583" s="2" t="inlineStr">
        <is>
          <t>Valencia</t>
        </is>
      </c>
      <c r="G1583" s="2" t="n"/>
      <c r="H1583" s="2" t="inlineStr">
        <is>
          <t>Dirección General de la Ciudad de las Artes y de las Ciencias S.A.</t>
        </is>
      </c>
      <c r="I1583" s="2" t="inlineStr">
        <is>
          <t>Contratación de la ejecución de las obras de cableado de comunicaciones, adecuación del centro de proceso de datos en Museo de las Ciencias y tendido de fibra óptica hasta cpd Oceanogràfic</t>
        </is>
      </c>
      <c r="J1583" s="2" t="inlineStr">
        <is>
          <t>0076-26</t>
        </is>
      </c>
      <c r="K1583" s="2" t="inlineStr">
        <is>
          <t>Restringido</t>
        </is>
      </c>
      <c r="L1583" s="6" t="n">
        <v>1.5</v>
      </c>
      <c r="M1583" s="2" t="n"/>
      <c r="N1583" s="7" t="n">
        <v>0.45</v>
      </c>
      <c r="O1583" s="4" t="n">
        <v>1</v>
      </c>
      <c r="P1583" s="2" t="inlineStr">
        <is>
          <t>45314320</t>
        </is>
      </c>
      <c r="Q1583" s="8" t="inlineStr">
        <is>
          <t>Ver</t>
        </is>
      </c>
      <c r="R1583" s="8" t="inlineStr">
        <is>
          <t>PCAP</t>
        </is>
      </c>
      <c r="S1583" s="9" t="n">
        <v>46310</v>
      </c>
      <c r="T1583" s="3" t="n">
        <v>46309.5284375</v>
      </c>
      <c r="U1583" s="2" t="n"/>
    </row>
    <row r="1584">
      <c r="A1584" s="2" t="inlineStr">
        <is>
          <t>Resuelta</t>
        </is>
      </c>
      <c r="B1584" s="3" t="n">
        <v>46216.99930555555</v>
      </c>
      <c r="C1584" s="5" t="n">
        <v>326811.56</v>
      </c>
      <c r="D1584" s="5" t="n">
        <v>326811.56</v>
      </c>
      <c r="E1584" s="2" t="inlineStr">
        <is>
          <t>Andalucía</t>
        </is>
      </c>
      <c r="F1584" s="2" t="inlineStr">
        <is>
          <t>Córdoba</t>
        </is>
      </c>
      <c r="G1584" s="2" t="n"/>
      <c r="H1584" s="2" t="inlineStr">
        <is>
          <t>Junta de Gobierno de la Diputación Provincial de Córdoba</t>
        </is>
      </c>
      <c r="I1584" s="2" t="inlineStr">
        <is>
          <t>Contratación de la obra Remodelación de la Plaza de Andalucía y su entorno, en Villaviciosa de Córdoba, obra incluida en los Planes Provinciales de Obras y Servicios 2024-2027 (bienio 2026-2027).</t>
        </is>
      </c>
      <c r="J1584" s="2" t="inlineStr">
        <is>
          <t>443/26</t>
        </is>
      </c>
      <c r="K1584" s="2" t="inlineStr">
        <is>
          <t>Abierto</t>
        </is>
      </c>
      <c r="L1584" s="6" t="n">
        <v>10</v>
      </c>
      <c r="M1584" s="2" t="n"/>
      <c r="N1584" s="7" t="n">
        <v>0.25</v>
      </c>
      <c r="O1584" s="4" t="n"/>
      <c r="P1584" s="2" t="inlineStr">
        <is>
          <t>45233252; 45233200</t>
        </is>
      </c>
      <c r="Q1584" s="8" t="inlineStr">
        <is>
          <t>Ver</t>
        </is>
      </c>
      <c r="R1584" s="8" t="inlineStr">
        <is>
          <t>PCAP</t>
        </is>
      </c>
      <c r="S1584" s="9" t="n">
        <v>46310</v>
      </c>
      <c r="T1584" s="3" t="n">
        <v>46309.52806712963</v>
      </c>
      <c r="U1584" s="2" t="n"/>
    </row>
    <row r="1585">
      <c r="A1585" s="2" t="inlineStr">
        <is>
          <t>Resuelta</t>
        </is>
      </c>
      <c r="B1585" s="3" t="n">
        <v>46272.58333333334</v>
      </c>
      <c r="C1585" s="5" t="n">
        <v>121309.02</v>
      </c>
      <c r="D1585" s="5" t="n">
        <v>121309.02</v>
      </c>
      <c r="E1585" s="2" t="inlineStr">
        <is>
          <t>Andalucía</t>
        </is>
      </c>
      <c r="F1585" s="2" t="inlineStr">
        <is>
          <t>Córdoba</t>
        </is>
      </c>
      <c r="G1585" s="2" t="inlineStr">
        <is>
          <t>Hinojosa del Duque</t>
        </is>
      </c>
      <c r="H1585" s="2" t="inlineStr">
        <is>
          <t>Alcaldía del Ayuntamiento de Hinojosa del Duque</t>
        </is>
      </c>
      <c r="I1585" s="2" t="inlineStr">
        <is>
          <t>Realización de las obras necesarias para la renovación del alumbrado ornamental y monumental de la Plaza de la Catedral de Hinojosa del Duque y de los edificios históricos asociados al ámbito de actuación</t>
        </is>
      </c>
      <c r="J1585" s="2" t="inlineStr">
        <is>
          <t>GEX 2640/2026</t>
        </is>
      </c>
      <c r="K1585" s="2" t="inlineStr">
        <is>
          <t>Abierto simplificado</t>
        </is>
      </c>
      <c r="L1585" s="6" t="n">
        <v>1</v>
      </c>
      <c r="M1585" s="2" t="n"/>
      <c r="N1585" s="7" t="n">
        <v>0</v>
      </c>
      <c r="O1585" s="4" t="n"/>
      <c r="P1585" s="2" t="inlineStr">
        <is>
          <t>45310000; 45316100</t>
        </is>
      </c>
      <c r="Q1585" s="8" t="inlineStr">
        <is>
          <t>Ver</t>
        </is>
      </c>
      <c r="R1585" s="8" t="inlineStr">
        <is>
          <t>PCAP</t>
        </is>
      </c>
      <c r="S1585" s="9" t="n">
        <v>46310</v>
      </c>
      <c r="T1585" s="3" t="n">
        <v>46309.52577546296</v>
      </c>
      <c r="U1585" s="2" t="n"/>
    </row>
    <row r="1586">
      <c r="A1586" s="2" t="inlineStr">
        <is>
          <t>Pendiente de adjudicación</t>
        </is>
      </c>
      <c r="B1586" s="3" t="n">
        <v>46202.58263888889</v>
      </c>
      <c r="C1586" s="5" t="n">
        <v>1776382.99</v>
      </c>
      <c r="D1586" s="5" t="n">
        <v>1776382.99</v>
      </c>
      <c r="E1586" s="2" t="inlineStr">
        <is>
          <t>Comunitat Valenciana</t>
        </is>
      </c>
      <c r="F1586" s="2" t="inlineStr">
        <is>
          <t>Valencia</t>
        </is>
      </c>
      <c r="G1586" s="2" t="n"/>
      <c r="H1586" s="2" t="inlineStr">
        <is>
          <t>Vicepresidente Tercero y Conseller de Medio Ambiente, Infraestructuras, Territorio y de la Recuperación</t>
        </is>
      </c>
      <c r="I1586" s="2" t="inlineStr">
        <is>
          <t>Nuevo itinerario ciclo-peatonal entre Xilxes y la playa de Xilxes (Castellón)</t>
        </is>
      </c>
      <c r="J1586" s="2" t="inlineStr">
        <is>
          <t>CMAYOR/2022/03Y05/134</t>
        </is>
      </c>
      <c r="K1586" s="2" t="inlineStr">
        <is>
          <t>Abierto</t>
        </is>
      </c>
      <c r="L1586" s="6" t="n">
        <v>12</v>
      </c>
      <c r="M1586" s="2" t="inlineStr">
        <is>
          <t>G4-4</t>
        </is>
      </c>
      <c r="N1586" s="7" t="n">
        <v>0.4</v>
      </c>
      <c r="O1586" s="4" t="n"/>
      <c r="P1586" s="2" t="inlineStr">
        <is>
          <t>45233162</t>
        </is>
      </c>
      <c r="Q1586" s="8" t="inlineStr">
        <is>
          <t>Ver</t>
        </is>
      </c>
      <c r="R1586" s="8" t="inlineStr">
        <is>
          <t>PCAP</t>
        </is>
      </c>
      <c r="S1586" s="9" t="n">
        <v>46310</v>
      </c>
      <c r="T1586" s="3" t="n">
        <v>46309.52369212963</v>
      </c>
      <c r="U1586" s="2" t="n"/>
    </row>
    <row r="1587">
      <c r="A1587" s="2" t="inlineStr">
        <is>
          <t>Resuelta</t>
        </is>
      </c>
      <c r="B1587" s="3" t="n">
        <v>46107.99930555555</v>
      </c>
      <c r="C1587" s="5" t="n">
        <v>1937847.78</v>
      </c>
      <c r="D1587" s="5" t="n">
        <v>1937847.78</v>
      </c>
      <c r="E1587" s="2" t="inlineStr">
        <is>
          <t>Comunitat Valenciana</t>
        </is>
      </c>
      <c r="F1587" s="2" t="inlineStr">
        <is>
          <t>Alicante</t>
        </is>
      </c>
      <c r="G1587" s="2" t="n"/>
      <c r="H1587" s="2" t="inlineStr">
        <is>
          <t>Junta de Gobierno del Ayuntamiento de Orihuela</t>
        </is>
      </c>
      <c r="I1587" s="2" t="inlineStr">
        <is>
          <t>Ejecución del proyecto de nuevo depósito en complejo El Canal en Orihuela costa (Alicante)</t>
        </is>
      </c>
      <c r="J1587" s="2" t="inlineStr">
        <is>
          <t>24110/2024</t>
        </is>
      </c>
      <c r="K1587" s="2" t="inlineStr">
        <is>
          <t>Abierto simplificado</t>
        </is>
      </c>
      <c r="L1587" s="6" t="n">
        <v>8</v>
      </c>
      <c r="M1587" s="2" t="inlineStr">
        <is>
          <t>E1-4</t>
        </is>
      </c>
      <c r="N1587" s="7" t="n">
        <v>0</v>
      </c>
      <c r="O1587" s="4" t="n"/>
      <c r="P1587" s="2" t="inlineStr">
        <is>
          <t>45000000; 45232150; 45220000; 45232000; 43328000; 45240000</t>
        </is>
      </c>
      <c r="Q1587" s="8" t="inlineStr">
        <is>
          <t>Ver</t>
        </is>
      </c>
      <c r="R1587" s="8" t="inlineStr">
        <is>
          <t>PCAP</t>
        </is>
      </c>
      <c r="S1587" s="9" t="n">
        <v>46310</v>
      </c>
      <c r="T1587" s="3" t="n">
        <v>46309.51763888889</v>
      </c>
      <c r="U1587" s="2" t="n"/>
    </row>
    <row r="1588">
      <c r="A1588" s="2" t="inlineStr">
        <is>
          <t>Pendiente de adjudicación</t>
        </is>
      </c>
      <c r="B1588" s="3" t="n">
        <v>46083.58333333334</v>
      </c>
      <c r="C1588" s="5" t="n">
        <v>5138402.04</v>
      </c>
      <c r="D1588" s="5" t="n">
        <v>5138402.04</v>
      </c>
      <c r="E1588" s="2" t="inlineStr">
        <is>
          <t>Andalucía</t>
        </is>
      </c>
      <c r="F1588" s="2" t="inlineStr">
        <is>
          <t>Sevilla</t>
        </is>
      </c>
      <c r="G1588" s="2" t="n"/>
      <c r="H1588" s="2" t="inlineStr">
        <is>
          <t>Empresa de Transformación Agraria S.A.,S.M.E., M.P., (TRAGSA)</t>
        </is>
      </c>
      <c r="I1588"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1588" s="2" t="inlineStr">
        <is>
          <t>TSA0082730</t>
        </is>
      </c>
      <c r="K1588" s="2" t="inlineStr">
        <is>
          <t>Abierto</t>
        </is>
      </c>
      <c r="L1588" s="6" t="n">
        <v>5</v>
      </c>
      <c r="M1588" s="2" t="inlineStr">
        <is>
          <t>I5-4</t>
        </is>
      </c>
      <c r="N1588" s="7" t="n">
        <v>0</v>
      </c>
      <c r="O1588" s="4" t="n"/>
      <c r="P1588" s="2" t="inlineStr">
        <is>
          <t>45231400</t>
        </is>
      </c>
      <c r="Q1588" s="8" t="inlineStr">
        <is>
          <t>Ver</t>
        </is>
      </c>
      <c r="R1588" s="8" t="inlineStr">
        <is>
          <t>PCAP</t>
        </is>
      </c>
      <c r="S1588" s="9" t="n">
        <v>46310</v>
      </c>
      <c r="T1588" s="3" t="n">
        <v>46309.51635416667</v>
      </c>
      <c r="U1588" s="2" t="n"/>
    </row>
    <row r="1589">
      <c r="A1589" s="2" t="inlineStr">
        <is>
          <t>Resuelta</t>
        </is>
      </c>
      <c r="B1589" s="3" t="n">
        <v>46029.75</v>
      </c>
      <c r="C1589" s="5" t="n">
        <v>69031.34</v>
      </c>
      <c r="D1589" s="5" t="n">
        <v>69031.34</v>
      </c>
      <c r="E1589" s="2" t="inlineStr">
        <is>
          <t>Andalucía</t>
        </is>
      </c>
      <c r="F1589" s="2" t="inlineStr">
        <is>
          <t>Cádiz</t>
        </is>
      </c>
      <c r="G1589" s="2" t="inlineStr">
        <is>
          <t>Conil de la Frontera</t>
        </is>
      </c>
      <c r="H1589" s="2" t="inlineStr">
        <is>
          <t>Alcaldia del Ayuntamiento de Conil de la Frontera</t>
        </is>
      </c>
      <c r="I1589" s="2" t="inlineStr">
        <is>
          <t>Obras de Rehabilitación de cubierta y pintado de fachada casa de La Cultura en Conil de la Frontera</t>
        </is>
      </c>
      <c r="J1589" s="2" t="inlineStr">
        <is>
          <t>9307/2025</t>
        </is>
      </c>
      <c r="K1589" s="2" t="inlineStr">
        <is>
          <t>Abierto simplificado</t>
        </is>
      </c>
      <c r="L1589" s="6" t="n">
        <v>3</v>
      </c>
      <c r="M1589" s="2" t="inlineStr">
        <is>
          <t>K4-1</t>
        </is>
      </c>
      <c r="N1589" s="7" t="n">
        <v>0</v>
      </c>
      <c r="O1589" s="4" t="n"/>
      <c r="P1589" s="2" t="inlineStr">
        <is>
          <t>45261200; 45261420; 45261410; 45442110; 45442100; 45261400; 45261210; 45261220; 45261221</t>
        </is>
      </c>
      <c r="Q1589" s="8" t="inlineStr">
        <is>
          <t>Ver</t>
        </is>
      </c>
      <c r="R1589" s="8" t="inlineStr">
        <is>
          <t>PCAP</t>
        </is>
      </c>
      <c r="S1589" s="9" t="n">
        <v>46310</v>
      </c>
      <c r="T1589" s="3" t="n">
        <v>46309.51241898148</v>
      </c>
      <c r="U1589" s="2" t="n"/>
    </row>
    <row r="1590">
      <c r="A1590" s="2" t="inlineStr">
        <is>
          <t>Adjudicada</t>
        </is>
      </c>
      <c r="B1590" s="3" t="n">
        <v>46304.99930555555</v>
      </c>
      <c r="C1590" s="5" t="n">
        <v>41322.31</v>
      </c>
      <c r="D1590" s="5" t="n">
        <v>41322.31</v>
      </c>
      <c r="E1590" s="2" t="inlineStr">
        <is>
          <t>Andalucía</t>
        </is>
      </c>
      <c r="F1590" s="2" t="inlineStr">
        <is>
          <t>Cádiz</t>
        </is>
      </c>
      <c r="G1590" s="2" t="inlineStr">
        <is>
          <t>Algodonales</t>
        </is>
      </c>
      <c r="H1590" s="2" t="inlineStr">
        <is>
          <t>Alcaldía del Ayuntamiento de Algodonales</t>
        </is>
      </c>
      <c r="I1590" s="2" t="inlineStr">
        <is>
          <t>Se trata de la creación de Acerado Publico en la calle Fuenta Alta</t>
        </is>
      </c>
      <c r="J1590" s="2" t="inlineStr">
        <is>
          <t>2026_11005_COAS_00001</t>
        </is>
      </c>
      <c r="K1590" s="2" t="inlineStr">
        <is>
          <t>Abierto simplificado</t>
        </is>
      </c>
      <c r="L1590" s="6" t="n">
        <v>6</v>
      </c>
      <c r="M1590" s="2" t="n"/>
      <c r="N1590" s="7" t="n">
        <v>0</v>
      </c>
      <c r="O1590" s="4" t="n"/>
      <c r="P1590" s="2" t="inlineStr">
        <is>
          <t>45000000</t>
        </is>
      </c>
      <c r="Q1590" s="8" t="inlineStr">
        <is>
          <t>Ver</t>
        </is>
      </c>
      <c r="R1590" s="8" t="inlineStr">
        <is>
          <t>PCAP</t>
        </is>
      </c>
      <c r="S1590" s="9" t="n">
        <v>46310</v>
      </c>
      <c r="T1590" s="3" t="n">
        <v>46309.51239583334</v>
      </c>
      <c r="U1590" s="2" t="n"/>
    </row>
    <row r="1591">
      <c r="A1591" s="2" t="inlineStr">
        <is>
          <t>Pendiente de adjudicación</t>
        </is>
      </c>
      <c r="B1591" s="3" t="n">
        <v>46304.99930555555</v>
      </c>
      <c r="C1591" s="5" t="n">
        <v>1954072.38</v>
      </c>
      <c r="D1591" s="5" t="n">
        <v>1954072.38</v>
      </c>
      <c r="E1591" s="2" t="inlineStr">
        <is>
          <t>Andalucía</t>
        </is>
      </c>
      <c r="F1591" s="2" t="inlineStr">
        <is>
          <t>Málaga</t>
        </is>
      </c>
      <c r="G1591" s="2" t="inlineStr">
        <is>
          <t>Marbella (Málaga).</t>
        </is>
      </c>
      <c r="H1591" s="2" t="inlineStr">
        <is>
          <t>Consejería delegada de ACOSOL, S.A.U.</t>
        </is>
      </c>
      <c r="I1591" s="2" t="inlineStr">
        <is>
          <t>Contratación de la Obra de Dotación de Infraestructuras Hidráulicas a Urb. RICMAR, T.M. Marbella</t>
        </is>
      </c>
      <c r="J1591" s="2" t="inlineStr">
        <is>
          <t>73-26 (5390)</t>
        </is>
      </c>
      <c r="K1591" s="2" t="inlineStr">
        <is>
          <t>Abierto</t>
        </is>
      </c>
      <c r="L1591" s="6" t="n">
        <v>8</v>
      </c>
      <c r="M1591" s="2" t="n"/>
      <c r="N1591" s="7" t="n">
        <v>0.49</v>
      </c>
      <c r="O1591" s="4" t="n"/>
      <c r="P1591" s="2" t="inlineStr">
        <is>
          <t>45231300; 45000000</t>
        </is>
      </c>
      <c r="Q1591" s="8" t="inlineStr">
        <is>
          <t>Ver</t>
        </is>
      </c>
      <c r="R1591" s="8" t="inlineStr">
        <is>
          <t>PCAP</t>
        </is>
      </c>
      <c r="S1591" s="9" t="n">
        <v>46310</v>
      </c>
      <c r="T1591" s="3" t="n">
        <v>46309.5120949074</v>
      </c>
      <c r="U1591" s="2" t="n"/>
    </row>
    <row r="1592">
      <c r="A1592" s="2" t="inlineStr">
        <is>
          <t>Pendiente de adjudicación</t>
        </is>
      </c>
      <c r="B1592" s="3" t="n">
        <v>46230.99930555555</v>
      </c>
      <c r="C1592" s="5" t="n">
        <v>443565.99</v>
      </c>
      <c r="D1592" s="5" t="n">
        <v>443565.99</v>
      </c>
      <c r="E1592" s="2" t="inlineStr">
        <is>
          <t>Andalucía</t>
        </is>
      </c>
      <c r="F1592" s="2" t="inlineStr">
        <is>
          <t>Granada</t>
        </is>
      </c>
      <c r="G1592" s="2" t="inlineStr">
        <is>
          <t>Armilla</t>
        </is>
      </c>
      <c r="H1592" s="2" t="inlineStr">
        <is>
          <t>Junta de Gobierno del Ayuntamiento de Armilla</t>
        </is>
      </c>
      <c r="I1592" s="2" t="inlineStr">
        <is>
          <t>Ejecución de Obras de Sustitución de la iluminación en el Complejo Deportivo "Rafael Machado Villar" de Armilla (Granada)</t>
        </is>
      </c>
      <c r="J1592" s="2" t="inlineStr">
        <is>
          <t>2026-7548</t>
        </is>
      </c>
      <c r="K1592" s="2" t="inlineStr">
        <is>
          <t>Abierto simplificado</t>
        </is>
      </c>
      <c r="L1592" s="6" t="n">
        <v>2.8</v>
      </c>
      <c r="M1592" s="2" t="n"/>
      <c r="N1592" s="7" t="n">
        <v>0</v>
      </c>
      <c r="O1592" s="4" t="n"/>
      <c r="P1592" s="2" t="inlineStr">
        <is>
          <t>45316000; 31520000; 31500000; 31527200; 31681410</t>
        </is>
      </c>
      <c r="Q1592" s="8" t="inlineStr">
        <is>
          <t>Ver</t>
        </is>
      </c>
      <c r="R1592" s="8" t="inlineStr">
        <is>
          <t>PCAP</t>
        </is>
      </c>
      <c r="S1592" s="9" t="n">
        <v>46310</v>
      </c>
      <c r="T1592" s="3" t="n">
        <v>46309.51179398148</v>
      </c>
      <c r="U1592" s="2" t="n"/>
    </row>
    <row r="1593">
      <c r="A1593" s="2" t="inlineStr">
        <is>
          <t>Resuelta</t>
        </is>
      </c>
      <c r="B1593" s="3" t="n">
        <v>46248.99930555555</v>
      </c>
      <c r="C1593" s="5" t="n">
        <v>29482.66</v>
      </c>
      <c r="D1593" s="5" t="n">
        <v>29482.66</v>
      </c>
      <c r="E1593" s="2" t="inlineStr">
        <is>
          <t>Andalucía</t>
        </is>
      </c>
      <c r="F1593" s="2" t="inlineStr">
        <is>
          <t>Cádiz</t>
        </is>
      </c>
      <c r="G1593" s="2" t="inlineStr">
        <is>
          <t>Medina Sidonia</t>
        </is>
      </c>
      <c r="H1593" s="2" t="inlineStr">
        <is>
          <t>Consejería Delegada de Medina Global S.L.</t>
        </is>
      </c>
      <c r="I1593" s="2" t="inlineStr">
        <is>
          <t>Fabricación, suministro y colocación de estructura metálica para cubierta a cuatro aguas.</t>
        </is>
      </c>
      <c r="J1593" s="2" t="inlineStr">
        <is>
          <t>1.61M ESTRUCTURA METALICA 4 AGUAS</t>
        </is>
      </c>
      <c r="K1593" s="2" t="inlineStr">
        <is>
          <t>Abierto simplificado</t>
        </is>
      </c>
      <c r="L1593" s="6" t="n">
        <v>1</v>
      </c>
      <c r="M1593" s="2" t="n"/>
      <c r="N1593" s="7" t="n">
        <v>0</v>
      </c>
      <c r="O1593" s="4" t="n"/>
      <c r="P1593" s="2" t="inlineStr">
        <is>
          <t>45262410; 45262420</t>
        </is>
      </c>
      <c r="Q1593" s="8" t="inlineStr">
        <is>
          <t>Ver</t>
        </is>
      </c>
      <c r="R1593" s="8" t="inlineStr">
        <is>
          <t>PCAP</t>
        </is>
      </c>
      <c r="S1593" s="9" t="n">
        <v>46310</v>
      </c>
      <c r="T1593" s="3" t="n">
        <v>46309.50774305555</v>
      </c>
      <c r="U1593" s="2" t="n"/>
    </row>
    <row r="1594">
      <c r="A1594" s="2" t="inlineStr">
        <is>
          <t>Pendiente de adjudicación</t>
        </is>
      </c>
      <c r="B1594" s="3" t="n">
        <v>46230.99930555555</v>
      </c>
      <c r="C1594" s="5" t="n">
        <v>326813.47</v>
      </c>
      <c r="D1594" s="5" t="n">
        <v>326813.47</v>
      </c>
      <c r="E1594" s="2" t="inlineStr">
        <is>
          <t>Andalucía</t>
        </is>
      </c>
      <c r="F1594" s="2" t="inlineStr">
        <is>
          <t>Córdoba</t>
        </is>
      </c>
      <c r="G1594" s="2" t="n"/>
      <c r="H1594" s="2" t="inlineStr">
        <is>
          <t>Junta de Gobierno del Ayuntamiento de Córdoba</t>
        </is>
      </c>
      <c r="I1594" s="2" t="inlineStr">
        <is>
          <t>Obras de remodelación en la calle de Las Lomas (2ª Fase)</t>
        </is>
      </c>
      <c r="J1594" s="2" t="inlineStr">
        <is>
          <t>2026/049</t>
        </is>
      </c>
      <c r="K1594" s="2" t="inlineStr">
        <is>
          <t>Abierto</t>
        </is>
      </c>
      <c r="L1594" s="6" t="n">
        <v>6</v>
      </c>
      <c r="M1594" s="2" t="n"/>
      <c r="N1594" s="7" t="n">
        <v>0</v>
      </c>
      <c r="O1594" s="4" t="n"/>
      <c r="P1594" s="2" t="inlineStr">
        <is>
          <t>45233252; 45233222</t>
        </is>
      </c>
      <c r="Q1594" s="8" t="inlineStr">
        <is>
          <t>Ver</t>
        </is>
      </c>
      <c r="R1594" s="8" t="inlineStr">
        <is>
          <t>PCAP</t>
        </is>
      </c>
      <c r="S1594" s="9" t="n">
        <v>46310</v>
      </c>
      <c r="T1594" s="3" t="n">
        <v>46309.50704861111</v>
      </c>
      <c r="U1594" s="2" t="n"/>
    </row>
    <row r="1595">
      <c r="A1595" s="2" t="inlineStr">
        <is>
          <t>Pendiente de adjudicación</t>
        </is>
      </c>
      <c r="B1595" s="3" t="n">
        <v>46280.99930555555</v>
      </c>
      <c r="C1595" s="5" t="n">
        <v>527001.48</v>
      </c>
      <c r="D1595" s="5" t="n">
        <v>527001.48</v>
      </c>
      <c r="E1595" s="2" t="inlineStr">
        <is>
          <t>Andalucía</t>
        </is>
      </c>
      <c r="F1595" s="2" t="inlineStr">
        <is>
          <t>Córdoba</t>
        </is>
      </c>
      <c r="G1595" s="2" t="n"/>
      <c r="H1595" s="2" t="inlineStr">
        <is>
          <t>Junta de Gobierno del Ayuntamiento de Córdoba</t>
        </is>
      </c>
      <c r="I1595" s="2" t="inlineStr">
        <is>
          <t>Obra de remodelación de la calle Rey Don Pelayo</t>
        </is>
      </c>
      <c r="J1595" s="2" t="inlineStr">
        <is>
          <t>2026/050</t>
        </is>
      </c>
      <c r="K1595" s="2" t="inlineStr">
        <is>
          <t>Abierto</t>
        </is>
      </c>
      <c r="L1595" s="6" t="n">
        <v>6</v>
      </c>
      <c r="M1595" s="2" t="inlineStr">
        <is>
          <t>G4-3</t>
        </is>
      </c>
      <c r="N1595" s="7" t="n">
        <v>0</v>
      </c>
      <c r="O1595" s="4" t="n"/>
      <c r="P1595" s="2" t="inlineStr">
        <is>
          <t>45233222</t>
        </is>
      </c>
      <c r="Q1595" s="8" t="inlineStr">
        <is>
          <t>Ver</t>
        </is>
      </c>
      <c r="R1595" s="8" t="inlineStr">
        <is>
          <t>PCAP</t>
        </is>
      </c>
      <c r="S1595" s="9" t="n">
        <v>46310</v>
      </c>
      <c r="T1595" s="3" t="n">
        <v>46309.50479166667</v>
      </c>
      <c r="U1595" s="2" t="n"/>
    </row>
    <row r="1596">
      <c r="A1596" s="2" t="inlineStr">
        <is>
          <t>Pendiente de adjudicación</t>
        </is>
      </c>
      <c r="B1596" s="3" t="n">
        <v>46303.99930555555</v>
      </c>
      <c r="C1596" s="5" t="n">
        <v>227421.11</v>
      </c>
      <c r="D1596" s="5" t="n">
        <v>227421.11</v>
      </c>
      <c r="E1596" s="2" t="inlineStr">
        <is>
          <t>Andalucía</t>
        </is>
      </c>
      <c r="F1596" s="2" t="inlineStr">
        <is>
          <t>Almería</t>
        </is>
      </c>
      <c r="G1596" s="2" t="inlineStr">
        <is>
          <t>Viator</t>
        </is>
      </c>
      <c r="H1596" s="2" t="inlineStr">
        <is>
          <t>Junta De Gobierno Local del Ayuntamiento de Viator</t>
        </is>
      </c>
      <c r="I1596" s="2" t="inlineStr">
        <is>
          <t>Obras de mejora de dotaciones recreativas en la Ciudad Deportiva de Viator</t>
        </is>
      </c>
      <c r="J1596" s="2" t="inlineStr">
        <is>
          <t>855/2026</t>
        </is>
      </c>
      <c r="K1596" s="2" t="inlineStr">
        <is>
          <t>Abierto simplificado</t>
        </is>
      </c>
      <c r="L1596" s="6" t="n">
        <v>4</v>
      </c>
      <c r="M1596" s="2" t="n"/>
      <c r="N1596" s="7" t="n">
        <v>0.2</v>
      </c>
      <c r="O1596" s="4" t="n"/>
      <c r="P1596" s="2" t="inlineStr">
        <is>
          <t>45212200</t>
        </is>
      </c>
      <c r="Q1596" s="8" t="inlineStr">
        <is>
          <t>Ver</t>
        </is>
      </c>
      <c r="R1596" s="8" t="inlineStr">
        <is>
          <t>PCAP</t>
        </is>
      </c>
      <c r="S1596" s="9" t="n">
        <v>46310</v>
      </c>
      <c r="T1596" s="3" t="n">
        <v>46309.50364583333</v>
      </c>
      <c r="U1596" s="2" t="n"/>
    </row>
    <row r="1597">
      <c r="A1597" s="2" t="inlineStr">
        <is>
          <t>Resuelta</t>
        </is>
      </c>
      <c r="B1597" s="3" t="n">
        <v>46296.375</v>
      </c>
      <c r="C1597" s="5" t="n">
        <v>38906.26</v>
      </c>
      <c r="D1597" s="5" t="n">
        <v>38906.26</v>
      </c>
      <c r="E1597" s="2" t="inlineStr">
        <is>
          <t>Andalucía</t>
        </is>
      </c>
      <c r="F1597" s="2" t="inlineStr">
        <is>
          <t>Cádiz</t>
        </is>
      </c>
      <c r="G1597" s="2" t="n"/>
      <c r="H1597" s="2" t="inlineStr">
        <is>
          <t>Intendente de San Fernando</t>
        </is>
      </c>
      <c r="I1597" s="2" t="inlineStr">
        <is>
          <t>INFRA26-061 CB Resanado y reparación de la puerta de acceso al helipuerto de la PMSC. Lote 7</t>
        </is>
      </c>
      <c r="J1597" s="2" t="inlineStr">
        <is>
          <t>2026/AR43U/00002529E</t>
        </is>
      </c>
      <c r="K1597" s="2" t="inlineStr">
        <is>
          <t>Abierto</t>
        </is>
      </c>
      <c r="L1597" s="6" t="n">
        <v>1.2</v>
      </c>
      <c r="M1597" s="2" t="n"/>
      <c r="N1597" s="7" t="n">
        <v>0</v>
      </c>
      <c r="O1597" s="4" t="n"/>
      <c r="P1597" s="2" t="inlineStr">
        <is>
          <t>45421160</t>
        </is>
      </c>
      <c r="Q1597" s="8" t="inlineStr">
        <is>
          <t>Ver</t>
        </is>
      </c>
      <c r="R1597" s="8" t="inlineStr">
        <is>
          <t>PCAP</t>
        </is>
      </c>
      <c r="S1597" s="9" t="n">
        <v>46310</v>
      </c>
      <c r="T1597" s="3" t="n">
        <v>46309.5032175926</v>
      </c>
      <c r="U1597" s="2" t="n"/>
    </row>
    <row r="1598">
      <c r="A1598" s="2" t="inlineStr">
        <is>
          <t>En plazo</t>
        </is>
      </c>
      <c r="B1598" s="3" t="n">
        <v>46329.99930555555</v>
      </c>
      <c r="C1598" s="5" t="n">
        <v>221400</v>
      </c>
      <c r="D1598" s="5" t="n">
        <v>221400</v>
      </c>
      <c r="E1598" s="2" t="inlineStr">
        <is>
          <t>Comunitat Valenciana</t>
        </is>
      </c>
      <c r="F1598" s="2" t="inlineStr">
        <is>
          <t>Valencia</t>
        </is>
      </c>
      <c r="G1598" s="2" t="inlineStr">
        <is>
          <t>Utiel</t>
        </is>
      </c>
      <c r="H1598" s="2" t="inlineStr">
        <is>
          <t>Alcaldía del Ayuntamiento de Utiel</t>
        </is>
      </c>
      <c r="I1598" s="2" t="inlineStr">
        <is>
          <t>Restauración del refugio antiaéreo de la Guerra Civil</t>
        </is>
      </c>
      <c r="J1598" s="2" t="inlineStr">
        <is>
          <t>366/2026</t>
        </is>
      </c>
      <c r="K1598" s="2" t="inlineStr">
        <is>
          <t>Abierto simplificado</t>
        </is>
      </c>
      <c r="L1598" s="6" t="n">
        <v>9</v>
      </c>
      <c r="M1598" s="2" t="n"/>
      <c r="N1598" s="7" t="n">
        <v>0</v>
      </c>
      <c r="O1598" s="4" t="n"/>
      <c r="P1598" s="2" t="inlineStr">
        <is>
          <t>45454100</t>
        </is>
      </c>
      <c r="Q1598" s="8" t="inlineStr">
        <is>
          <t>Ver</t>
        </is>
      </c>
      <c r="R1598" s="8" t="inlineStr">
        <is>
          <t>PCAP</t>
        </is>
      </c>
      <c r="S1598" s="9" t="n">
        <v>46310</v>
      </c>
      <c r="T1598" s="3" t="n">
        <v>46309.5012037037</v>
      </c>
      <c r="U1598" s="2" t="n"/>
    </row>
    <row r="1599">
      <c r="A1599" s="2" t="inlineStr">
        <is>
          <t>Resuelta</t>
        </is>
      </c>
      <c r="B1599" s="3" t="n">
        <v>46266.41666666666</v>
      </c>
      <c r="C1599" s="5" t="n">
        <v>153680</v>
      </c>
      <c r="D1599" s="5" t="n">
        <v>153680</v>
      </c>
      <c r="E1599" s="2" t="inlineStr">
        <is>
          <t>Andalucía</t>
        </is>
      </c>
      <c r="F1599" s="2" t="inlineStr">
        <is>
          <t>Córdoba</t>
        </is>
      </c>
      <c r="G1599" s="2" t="n"/>
      <c r="H1599" s="2" t="inlineStr">
        <is>
          <t>Empresa de Transformación Agraria S.A.,S.M.E., M.P., (TRAGSA)</t>
        </is>
      </c>
      <c r="I1599"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599" s="2" t="inlineStr">
        <is>
          <t>TSA0079529-137</t>
        </is>
      </c>
      <c r="K1599" s="2" t="inlineStr">
        <is>
          <t>Abierto</t>
        </is>
      </c>
      <c r="L1599" s="6" t="n">
        <v>12</v>
      </c>
      <c r="M1599" s="2" t="n"/>
      <c r="N1599" s="7" t="n">
        <v>0</v>
      </c>
      <c r="O1599" s="4" t="n"/>
      <c r="P1599" s="2" t="inlineStr">
        <is>
          <t>45500000</t>
        </is>
      </c>
      <c r="Q1599" s="8" t="inlineStr">
        <is>
          <t>Ver</t>
        </is>
      </c>
      <c r="R1599" s="8" t="inlineStr">
        <is>
          <t>PCAP</t>
        </is>
      </c>
      <c r="S1599" s="9" t="n">
        <v>46310</v>
      </c>
      <c r="T1599" s="3" t="n">
        <v>46309.49840277778</v>
      </c>
      <c r="U1599" s="2" t="n"/>
    </row>
    <row r="1600">
      <c r="A1600" s="2" t="inlineStr">
        <is>
          <t>Resuelta</t>
        </is>
      </c>
      <c r="B1600" s="3" t="n">
        <v>46293.375</v>
      </c>
      <c r="C1600" s="5" t="n">
        <v>39798.51</v>
      </c>
      <c r="D1600" s="5" t="n">
        <v>39798.51</v>
      </c>
      <c r="E1600" s="2" t="inlineStr">
        <is>
          <t>Andalucía</t>
        </is>
      </c>
      <c r="F1600" s="2" t="inlineStr">
        <is>
          <t>Cádiz</t>
        </is>
      </c>
      <c r="G1600" s="2" t="n"/>
      <c r="H1600" s="2" t="inlineStr">
        <is>
          <t>Intendente de San Fernando</t>
        </is>
      </c>
      <c r="I1600" s="2" t="inlineStr">
        <is>
          <t>INFRA26-061 Reparación de aseo y aulas de catequesis en la iglesia vaticana y castrense de San Francisco. Lote 7.</t>
        </is>
      </c>
      <c r="J1600" s="2" t="inlineStr">
        <is>
          <t>2026/AR43U/00002520E</t>
        </is>
      </c>
      <c r="K1600" s="2" t="inlineStr">
        <is>
          <t>Abierto</t>
        </is>
      </c>
      <c r="L1600" s="6" t="n">
        <v>2</v>
      </c>
      <c r="M1600" s="2" t="n"/>
      <c r="N1600" s="7" t="n">
        <v>0</v>
      </c>
      <c r="O1600" s="4" t="n"/>
      <c r="P1600" s="2" t="inlineStr">
        <is>
          <t>45000000</t>
        </is>
      </c>
      <c r="Q1600" s="8" t="inlineStr">
        <is>
          <t>Ver</t>
        </is>
      </c>
      <c r="R1600" s="8" t="inlineStr">
        <is>
          <t>PCAP</t>
        </is>
      </c>
      <c r="S1600" s="9" t="n">
        <v>46310</v>
      </c>
      <c r="T1600" s="3" t="n">
        <v>46309.49704861111</v>
      </c>
      <c r="U1600" s="2" t="n"/>
    </row>
    <row r="1601">
      <c r="A1601" s="2" t="inlineStr">
        <is>
          <t>En plazo</t>
        </is>
      </c>
      <c r="B1601" s="3" t="n">
        <v>46329.58333333334</v>
      </c>
      <c r="C1601" s="5" t="n">
        <v>988010.83</v>
      </c>
      <c r="D1601" s="5" t="n">
        <v>988010.83</v>
      </c>
      <c r="E1601" s="2" t="inlineStr">
        <is>
          <t>Andalucía</t>
        </is>
      </c>
      <c r="F1601" s="2" t="inlineStr">
        <is>
          <t>Sevilla</t>
        </is>
      </c>
      <c r="G1601" s="2" t="inlineStr">
        <is>
          <t>Gines</t>
        </is>
      </c>
      <c r="H1601" s="2" t="inlineStr">
        <is>
          <t>Junta de Gobierno Local del Ayuntamiento de Gines</t>
        </is>
      </c>
      <c r="I1601" s="2" t="inlineStr">
        <is>
          <t>Obras de rehabilitación y adecuación de inmueble municipal en plantas baja y sótano para aparcamiento público municipal y locales de usos culturales y sociales.</t>
        </is>
      </c>
      <c r="J1601" s="2" t="inlineStr">
        <is>
          <t>6859/2026</t>
        </is>
      </c>
      <c r="K1601" s="2" t="inlineStr">
        <is>
          <t>Abierto simplificado</t>
        </is>
      </c>
      <c r="L1601" s="6" t="n">
        <v>6</v>
      </c>
      <c r="M1601" s="2" t="inlineStr">
        <is>
          <t>C*-2</t>
        </is>
      </c>
      <c r="N1601" s="7" t="n">
        <v>0.25</v>
      </c>
      <c r="O1601" s="4" t="n"/>
      <c r="P1601" s="2" t="inlineStr">
        <is>
          <t>45453100; 45313100; 45331210</t>
        </is>
      </c>
      <c r="Q1601" s="8" t="inlineStr">
        <is>
          <t>Ver</t>
        </is>
      </c>
      <c r="R1601" s="8" t="inlineStr">
        <is>
          <t>PCAP</t>
        </is>
      </c>
      <c r="S1601" s="9" t="n">
        <v>46310</v>
      </c>
      <c r="T1601" s="3" t="n">
        <v>46309.49670138889</v>
      </c>
      <c r="U1601" s="2" t="n"/>
    </row>
    <row r="1602">
      <c r="A1602" s="2" t="inlineStr">
        <is>
          <t>Resuelta</t>
        </is>
      </c>
      <c r="B1602" s="3" t="n">
        <v>46266.41666666666</v>
      </c>
      <c r="C1602" s="5" t="n">
        <v>30200</v>
      </c>
      <c r="D1602" s="5" t="n">
        <v>30200</v>
      </c>
      <c r="E1602" s="2" t="inlineStr">
        <is>
          <t>Andalucía</t>
        </is>
      </c>
      <c r="F1602" s="2" t="inlineStr">
        <is>
          <t>Córdoba</t>
        </is>
      </c>
      <c r="G1602" s="2" t="n"/>
      <c r="H1602" s="2" t="inlineStr">
        <is>
          <t>Empresa de Transformación Agraria S.A.,S.M.E., M.P., (TRAGSA)</t>
        </is>
      </c>
      <c r="I160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602" s="2" t="inlineStr">
        <is>
          <t>TSA0079529-138</t>
        </is>
      </c>
      <c r="K1602" s="2" t="inlineStr">
        <is>
          <t>Abierto</t>
        </is>
      </c>
      <c r="L1602" s="6" t="n">
        <v>7</v>
      </c>
      <c r="M1602" s="2" t="n"/>
      <c r="N1602" s="7" t="n">
        <v>0</v>
      </c>
      <c r="O1602" s="4" t="n"/>
      <c r="P1602" s="2" t="inlineStr">
        <is>
          <t>45500000</t>
        </is>
      </c>
      <c r="Q1602" s="8" t="inlineStr">
        <is>
          <t>Ver</t>
        </is>
      </c>
      <c r="R1602" s="8" t="inlineStr">
        <is>
          <t>PCAP</t>
        </is>
      </c>
      <c r="S1602" s="9" t="n">
        <v>46310</v>
      </c>
      <c r="T1602" s="3" t="n">
        <v>46309.4966087963</v>
      </c>
      <c r="U1602" s="2" t="n"/>
    </row>
    <row r="1603">
      <c r="A1603" s="2" t="inlineStr">
        <is>
          <t>Resuelta</t>
        </is>
      </c>
      <c r="B1603" s="3" t="n">
        <v>46296.375</v>
      </c>
      <c r="C1603" s="5" t="n">
        <v>35660.39</v>
      </c>
      <c r="D1603" s="5" t="n">
        <v>35660.39</v>
      </c>
      <c r="E1603" s="2" t="inlineStr">
        <is>
          <t>Andalucía</t>
        </is>
      </c>
      <c r="F1603" s="2" t="inlineStr">
        <is>
          <t>Cádiz</t>
        </is>
      </c>
      <c r="G1603" s="2" t="n"/>
      <c r="H1603" s="2" t="inlineStr">
        <is>
          <t>Intendente de San Fernando</t>
        </is>
      </c>
      <c r="I1603" s="2" t="inlineStr">
        <is>
          <t>INFRA 26-061 Reparación aseos cámara oficiales BN Carraca.</t>
        </is>
      </c>
      <c r="J1603" s="2" t="inlineStr">
        <is>
          <t>2026/AR43U/00002480E</t>
        </is>
      </c>
      <c r="K1603" s="2" t="inlineStr">
        <is>
          <t>Abierto</t>
        </is>
      </c>
      <c r="L1603" s="6" t="n">
        <v>1.7</v>
      </c>
      <c r="M1603" s="2" t="n"/>
      <c r="N1603" s="7" t="n">
        <v>0</v>
      </c>
      <c r="O1603" s="4" t="n"/>
      <c r="P1603" s="2" t="inlineStr">
        <is>
          <t>45000000</t>
        </is>
      </c>
      <c r="Q1603" s="8" t="inlineStr">
        <is>
          <t>Ver</t>
        </is>
      </c>
      <c r="R1603" s="8" t="inlineStr">
        <is>
          <t>PCAP</t>
        </is>
      </c>
      <c r="S1603" s="9" t="n">
        <v>46310</v>
      </c>
      <c r="T1603" s="3" t="n">
        <v>46309.49472222223</v>
      </c>
      <c r="U1603" s="2" t="n"/>
    </row>
    <row r="1604">
      <c r="A1604" s="2" t="inlineStr">
        <is>
          <t>Pendiente de adjudicación</t>
        </is>
      </c>
      <c r="B1604" s="3" t="n">
        <v>46261.99930555555</v>
      </c>
      <c r="C1604" s="5" t="n">
        <v>182182.1</v>
      </c>
      <c r="D1604" s="5" t="n">
        <v>182182.1</v>
      </c>
      <c r="E1604" s="2" t="inlineStr">
        <is>
          <t>Andalucía</t>
        </is>
      </c>
      <c r="F1604" s="2" t="inlineStr">
        <is>
          <t>Granada</t>
        </is>
      </c>
      <c r="G1604" s="2" t="n"/>
      <c r="H1604" s="2" t="inlineStr">
        <is>
          <t>Alcaldia del Ayuntamiento de Peligros</t>
        </is>
      </c>
      <c r="I1604"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1604" s="2" t="inlineStr">
        <is>
          <t>2733/2026</t>
        </is>
      </c>
      <c r="K1604" s="2" t="inlineStr">
        <is>
          <t>Abierto simplificado</t>
        </is>
      </c>
      <c r="L1604" s="6" t="n">
        <v>2</v>
      </c>
      <c r="M1604" s="2" t="n"/>
      <c r="N1604" s="7" t="n">
        <v>0</v>
      </c>
      <c r="O1604" s="4" t="n"/>
      <c r="P1604" s="2" t="inlineStr">
        <is>
          <t>45316000; 45316100</t>
        </is>
      </c>
      <c r="Q1604" s="8" t="inlineStr">
        <is>
          <t>Ver</t>
        </is>
      </c>
      <c r="R1604" s="8" t="inlineStr">
        <is>
          <t>PCAP</t>
        </is>
      </c>
      <c r="S1604" s="9" t="n">
        <v>46310</v>
      </c>
      <c r="T1604" s="3" t="n">
        <v>46309.49315972222</v>
      </c>
      <c r="U1604" s="2" t="n"/>
    </row>
    <row r="1605">
      <c r="A1605" s="2" t="inlineStr">
        <is>
          <t>Resuelta</t>
        </is>
      </c>
      <c r="B1605" s="3" t="n">
        <v>46296.375</v>
      </c>
      <c r="C1605" s="5" t="n">
        <v>16272.85</v>
      </c>
      <c r="D1605" s="5" t="n">
        <v>16272.85</v>
      </c>
      <c r="E1605" s="2" t="inlineStr">
        <is>
          <t>Andalucía</t>
        </is>
      </c>
      <c r="F1605" s="2" t="inlineStr">
        <is>
          <t>Cádiz</t>
        </is>
      </c>
      <c r="G1605" s="2" t="n"/>
      <c r="H1605" s="2" t="inlineStr">
        <is>
          <t>Intendente de San Fernando</t>
        </is>
      </c>
      <c r="I1605" s="2" t="inlineStr">
        <is>
          <t>NFRA26-061 CB Reparación y pintado de la fachada trasera del cine de la BNC. Lote 7.</t>
        </is>
      </c>
      <c r="J1605" s="2" t="inlineStr">
        <is>
          <t>2026/AR43U/00002533E</t>
        </is>
      </c>
      <c r="K1605" s="2" t="inlineStr">
        <is>
          <t>Abierto</t>
        </is>
      </c>
      <c r="L1605" s="6" t="n">
        <v>1.7</v>
      </c>
      <c r="M1605" s="2" t="n"/>
      <c r="N1605" s="7" t="n">
        <v>0</v>
      </c>
      <c r="O1605" s="4" t="n"/>
      <c r="P1605" s="2" t="inlineStr">
        <is>
          <t>45000000</t>
        </is>
      </c>
      <c r="Q1605" s="8" t="inlineStr">
        <is>
          <t>Ver</t>
        </is>
      </c>
      <c r="R1605" s="8" t="inlineStr">
        <is>
          <t>PCAP</t>
        </is>
      </c>
      <c r="S1605" s="9" t="n">
        <v>46310</v>
      </c>
      <c r="T1605" s="3" t="n">
        <v>46309.493125</v>
      </c>
      <c r="U1605" s="2" t="n"/>
    </row>
    <row r="1606">
      <c r="A1606" s="2" t="inlineStr">
        <is>
          <t>Resuelta</t>
        </is>
      </c>
      <c r="B1606" s="3" t="n">
        <v>46280.41666666666</v>
      </c>
      <c r="C1606" s="5" t="n">
        <v>148800</v>
      </c>
      <c r="D1606" s="5" t="n">
        <v>148800</v>
      </c>
      <c r="E1606" s="2" t="inlineStr">
        <is>
          <t>Andalucía</t>
        </is>
      </c>
      <c r="F1606" s="2" t="inlineStr">
        <is>
          <t>Córdoba</t>
        </is>
      </c>
      <c r="G1606" s="2" t="n"/>
      <c r="H1606" s="2" t="inlineStr">
        <is>
          <t>Empresa de Transformación Agraria S.A.,S.M.E., M.P., (TRAGSA)</t>
        </is>
      </c>
      <c r="I160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606" s="2" t="inlineStr">
        <is>
          <t>TSA0079529-139</t>
        </is>
      </c>
      <c r="K1606" s="2" t="inlineStr">
        <is>
          <t>Abierto</t>
        </is>
      </c>
      <c r="L1606" s="6" t="n">
        <v>9</v>
      </c>
      <c r="M1606" s="2" t="n"/>
      <c r="N1606" s="7" t="n">
        <v>0</v>
      </c>
      <c r="O1606" s="4" t="n"/>
      <c r="P1606" s="2" t="inlineStr">
        <is>
          <t>45500000</t>
        </is>
      </c>
      <c r="Q1606" s="8" t="inlineStr">
        <is>
          <t>Ver</t>
        </is>
      </c>
      <c r="R1606" s="8" t="inlineStr">
        <is>
          <t>PCAP</t>
        </is>
      </c>
      <c r="S1606" s="9" t="n">
        <v>46310</v>
      </c>
      <c r="T1606" s="3" t="n">
        <v>46309.49226851852</v>
      </c>
      <c r="U1606" s="2" t="n"/>
    </row>
    <row r="1607">
      <c r="A1607" s="2" t="inlineStr">
        <is>
          <t>Resuelta</t>
        </is>
      </c>
      <c r="B1607" s="3" t="n">
        <v>46267.99930555555</v>
      </c>
      <c r="C1607" s="5" t="n">
        <v>195410.55</v>
      </c>
      <c r="D1607" s="5" t="n">
        <v>214951.6</v>
      </c>
      <c r="E1607" s="2" t="inlineStr">
        <is>
          <t>Comunitat Valenciana</t>
        </is>
      </c>
      <c r="F1607" s="2" t="inlineStr">
        <is>
          <t>Alicante</t>
        </is>
      </c>
      <c r="G1607" s="2" t="inlineStr">
        <is>
          <t>Cocentaina</t>
        </is>
      </c>
      <c r="H1607" s="2" t="inlineStr">
        <is>
          <t>Alcaldía del Ayuntamiento de Cocentaina</t>
        </is>
      </c>
      <c r="I1607" s="2" t="inlineStr">
        <is>
          <t>Construcción de nuevos nichos en el cementerio municipal de Cocentaina</t>
        </is>
      </c>
      <c r="J1607" s="2" t="inlineStr">
        <is>
          <t>6363/2025</t>
        </is>
      </c>
      <c r="K1607" s="2" t="inlineStr">
        <is>
          <t>Abierto simplificado</t>
        </is>
      </c>
      <c r="L1607" s="6" t="n">
        <v>3</v>
      </c>
      <c r="M1607" s="2" t="n"/>
      <c r="N1607" s="7" t="n">
        <v>0</v>
      </c>
      <c r="O1607" s="4" t="n"/>
      <c r="P1607" s="2" t="inlineStr">
        <is>
          <t>45215400</t>
        </is>
      </c>
      <c r="Q1607" s="8" t="inlineStr">
        <is>
          <t>Ver</t>
        </is>
      </c>
      <c r="R1607" s="8" t="inlineStr">
        <is>
          <t>PCAP</t>
        </is>
      </c>
      <c r="S1607" s="9" t="n">
        <v>46310</v>
      </c>
      <c r="T1607" s="3" t="n">
        <v>46309.48913194444</v>
      </c>
      <c r="U1607" s="2" t="n"/>
    </row>
    <row r="1608">
      <c r="A1608" s="2" t="inlineStr">
        <is>
          <t>Pendiente de adjudicación</t>
        </is>
      </c>
      <c r="B1608" s="3" t="n">
        <v>46308.99930555555</v>
      </c>
      <c r="C1608" s="5" t="n">
        <v>261800</v>
      </c>
      <c r="D1608" s="5" t="n">
        <v>261800</v>
      </c>
      <c r="E1608" s="2" t="inlineStr">
        <is>
          <t>Comunitat Valenciana</t>
        </is>
      </c>
      <c r="F1608" s="2" t="inlineStr">
        <is>
          <t>Valencia</t>
        </is>
      </c>
      <c r="G1608" s="2" t="n"/>
      <c r="H1608" s="2" t="inlineStr">
        <is>
          <t>Alcaldía del Ayuntamiento de Foios</t>
        </is>
      </c>
      <c r="I1608" s="2" t="inlineStr">
        <is>
          <t>Segunda fase de la Sala Polivalente del Polideportivo Municipal de Foios</t>
        </is>
      </c>
      <c r="J1608" s="2" t="inlineStr">
        <is>
          <t>2026/2426</t>
        </is>
      </c>
      <c r="K1608" s="2" t="inlineStr">
        <is>
          <t>Abierto simplificado</t>
        </is>
      </c>
      <c r="L1608" s="6" t="n">
        <v>6</v>
      </c>
      <c r="M1608" s="2" t="n"/>
      <c r="N1608" s="7" t="n">
        <v>0</v>
      </c>
      <c r="O1608" s="4" t="n"/>
      <c r="P1608" s="2" t="inlineStr">
        <is>
          <t>45210000</t>
        </is>
      </c>
      <c r="Q1608" s="8" t="inlineStr">
        <is>
          <t>Ver</t>
        </is>
      </c>
      <c r="R1608" s="8" t="inlineStr">
        <is>
          <t>PCAP</t>
        </is>
      </c>
      <c r="S1608" s="9" t="n">
        <v>46310</v>
      </c>
      <c r="T1608" s="3" t="n">
        <v>46309.48741898148</v>
      </c>
      <c r="U1608" s="2" t="n"/>
    </row>
    <row r="1609">
      <c r="A1609" s="2" t="inlineStr">
        <is>
          <t>Plazo vencido</t>
        </is>
      </c>
      <c r="B1609" s="3" t="n">
        <v>46323.79166666666</v>
      </c>
      <c r="C1609" s="5" t="n">
        <v>446558.15</v>
      </c>
      <c r="D1609" s="5" t="n">
        <v>446558.15</v>
      </c>
      <c r="E1609" s="2" t="inlineStr">
        <is>
          <t>Andalucía</t>
        </is>
      </c>
      <c r="F1609" s="2" t="inlineStr">
        <is>
          <t>Córdoba</t>
        </is>
      </c>
      <c r="G1609" s="2" t="inlineStr">
        <is>
          <t>Córdoba</t>
        </is>
      </c>
      <c r="H1609" s="2" t="inlineStr">
        <is>
          <t>Presidencia del Consejo de Administración de la Empresa Provincial de Aguas de Córdoba S.A.</t>
        </is>
      </c>
      <c r="I1609" s="2" t="inlineStr">
        <is>
          <t>Obra de Renovación de las Redes de Abastecimiento y Saneamiento y Reurbanización mediante Plataforma Única en la Calle Horno de Puente Genil.</t>
        </is>
      </c>
      <c r="J1609" s="2" t="inlineStr">
        <is>
          <t>CC 54/2026</t>
        </is>
      </c>
      <c r="K1609" s="2" t="inlineStr">
        <is>
          <t>Abierto simplificado</t>
        </is>
      </c>
      <c r="L1609" s="6" t="n">
        <v>5</v>
      </c>
      <c r="M1609" s="2" t="n"/>
      <c r="N1609" s="7" t="n"/>
      <c r="O1609" s="4" t="n"/>
      <c r="P1609" s="2" t="inlineStr">
        <is>
          <t>45232151; 45232410; 45232400</t>
        </is>
      </c>
      <c r="Q1609" s="8" t="inlineStr">
        <is>
          <t>Ver</t>
        </is>
      </c>
      <c r="R1609" s="8" t="inlineStr">
        <is>
          <t>PCAP</t>
        </is>
      </c>
      <c r="S1609" s="9" t="n">
        <v>46310</v>
      </c>
      <c r="T1609" s="3" t="n">
        <v>46309.4846412037</v>
      </c>
      <c r="U1609" s="2" t="n"/>
    </row>
    <row r="1610">
      <c r="A1610" s="2" t="inlineStr">
        <is>
          <t>Resuelta</t>
        </is>
      </c>
      <c r="B1610" s="3" t="n">
        <v>46230.99930555555</v>
      </c>
      <c r="C1610" s="5" t="n">
        <v>148760.33</v>
      </c>
      <c r="D1610" s="5" t="n">
        <v>148760.33</v>
      </c>
      <c r="E1610" s="2" t="inlineStr">
        <is>
          <t>Andalucía</t>
        </is>
      </c>
      <c r="F1610" s="2" t="inlineStr">
        <is>
          <t>Almería</t>
        </is>
      </c>
      <c r="G1610" s="2" t="n"/>
      <c r="H1610" s="2" t="inlineStr">
        <is>
          <t>Junta de Gobierno de la Diputación Provincial de Almería</t>
        </is>
      </c>
      <c r="I1610" s="2" t="inlineStr">
        <is>
          <t>Rehabilitación Del Firme Y Mejora En C.p. Al-3111: De La A-7 A Campohermoso Por San Isidro De Níjar 4RVP2025-2026</t>
        </is>
      </c>
      <c r="J1610" s="2" t="inlineStr">
        <is>
          <t>2026/D31000/006-013/00036</t>
        </is>
      </c>
      <c r="K1610" s="2" t="inlineStr">
        <is>
          <t>Abierto simplificado</t>
        </is>
      </c>
      <c r="L1610" s="6" t="n">
        <v>2</v>
      </c>
      <c r="M1610" s="2" t="n"/>
      <c r="N1610" s="7" t="n">
        <v>0.25</v>
      </c>
      <c r="O1610" s="4" t="n"/>
      <c r="P1610" s="2" t="inlineStr">
        <is>
          <t>45233220</t>
        </is>
      </c>
      <c r="Q1610" s="8" t="inlineStr">
        <is>
          <t>Ver</t>
        </is>
      </c>
      <c r="R1610" s="8" t="inlineStr">
        <is>
          <t>PCAP</t>
        </is>
      </c>
      <c r="S1610" s="9" t="n">
        <v>46310</v>
      </c>
      <c r="T1610" s="3" t="n">
        <v>46309.484375</v>
      </c>
      <c r="U1610" s="2" t="n"/>
    </row>
    <row r="1611">
      <c r="A1611" s="2" t="inlineStr">
        <is>
          <t>Plazo vencido</t>
        </is>
      </c>
      <c r="B1611" s="3" t="n">
        <v>46323.5</v>
      </c>
      <c r="C1611" s="5" t="n">
        <v>794991.59</v>
      </c>
      <c r="D1611" s="5" t="n">
        <v>794991.59</v>
      </c>
      <c r="E1611" s="2" t="inlineStr">
        <is>
          <t>Andalucía</t>
        </is>
      </c>
      <c r="F1611" s="2" t="inlineStr">
        <is>
          <t>Málaga</t>
        </is>
      </c>
      <c r="G1611" s="2" t="inlineStr">
        <is>
          <t>Málaga</t>
        </is>
      </c>
      <c r="H1611" s="2" t="inlineStr">
        <is>
          <t>Aena. Dirección del Aeropuerto de Málaga-Costa del Sol</t>
        </is>
      </c>
      <c r="I1611" s="2" t="inlineStr">
        <is>
          <t>Ampliación Y Adecuación De Aseo 208 En El Aeropuerto De Málaga ¿ Costa Del Sol</t>
        </is>
      </c>
      <c r="J1611" s="2" t="inlineStr">
        <is>
          <t>AGP-147/2026</t>
        </is>
      </c>
      <c r="K1611" s="2" t="inlineStr">
        <is>
          <t>Normas internas</t>
        </is>
      </c>
      <c r="L1611" s="6" t="n">
        <v>14</v>
      </c>
      <c r="M1611" s="2" t="n"/>
      <c r="N1611" s="7" t="n">
        <v>0</v>
      </c>
      <c r="O1611" s="4" t="n"/>
      <c r="P1611" s="2" t="inlineStr">
        <is>
          <t>45211310</t>
        </is>
      </c>
      <c r="Q1611" s="8" t="inlineStr">
        <is>
          <t>Ver</t>
        </is>
      </c>
      <c r="R1611" s="8" t="inlineStr">
        <is>
          <t>PCAP</t>
        </is>
      </c>
      <c r="S1611" s="9" t="n">
        <v>46310</v>
      </c>
      <c r="T1611" s="3" t="n">
        <v>46309.48135416667</v>
      </c>
      <c r="U1611" s="2" t="n"/>
    </row>
    <row r="1612">
      <c r="A1612" s="2" t="inlineStr">
        <is>
          <t>En plazo</t>
        </is>
      </c>
      <c r="B1612" s="3" t="n">
        <v>46329.79166666666</v>
      </c>
      <c r="C1612" s="5" t="n">
        <v>669122.0600000001</v>
      </c>
      <c r="D1612" s="5" t="n">
        <v>669122.0600000001</v>
      </c>
      <c r="E1612" s="2" t="inlineStr">
        <is>
          <t>Andalucía</t>
        </is>
      </c>
      <c r="F1612" s="2" t="inlineStr">
        <is>
          <t>Córdoba</t>
        </is>
      </c>
      <c r="G1612" s="2" t="inlineStr">
        <is>
          <t>Córdoba</t>
        </is>
      </c>
      <c r="H1612" s="2" t="inlineStr">
        <is>
          <t>Presidencia del Consejo de Administración de la Empresa Provincial de Aguas de Córdoba S.A.</t>
        </is>
      </c>
      <c r="I1612" s="2" t="inlineStr">
        <is>
          <t>Obra de Red de Abastecimiento Aldea del Villar (Fuente Palmera).</t>
        </is>
      </c>
      <c r="J1612" s="2" t="inlineStr">
        <is>
          <t>CC 55/2026</t>
        </is>
      </c>
      <c r="K1612" s="2" t="inlineStr">
        <is>
          <t>Abierto</t>
        </is>
      </c>
      <c r="L1612" s="6" t="n">
        <v>12</v>
      </c>
      <c r="M1612" s="2" t="inlineStr">
        <is>
          <t>E1-3</t>
        </is>
      </c>
      <c r="N1612" s="7" t="n">
        <v>0.5</v>
      </c>
      <c r="O1612" s="4" t="n"/>
      <c r="P1612" s="2" t="inlineStr">
        <is>
          <t>45240000</t>
        </is>
      </c>
      <c r="Q1612" s="8" t="inlineStr">
        <is>
          <t>Ver</t>
        </is>
      </c>
      <c r="R1612" s="8" t="inlineStr">
        <is>
          <t>PCAP</t>
        </is>
      </c>
      <c r="S1612" s="9" t="n">
        <v>46310</v>
      </c>
      <c r="T1612" s="3" t="n">
        <v>46309.48126157407</v>
      </c>
      <c r="U1612" s="2" t="n"/>
    </row>
    <row r="1613">
      <c r="A1613" s="2" t="inlineStr">
        <is>
          <t>En plazo</t>
        </is>
      </c>
      <c r="B1613" s="3" t="n">
        <v>46335.99930555555</v>
      </c>
      <c r="C1613" s="5" t="n">
        <v>89256.2</v>
      </c>
      <c r="D1613" s="5" t="n">
        <v>89256.2</v>
      </c>
      <c r="E1613" s="2" t="inlineStr">
        <is>
          <t>Andalucía</t>
        </is>
      </c>
      <c r="F1613" s="2" t="inlineStr">
        <is>
          <t>Córdoba</t>
        </is>
      </c>
      <c r="G1613" s="2" t="n"/>
      <c r="H1613" s="2" t="inlineStr">
        <is>
          <t>Diputado delegado de Infraestructuras, Sostenibilidad y Agricultura</t>
        </is>
      </c>
      <c r="I1613" s="2" t="inlineStr">
        <is>
          <t>Contrato de obra de Contrucción de Pasarela en Cruce Arroyo de la Fuente en Valsequillo (Córdoba). Obra incluida en el Plan de Humanización de Entornos Urbanos y Agenda Rural 2024-2027</t>
        </is>
      </c>
      <c r="J1613" s="2" t="inlineStr">
        <is>
          <t>687/26</t>
        </is>
      </c>
      <c r="K1613" s="2" t="inlineStr">
        <is>
          <t>Abierto</t>
        </is>
      </c>
      <c r="L1613" s="6" t="n">
        <v>3</v>
      </c>
      <c r="M1613" s="2" t="n"/>
      <c r="N1613" s="7" t="n">
        <v>0.4</v>
      </c>
      <c r="O1613" s="4" t="n"/>
      <c r="P1613" s="2" t="inlineStr">
        <is>
          <t>45221113; 45233161</t>
        </is>
      </c>
      <c r="Q1613" s="8" t="inlineStr">
        <is>
          <t>Ver</t>
        </is>
      </c>
      <c r="R1613" s="8" t="inlineStr">
        <is>
          <t>PCAP</t>
        </is>
      </c>
      <c r="S1613" s="9" t="n">
        <v>46310</v>
      </c>
      <c r="T1613" s="3" t="n">
        <v>46309.47818287037</v>
      </c>
      <c r="U1613" s="2" t="n"/>
    </row>
    <row r="1614">
      <c r="A1614" s="2" t="inlineStr">
        <is>
          <t>Resuelta</t>
        </is>
      </c>
      <c r="B1614" s="3" t="n">
        <v>46259.41666666666</v>
      </c>
      <c r="C1614" s="5" t="n">
        <v>29400</v>
      </c>
      <c r="D1614" s="5" t="n">
        <v>29400</v>
      </c>
      <c r="E1614" s="2" t="inlineStr">
        <is>
          <t>Andalucía</t>
        </is>
      </c>
      <c r="F1614" s="2" t="inlineStr">
        <is>
          <t>Huelva</t>
        </is>
      </c>
      <c r="G1614" s="2" t="n"/>
      <c r="H1614" s="2" t="inlineStr">
        <is>
          <t>Empresa de Transformación Agraria S.A.,S.M.E., M.P., (TRAGSA)</t>
        </is>
      </c>
      <c r="I161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1614" s="2" t="inlineStr">
        <is>
          <t>TSA0080057-243</t>
        </is>
      </c>
      <c r="K1614" s="2" t="inlineStr">
        <is>
          <t>Abierto</t>
        </is>
      </c>
      <c r="L1614" s="6" t="n">
        <v>4</v>
      </c>
      <c r="M1614" s="2" t="n"/>
      <c r="N1614" s="7" t="n">
        <v>0</v>
      </c>
      <c r="O1614" s="4" t="n"/>
      <c r="P1614" s="2" t="inlineStr">
        <is>
          <t>45500000</t>
        </is>
      </c>
      <c r="Q1614" s="8" t="inlineStr">
        <is>
          <t>Ver</t>
        </is>
      </c>
      <c r="R1614" s="8" t="inlineStr">
        <is>
          <t>PCAP</t>
        </is>
      </c>
      <c r="S1614" s="9" t="n">
        <v>46310</v>
      </c>
      <c r="T1614" s="3" t="n">
        <v>46309.47085648148</v>
      </c>
      <c r="U1614" s="2" t="n"/>
    </row>
    <row r="1615">
      <c r="A1615" s="2" t="inlineStr">
        <is>
          <t>Resuelta</t>
        </is>
      </c>
      <c r="B1615" s="3" t="n">
        <v>46294.41666666666</v>
      </c>
      <c r="C1615" s="5" t="n">
        <v>63000</v>
      </c>
      <c r="D1615" s="5" t="n">
        <v>63000</v>
      </c>
      <c r="E1615" s="2" t="inlineStr">
        <is>
          <t>Andalucía</t>
        </is>
      </c>
      <c r="F1615" s="2" t="inlineStr">
        <is>
          <t>Huelva</t>
        </is>
      </c>
      <c r="G1615" s="2" t="n"/>
      <c r="H1615" s="2" t="inlineStr">
        <is>
          <t>Empresa de Transformación Agraria S.A.,S.M.E., M.P., (TRAGSA)</t>
        </is>
      </c>
      <c r="I161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615" s="2" t="inlineStr">
        <is>
          <t>TSA0080057-254</t>
        </is>
      </c>
      <c r="K1615" s="2" t="inlineStr">
        <is>
          <t>Abierto</t>
        </is>
      </c>
      <c r="L1615" s="6" t="n">
        <v>8</v>
      </c>
      <c r="M1615" s="2" t="n"/>
      <c r="N1615" s="7" t="n">
        <v>0</v>
      </c>
      <c r="O1615" s="4" t="n"/>
      <c r="P1615" s="2" t="inlineStr">
        <is>
          <t>45500000</t>
        </is>
      </c>
      <c r="Q1615" s="8" t="inlineStr">
        <is>
          <t>Ver</t>
        </is>
      </c>
      <c r="R1615" s="8" t="inlineStr">
        <is>
          <t>PCAP</t>
        </is>
      </c>
      <c r="S1615" s="9" t="n">
        <v>46310</v>
      </c>
      <c r="T1615" s="3" t="n">
        <v>46309.46873842592</v>
      </c>
      <c r="U1615" s="2" t="n"/>
    </row>
    <row r="1616">
      <c r="A1616" s="2" t="inlineStr">
        <is>
          <t>Resuelta</t>
        </is>
      </c>
      <c r="B1616" s="3" t="n">
        <v>46216.99930555555</v>
      </c>
      <c r="C1616" s="5" t="n">
        <v>110711.3</v>
      </c>
      <c r="D1616" s="5" t="n">
        <v>110711.3</v>
      </c>
      <c r="E1616" s="2" t="inlineStr">
        <is>
          <t>Andalucía</t>
        </is>
      </c>
      <c r="F1616" s="2" t="inlineStr">
        <is>
          <t>Córdoba</t>
        </is>
      </c>
      <c r="G1616" s="2" t="n"/>
      <c r="H1616" s="2" t="inlineStr">
        <is>
          <t>Diputado delegado de Infraestructuras, Sostenibilidad y Agricultura</t>
        </is>
      </c>
      <c r="I1616" s="2" t="inlineStr">
        <is>
          <t>Contrato de obra de Mejora del tramo central de la calle Cervantes en la Aldea de Piconcillo, en Fuente Obejuna (Córdoba). Obra incluida en el Plan de Aldeas 2024-2027.</t>
        </is>
      </c>
      <c r="J1616" s="2" t="inlineStr">
        <is>
          <t>547/26</t>
        </is>
      </c>
      <c r="K1616" s="2" t="inlineStr">
        <is>
          <t>Abierto</t>
        </is>
      </c>
      <c r="L1616" s="6" t="n">
        <v>4</v>
      </c>
      <c r="M1616" s="2" t="n"/>
      <c r="N1616" s="7" t="n">
        <v>0</v>
      </c>
      <c r="O1616" s="4" t="n"/>
      <c r="P1616" s="2" t="inlineStr">
        <is>
          <t>45233340; 45233252</t>
        </is>
      </c>
      <c r="Q1616" s="8" t="inlineStr">
        <is>
          <t>Ver</t>
        </is>
      </c>
      <c r="R1616" s="8" t="inlineStr">
        <is>
          <t>PCAP</t>
        </is>
      </c>
      <c r="S1616" s="9" t="n">
        <v>46310</v>
      </c>
      <c r="T1616" s="3" t="n">
        <v>46309.46826388889</v>
      </c>
      <c r="U1616" s="2" t="n"/>
    </row>
    <row r="1617">
      <c r="A1617" s="2" t="inlineStr">
        <is>
          <t>Pendiente de adjudicación</t>
        </is>
      </c>
      <c r="B1617" s="3" t="n">
        <v>46301.58333333334</v>
      </c>
      <c r="C1617" s="5" t="n">
        <v>48114.04</v>
      </c>
      <c r="D1617" s="5" t="n">
        <v>48114.04</v>
      </c>
      <c r="E1617" s="2" t="inlineStr">
        <is>
          <t>Comunitat Valenciana</t>
        </is>
      </c>
      <c r="F1617" s="2" t="inlineStr">
        <is>
          <t>Alicante</t>
        </is>
      </c>
      <c r="G1617" s="2" t="n"/>
      <c r="H1617" s="2" t="inlineStr">
        <is>
          <t>Empresa de Transformación Agraria S.A.,S.M.E., M.P., (TRAGSA)</t>
        </is>
      </c>
      <c r="I1617"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1617" s="2" t="inlineStr">
        <is>
          <t>TSA0084097</t>
        </is>
      </c>
      <c r="K1617" s="2" t="inlineStr">
        <is>
          <t>Abierto simplificado</t>
        </is>
      </c>
      <c r="L1617" s="6" t="n">
        <v>2</v>
      </c>
      <c r="M1617" s="2" t="n"/>
      <c r="N1617" s="7" t="n">
        <v>0</v>
      </c>
      <c r="O1617" s="4" t="n"/>
      <c r="P1617" s="2" t="inlineStr">
        <is>
          <t>45233222</t>
        </is>
      </c>
      <c r="Q1617" s="8" t="inlineStr">
        <is>
          <t>Ver</t>
        </is>
      </c>
      <c r="R1617" s="8" t="inlineStr">
        <is>
          <t>PCAP</t>
        </is>
      </c>
      <c r="S1617" s="9" t="n">
        <v>46310</v>
      </c>
      <c r="T1617" s="3" t="n">
        <v>46309.46556712963</v>
      </c>
      <c r="U1617" s="2" t="n"/>
    </row>
    <row r="1618">
      <c r="A1618" s="2" t="inlineStr">
        <is>
          <t>En plazo</t>
        </is>
      </c>
      <c r="B1618" s="3" t="n">
        <v>46329.99930555555</v>
      </c>
      <c r="C1618" s="5" t="n">
        <v>424043.96</v>
      </c>
      <c r="D1618" s="5" t="n">
        <v>424043.96</v>
      </c>
      <c r="E1618" s="2" t="inlineStr">
        <is>
          <t>Andalucía</t>
        </is>
      </c>
      <c r="F1618" s="2" t="inlineStr">
        <is>
          <t>Huelva</t>
        </is>
      </c>
      <c r="G1618" s="2" t="n"/>
      <c r="H1618" s="2" t="inlineStr">
        <is>
          <t>Junta de Gobierno del Ayuntamiento de Almonte</t>
        </is>
      </c>
      <c r="I1618" s="2" t="inlineStr">
        <is>
          <t>Ejecución de obras correspondientes al proyecto de plan de asfalto de varias calles del núcleo urbano de Almonte</t>
        </is>
      </c>
      <c r="J1618" s="2" t="inlineStr">
        <is>
          <t>11049/2026</t>
        </is>
      </c>
      <c r="K1618" s="2" t="inlineStr">
        <is>
          <t>Abierto simplificado</t>
        </is>
      </c>
      <c r="L1618" s="6" t="n">
        <v>2.3</v>
      </c>
      <c r="M1618" s="2" t="n"/>
      <c r="N1618" s="7" t="n">
        <v>0.2</v>
      </c>
      <c r="O1618" s="4" t="n"/>
      <c r="P1618" s="2" t="inlineStr">
        <is>
          <t>45233222; 45233223</t>
        </is>
      </c>
      <c r="Q1618" s="8" t="inlineStr">
        <is>
          <t>Ver</t>
        </is>
      </c>
      <c r="R1618" s="8" t="inlineStr">
        <is>
          <t>PCAP</t>
        </is>
      </c>
      <c r="S1618" s="9" t="n">
        <v>46310</v>
      </c>
      <c r="T1618" s="3" t="n">
        <v>46309.45793981481</v>
      </c>
      <c r="U1618" s="2" t="n"/>
    </row>
    <row r="1619">
      <c r="A1619" s="2" t="inlineStr">
        <is>
          <t>En plazo</t>
        </is>
      </c>
      <c r="B1619" s="3" t="n">
        <v>46329.99930555555</v>
      </c>
      <c r="C1619" s="5" t="n">
        <v>166600</v>
      </c>
      <c r="D1619" s="5" t="n">
        <v>166600</v>
      </c>
      <c r="E1619" s="2" t="inlineStr">
        <is>
          <t>Comunitat Valenciana</t>
        </is>
      </c>
      <c r="F1619" s="2" t="inlineStr">
        <is>
          <t>Valencia</t>
        </is>
      </c>
      <c r="G1619" s="2" t="inlineStr">
        <is>
          <t>Xeresa</t>
        </is>
      </c>
      <c r="H1619" s="2" t="inlineStr">
        <is>
          <t>Alcaldía del Ayuntamiento de Xeresa</t>
        </is>
      </c>
      <c r="I1619" s="2" t="inlineStr">
        <is>
          <t>bras de construcción de almacén municipal para la brigada de obras en la calle Casals n. 16 de Xeresa.</t>
        </is>
      </c>
      <c r="J1619" s="2" t="inlineStr">
        <is>
          <t>798/2026</t>
        </is>
      </c>
      <c r="K1619" s="2" t="inlineStr">
        <is>
          <t>Abierto simplificado</t>
        </is>
      </c>
      <c r="L1619" s="6" t="n">
        <v>7</v>
      </c>
      <c r="M1619" s="2" t="n"/>
      <c r="N1619" s="7" t="n">
        <v>0.25</v>
      </c>
      <c r="O1619" s="4" t="n"/>
      <c r="P1619" s="2" t="inlineStr">
        <is>
          <t>45213221</t>
        </is>
      </c>
      <c r="Q1619" s="8" t="inlineStr">
        <is>
          <t>Ver</t>
        </is>
      </c>
      <c r="R1619" s="8" t="inlineStr">
        <is>
          <t>PCAP</t>
        </is>
      </c>
      <c r="S1619" s="9" t="n">
        <v>46310</v>
      </c>
      <c r="T1619" s="3" t="n">
        <v>46309.45056712963</v>
      </c>
      <c r="U1619" s="2" t="n"/>
    </row>
    <row r="1620">
      <c r="A1620" s="2" t="inlineStr">
        <is>
          <t>Resuelta</t>
        </is>
      </c>
      <c r="B1620" s="3" t="n">
        <v>46233.99930555555</v>
      </c>
      <c r="C1620" s="5" t="n">
        <v>142480.99</v>
      </c>
      <c r="D1620" s="5" t="n">
        <v>142480.99</v>
      </c>
      <c r="E1620" s="2" t="inlineStr">
        <is>
          <t>Andalucía</t>
        </is>
      </c>
      <c r="F1620" s="2" t="inlineStr">
        <is>
          <t>Jaén</t>
        </is>
      </c>
      <c r="G1620" s="2" t="n"/>
      <c r="H1620" s="2" t="inlineStr">
        <is>
          <t>Alcaldía del Ayuntamiento de Santiago-Pontones</t>
        </is>
      </c>
      <c r="I1620" s="2" t="inlineStr">
        <is>
          <t>Contrato de obra para la ejecución de la Red de Senderos Verdes de Santiago-Pontones - Camino de San Juan de la Cruz, promovido por el Ayuntamiento de Santiago-Pontones</t>
        </is>
      </c>
      <c r="J1620" s="2" t="inlineStr">
        <is>
          <t>1071/2025_</t>
        </is>
      </c>
      <c r="K1620" s="2" t="inlineStr">
        <is>
          <t>Abierto simplificado</t>
        </is>
      </c>
      <c r="L1620" s="6" t="n">
        <v>4</v>
      </c>
      <c r="M1620" s="2" t="inlineStr">
        <is>
          <t>A1-2</t>
        </is>
      </c>
      <c r="N1620" s="7" t="n">
        <v>0</v>
      </c>
      <c r="O1620" s="4" t="n"/>
      <c r="P1620" s="2" t="inlineStr">
        <is>
          <t>45221113; 45233293; 34928470</t>
        </is>
      </c>
      <c r="Q1620" s="8" t="inlineStr">
        <is>
          <t>Ver</t>
        </is>
      </c>
      <c r="R1620" s="8" t="inlineStr">
        <is>
          <t>PCAP</t>
        </is>
      </c>
      <c r="S1620" s="9" t="n">
        <v>46310</v>
      </c>
      <c r="T1620" s="3" t="n">
        <v>46309.44826388889</v>
      </c>
      <c r="U1620" s="2" t="n"/>
    </row>
    <row r="1621">
      <c r="A1621" s="2" t="inlineStr">
        <is>
          <t>Resuelta</t>
        </is>
      </c>
      <c r="B1621" s="3" t="n">
        <v>46218.5625</v>
      </c>
      <c r="C1621" s="5" t="n">
        <v>126221.63</v>
      </c>
      <c r="D1621" s="5" t="n">
        <v>126221.63</v>
      </c>
      <c r="E1621" s="2" t="inlineStr">
        <is>
          <t>Andalucía</t>
        </is>
      </c>
      <c r="F1621" s="2" t="inlineStr">
        <is>
          <t>Cádiz</t>
        </is>
      </c>
      <c r="G1621" s="2" t="n"/>
      <c r="H1621" s="2" t="inlineStr">
        <is>
          <t>Junta de Gobierno del Ayuntamiento de Chiclana de la Frontera</t>
        </is>
      </c>
      <c r="I1621" s="2" t="inlineStr">
        <is>
          <t>Obras de ejecución de nuevo muro de contención en Residencial Huerta Alta.</t>
        </is>
      </c>
      <c r="J1621" s="2" t="inlineStr">
        <is>
          <t>28/2026</t>
        </is>
      </c>
      <c r="K1621" s="2" t="inlineStr">
        <is>
          <t>Abierto simplificado</t>
        </is>
      </c>
      <c r="L1621" s="6" t="n">
        <v>3</v>
      </c>
      <c r="M1621" s="2" t="n"/>
      <c r="N1621" s="7" t="n">
        <v>0.25</v>
      </c>
      <c r="O1621" s="4" t="n"/>
      <c r="P1621" s="2" t="inlineStr">
        <is>
          <t>45262620; 45233140</t>
        </is>
      </c>
      <c r="Q1621" s="8" t="inlineStr">
        <is>
          <t>Ver</t>
        </is>
      </c>
      <c r="R1621" s="8" t="inlineStr">
        <is>
          <t>PCAP</t>
        </is>
      </c>
      <c r="S1621" s="9" t="n">
        <v>46310</v>
      </c>
      <c r="T1621" s="3" t="n">
        <v>46309.4477662037</v>
      </c>
      <c r="U1621" s="2" t="n"/>
    </row>
    <row r="1622">
      <c r="A1622" s="2" t="inlineStr">
        <is>
          <t>Resuelta</t>
        </is>
      </c>
      <c r="B1622" s="3" t="n">
        <v>46192.5625</v>
      </c>
      <c r="C1622" s="5" t="n">
        <v>75598.31</v>
      </c>
      <c r="D1622" s="5" t="n">
        <v>75598.31</v>
      </c>
      <c r="E1622" s="2" t="inlineStr">
        <is>
          <t>Andalucía</t>
        </is>
      </c>
      <c r="F1622" s="2" t="inlineStr">
        <is>
          <t>Cádiz</t>
        </is>
      </c>
      <c r="G1622" s="2" t="inlineStr">
        <is>
          <t>Chiclana de la Frontera</t>
        </is>
      </c>
      <c r="H1622" s="2" t="inlineStr">
        <is>
          <t>Junta de Gobierno del Ayuntamiento de Chiclana de la Frontera</t>
        </is>
      </c>
      <c r="I1622" s="2" t="inlineStr">
        <is>
          <t>Obras de dotación de alumbrado público en Camino del Molino Nuevo y calle La Vid en Chiclana de la Frontera.</t>
        </is>
      </c>
      <c r="J1622" s="2" t="inlineStr">
        <is>
          <t>16/2026</t>
        </is>
      </c>
      <c r="K1622" s="2" t="inlineStr">
        <is>
          <t>Abierto simplificado</t>
        </is>
      </c>
      <c r="L1622" s="6" t="n">
        <v>1</v>
      </c>
      <c r="M1622" s="2" t="n"/>
      <c r="N1622" s="7" t="n">
        <v>0</v>
      </c>
      <c r="O1622" s="4" t="n"/>
      <c r="P1622" s="2" t="inlineStr">
        <is>
          <t>45316000</t>
        </is>
      </c>
      <c r="Q1622" s="8" t="inlineStr">
        <is>
          <t>Ver</t>
        </is>
      </c>
      <c r="R1622" s="8" t="inlineStr">
        <is>
          <t>PCAP</t>
        </is>
      </c>
      <c r="S1622" s="9" t="n">
        <v>46310</v>
      </c>
      <c r="T1622" s="3" t="n">
        <v>46309.44680555556</v>
      </c>
      <c r="U1622" s="2" t="n"/>
    </row>
    <row r="1623">
      <c r="A1623" s="2" t="inlineStr">
        <is>
          <t>Resuelta</t>
        </is>
      </c>
      <c r="B1623" s="3" t="n">
        <v>46259.41666666666</v>
      </c>
      <c r="C1623" s="5" t="n">
        <v>44000</v>
      </c>
      <c r="D1623" s="5" t="n">
        <v>44000</v>
      </c>
      <c r="E1623" s="2" t="inlineStr">
        <is>
          <t>Andalucía</t>
        </is>
      </c>
      <c r="F1623" s="2" t="inlineStr">
        <is>
          <t>Granada</t>
        </is>
      </c>
      <c r="G1623" s="2" t="n"/>
      <c r="H1623" s="2" t="inlineStr">
        <is>
          <t>Empresa de Transformación Agraria S.A.,S.M.E., M.P., (TRAGSA)</t>
        </is>
      </c>
      <c r="I162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623" s="2" t="inlineStr">
        <is>
          <t>TSA0077561-331</t>
        </is>
      </c>
      <c r="K1623" s="2" t="inlineStr">
        <is>
          <t>Abierto</t>
        </is>
      </c>
      <c r="L1623" s="6" t="n">
        <v>3</v>
      </c>
      <c r="M1623" s="2" t="n"/>
      <c r="N1623" s="7" t="n">
        <v>0</v>
      </c>
      <c r="O1623" s="4" t="n"/>
      <c r="P1623" s="2" t="inlineStr">
        <is>
          <t>45500000</t>
        </is>
      </c>
      <c r="Q1623" s="8" t="inlineStr">
        <is>
          <t>Ver</t>
        </is>
      </c>
      <c r="R1623" s="8" t="inlineStr">
        <is>
          <t>PCAP</t>
        </is>
      </c>
      <c r="S1623" s="9" t="n">
        <v>46310</v>
      </c>
      <c r="T1623" s="3" t="n">
        <v>46309.44407407408</v>
      </c>
      <c r="U1623" s="2" t="n"/>
    </row>
    <row r="1624">
      <c r="A1624" s="2" t="inlineStr">
        <is>
          <t>Adjudicada</t>
        </is>
      </c>
      <c r="B1624" s="3" t="n">
        <v>46275.58333333334</v>
      </c>
      <c r="C1624" s="5" t="n">
        <v>795268.38</v>
      </c>
      <c r="D1624" s="5" t="n">
        <v>795268.38</v>
      </c>
      <c r="E1624" s="2" t="inlineStr">
        <is>
          <t>Comunitat Valenciana</t>
        </is>
      </c>
      <c r="F1624" s="2" t="inlineStr">
        <is>
          <t>Valencia</t>
        </is>
      </c>
      <c r="G1624" s="2" t="n"/>
      <c r="H1624" s="2" t="inlineStr">
        <is>
          <t>Consejo de Administración de la Empresa Municipal de Transportes de Valencia, S.A.U.</t>
        </is>
      </c>
      <c r="I1624"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1624" s="2" t="inlineStr">
        <is>
          <t>2026-0025</t>
        </is>
      </c>
      <c r="K1624" s="2" t="inlineStr">
        <is>
          <t>Abierto</t>
        </is>
      </c>
      <c r="L1624" s="6" t="n">
        <v>48</v>
      </c>
      <c r="M1624" s="2" t="inlineStr">
        <is>
          <t>K9-3</t>
        </is>
      </c>
      <c r="N1624" s="7" t="n">
        <v>0.3</v>
      </c>
      <c r="O1624" s="4" t="n"/>
      <c r="P1624" s="2" t="inlineStr">
        <is>
          <t>45343200; 50413200; 51700000</t>
        </is>
      </c>
      <c r="Q1624" s="8" t="inlineStr">
        <is>
          <t>Ver</t>
        </is>
      </c>
      <c r="R1624" s="8" t="inlineStr">
        <is>
          <t>PCAP</t>
        </is>
      </c>
      <c r="S1624" s="9" t="n">
        <v>46310</v>
      </c>
      <c r="T1624" s="3" t="n">
        <v>46309.44386574074</v>
      </c>
      <c r="U1624" s="2" t="n"/>
    </row>
    <row r="1625">
      <c r="A1625" s="2" t="inlineStr">
        <is>
          <t>Resuelta</t>
        </is>
      </c>
      <c r="B1625" s="3" t="n">
        <v>46083.99930555555</v>
      </c>
      <c r="C1625" s="5" t="n">
        <v>230989.07</v>
      </c>
      <c r="D1625" s="5" t="n">
        <v>230989.07</v>
      </c>
      <c r="E1625" s="2" t="inlineStr">
        <is>
          <t>Andalucía</t>
        </is>
      </c>
      <c r="F1625" s="2" t="inlineStr">
        <is>
          <t>Granada</t>
        </is>
      </c>
      <c r="G1625" s="2" t="inlineStr">
        <is>
          <t>Granada</t>
        </is>
      </c>
      <c r="H1625" s="2" t="inlineStr">
        <is>
          <t>Aena. Dirección del Aeropuerto de Granada-Jaén F.G.L.</t>
        </is>
      </c>
      <c r="I1625" s="2" t="inlineStr">
        <is>
          <t>Refuerzo De Climatización En Zonas De Embarque Y Facturación</t>
        </is>
      </c>
      <c r="J1625" s="2" t="inlineStr">
        <is>
          <t>GRX-123/2025</t>
        </is>
      </c>
      <c r="K1625" s="2" t="inlineStr">
        <is>
          <t>Normas internas</t>
        </is>
      </c>
      <c r="L1625" s="6" t="n"/>
      <c r="M1625" s="2" t="n"/>
      <c r="N1625" s="7" t="n">
        <v>0</v>
      </c>
      <c r="O1625" s="4" t="n"/>
      <c r="P1625" s="2" t="inlineStr">
        <is>
          <t>45331000</t>
        </is>
      </c>
      <c r="Q1625" s="8" t="inlineStr">
        <is>
          <t>Ver</t>
        </is>
      </c>
      <c r="R1625" s="8" t="inlineStr">
        <is>
          <t>PCAP</t>
        </is>
      </c>
      <c r="S1625" s="9" t="n">
        <v>46310</v>
      </c>
      <c r="T1625" s="3" t="n">
        <v>46309.44049768519</v>
      </c>
      <c r="U1625" s="2" t="n"/>
    </row>
    <row r="1626">
      <c r="A1626" s="2" t="inlineStr">
        <is>
          <t>En plazo</t>
        </is>
      </c>
      <c r="B1626" s="3" t="n">
        <v>46329.99930555555</v>
      </c>
      <c r="C1626" s="5" t="n">
        <v>382258.99</v>
      </c>
      <c r="D1626" s="5" t="n">
        <v>382258.99</v>
      </c>
      <c r="E1626" s="2" t="inlineStr">
        <is>
          <t>Comunitat Valenciana</t>
        </is>
      </c>
      <c r="F1626" s="2" t="inlineStr">
        <is>
          <t>Valencia</t>
        </is>
      </c>
      <c r="G1626" s="2" t="inlineStr">
        <is>
          <t>Sinarcas (Valencia)</t>
        </is>
      </c>
      <c r="H1626" s="2" t="inlineStr">
        <is>
          <t>Pleno del Ayuntamiento de Sinarcas</t>
        </is>
      </c>
      <c r="I1626" s="2" t="inlineStr">
        <is>
          <t>Adecuación del Cementerio Municipal por los desperfectos ocasionados por la DANA</t>
        </is>
      </c>
      <c r="J1626" s="2" t="inlineStr">
        <is>
          <t>75/2026 DANA 2024</t>
        </is>
      </c>
      <c r="K1626" s="2" t="inlineStr">
        <is>
          <t>Abierto simplificado</t>
        </is>
      </c>
      <c r="L1626" s="6" t="n">
        <v>5</v>
      </c>
      <c r="M1626" s="2" t="n"/>
      <c r="N1626" s="7" t="n">
        <v>0</v>
      </c>
      <c r="O1626" s="4" t="n"/>
      <c r="P1626" s="2" t="inlineStr">
        <is>
          <t>45000000</t>
        </is>
      </c>
      <c r="Q1626" s="8" t="inlineStr">
        <is>
          <t>Ver</t>
        </is>
      </c>
      <c r="R1626" s="8" t="inlineStr">
        <is>
          <t>PCAP</t>
        </is>
      </c>
      <c r="S1626" s="9" t="n">
        <v>46310</v>
      </c>
      <c r="T1626" s="3" t="n">
        <v>46309.44008101852</v>
      </c>
      <c r="U1626" s="2" t="n"/>
    </row>
    <row r="1627">
      <c r="A1627" s="2" t="inlineStr">
        <is>
          <t>Pendiente de adjudicación</t>
        </is>
      </c>
      <c r="B1627" s="3" t="n">
        <v>46223.99930555555</v>
      </c>
      <c r="C1627" s="5" t="n">
        <v>93757.37</v>
      </c>
      <c r="D1627" s="5" t="n">
        <v>93757.37</v>
      </c>
      <c r="E1627" s="2" t="inlineStr">
        <is>
          <t>Comunitat Valenciana</t>
        </is>
      </c>
      <c r="F1627" s="2" t="inlineStr">
        <is>
          <t>Alicante</t>
        </is>
      </c>
      <c r="G1627" s="2" t="n"/>
      <c r="H1627" s="2" t="inlineStr">
        <is>
          <t>Presidencia de la Diputación Provincial de Alicante</t>
        </is>
      </c>
      <c r="I1627" s="2" t="inlineStr">
        <is>
          <t>Obras de reposición de Red de Alcantarillado de la Avenida la Purísima en Catral.</t>
        </is>
      </c>
      <c r="J1627" s="2" t="inlineStr">
        <is>
          <t>O4S-103/2026</t>
        </is>
      </c>
      <c r="K1627" s="2" t="inlineStr">
        <is>
          <t>Abierto simplificado</t>
        </is>
      </c>
      <c r="L1627" s="6" t="n">
        <v>3</v>
      </c>
      <c r="M1627" s="2" t="n"/>
      <c r="N1627" s="7" t="n">
        <v>0.25</v>
      </c>
      <c r="O1627" s="4" t="n"/>
      <c r="P1627" s="2" t="inlineStr">
        <is>
          <t>45232400</t>
        </is>
      </c>
      <c r="Q1627" s="8" t="inlineStr">
        <is>
          <t>Ver</t>
        </is>
      </c>
      <c r="R1627" s="8" t="inlineStr">
        <is>
          <t>PCAP</t>
        </is>
      </c>
      <c r="S1627" s="9" t="n">
        <v>46310</v>
      </c>
      <c r="T1627" s="3" t="n">
        <v>46309.43715277778</v>
      </c>
      <c r="U1627" s="2" t="n"/>
    </row>
    <row r="1628">
      <c r="A1628" s="2" t="inlineStr">
        <is>
          <t>Pendiente de adjudicación</t>
        </is>
      </c>
      <c r="B1628" s="3" t="n">
        <v>46084.99930555555</v>
      </c>
      <c r="C1628" s="5" t="n">
        <v>115824.27</v>
      </c>
      <c r="D1628" s="5" t="n">
        <v>115824.27</v>
      </c>
      <c r="E1628" s="2" t="inlineStr">
        <is>
          <t>Comunitat Valenciana</t>
        </is>
      </c>
      <c r="F1628" s="2" t="inlineStr">
        <is>
          <t>Alicante</t>
        </is>
      </c>
      <c r="G1628" s="2" t="n"/>
      <c r="H1628" s="2" t="inlineStr">
        <is>
          <t>Presidencia de la Diputación Provincial de Alicante</t>
        </is>
      </c>
      <c r="I1628" s="2" t="inlineStr">
        <is>
          <t>Obras de restauración y consolidación de la muralla oriental del Castillo Almohade, en el mu-nicipio de Tibi (Alicante)</t>
        </is>
      </c>
      <c r="J1628" s="2" t="inlineStr">
        <is>
          <t>O4S-323/2025</t>
        </is>
      </c>
      <c r="K1628" s="2" t="inlineStr">
        <is>
          <t>Abierto simplificado</t>
        </is>
      </c>
      <c r="L1628" s="6" t="n">
        <v>4</v>
      </c>
      <c r="M1628" s="2" t="n"/>
      <c r="N1628" s="7" t="n">
        <v>0</v>
      </c>
      <c r="O1628" s="4" t="n"/>
      <c r="P1628" s="2" t="inlineStr">
        <is>
          <t>45212350; 45262520; 45262510; 45454100</t>
        </is>
      </c>
      <c r="Q1628" s="8" t="inlineStr">
        <is>
          <t>Ver</t>
        </is>
      </c>
      <c r="R1628" s="8" t="inlineStr">
        <is>
          <t>PCAP</t>
        </is>
      </c>
      <c r="S1628" s="9" t="n">
        <v>46310</v>
      </c>
      <c r="T1628" s="3" t="n">
        <v>46309.43247685185</v>
      </c>
      <c r="U1628" s="2" t="n"/>
    </row>
    <row r="1629">
      <c r="A1629" s="2" t="inlineStr">
        <is>
          <t>En plazo</t>
        </is>
      </c>
      <c r="B1629" s="3" t="n">
        <v>46329.99930555555</v>
      </c>
      <c r="C1629" s="5" t="n">
        <v>262729.78</v>
      </c>
      <c r="D1629" s="5" t="n">
        <v>262729.78</v>
      </c>
      <c r="E1629" s="2" t="inlineStr">
        <is>
          <t>Andalucía</t>
        </is>
      </c>
      <c r="F1629" s="2" t="inlineStr">
        <is>
          <t>Huelva</t>
        </is>
      </c>
      <c r="G1629" s="2" t="n"/>
      <c r="H1629" s="2" t="inlineStr">
        <is>
          <t>Alcaldía del Ayuntamiento de Villarrasa</t>
        </is>
      </c>
      <c r="I1629" s="2" t="inlineStr">
        <is>
          <t>Plan de Asfaltado 2026 del municipio de Villarrasa.</t>
        </is>
      </c>
      <c r="J1629" s="2" t="inlineStr">
        <is>
          <t>635/2026</t>
        </is>
      </c>
      <c r="K1629" s="2" t="inlineStr">
        <is>
          <t>Abierto simplificado</t>
        </is>
      </c>
      <c r="L1629" s="6" t="n">
        <v>6</v>
      </c>
      <c r="M1629" s="2" t="n"/>
      <c r="N1629" s="7" t="n">
        <v>0</v>
      </c>
      <c r="O1629" s="4" t="n"/>
      <c r="P1629" s="2" t="inlineStr">
        <is>
          <t>45233222</t>
        </is>
      </c>
      <c r="Q1629" s="8" t="inlineStr">
        <is>
          <t>Ver</t>
        </is>
      </c>
      <c r="R1629" s="8" t="inlineStr">
        <is>
          <t>PCAP</t>
        </is>
      </c>
      <c r="S1629" s="9" t="n">
        <v>46310</v>
      </c>
      <c r="T1629" s="3" t="n">
        <v>46309.43210648148</v>
      </c>
      <c r="U1629" s="2" t="n"/>
    </row>
    <row r="1630">
      <c r="A1630" s="2" t="inlineStr">
        <is>
          <t>Resuelta</t>
        </is>
      </c>
      <c r="B1630" s="3" t="n">
        <v>45818.58333333334</v>
      </c>
      <c r="C1630" s="5" t="n">
        <v>2555494.53</v>
      </c>
      <c r="D1630" s="5" t="n">
        <v>3066593.44</v>
      </c>
      <c r="E1630" s="2" t="inlineStr">
        <is>
          <t>Comunitat Valenciana</t>
        </is>
      </c>
      <c r="F1630" s="2" t="inlineStr">
        <is>
          <t>Valencia</t>
        </is>
      </c>
      <c r="G1630" s="2" t="n"/>
      <c r="H1630" s="2" t="inlineStr">
        <is>
          <t>Presidencia de la Generalitat</t>
        </is>
      </c>
      <c r="I1630" s="2" t="inlineStr">
        <is>
          <t>Obras de instalación de césped artificial de rugby e infraestructuras complementarias, en el centro de tecnificación deportiva de Cheste (Valencia).</t>
        </is>
      </c>
      <c r="J1630" s="2" t="inlineStr">
        <is>
          <t>CNMY25-DGD-08</t>
        </is>
      </c>
      <c r="K1630" s="2" t="inlineStr">
        <is>
          <t>Abierto</t>
        </is>
      </c>
      <c r="L1630" s="6" t="n">
        <v>10</v>
      </c>
      <c r="M1630" s="2" t="inlineStr">
        <is>
          <t>G6-4; C2-3; J4-3</t>
        </is>
      </c>
      <c r="N1630" s="7" t="n">
        <v>0.4</v>
      </c>
      <c r="O1630" s="4" t="n"/>
      <c r="P1630" s="2" t="inlineStr">
        <is>
          <t>45111000; 45111240; 45232454; 45212210; 45111230</t>
        </is>
      </c>
      <c r="Q1630" s="8" t="inlineStr">
        <is>
          <t>Ver</t>
        </is>
      </c>
      <c r="R1630" s="8" t="inlineStr">
        <is>
          <t>PCAP</t>
        </is>
      </c>
      <c r="S1630" s="9" t="n">
        <v>46310</v>
      </c>
      <c r="T1630" s="3" t="n">
        <v>46309.42998842592</v>
      </c>
      <c r="U1630" s="2" t="n"/>
    </row>
    <row r="1631">
      <c r="A1631" s="2" t="inlineStr">
        <is>
          <t>Resuelta</t>
        </is>
      </c>
      <c r="B1631" s="3" t="n">
        <v>43741.70833333334</v>
      </c>
      <c r="C1631" s="5" t="n">
        <v>55903.27</v>
      </c>
      <c r="D1631" s="5" t="n">
        <v>55903.27</v>
      </c>
      <c r="E1631" s="2" t="inlineStr">
        <is>
          <t>Comunitat Valenciana</t>
        </is>
      </c>
      <c r="F1631" s="2" t="inlineStr">
        <is>
          <t>Valencia</t>
        </is>
      </c>
      <c r="G1631" s="2" t="inlineStr">
        <is>
          <t>Valencia</t>
        </is>
      </c>
      <c r="H1631" s="2" t="inlineStr">
        <is>
          <t>Gerencia de Infraestructuras y Equipamientos de Cultura O.A</t>
        </is>
      </c>
      <c r="I1631" s="2" t="inlineStr">
        <is>
          <t>Obras de sustitución del ascensor de la Biblioteca Pública del Estado en Valencia.</t>
        </is>
      </c>
      <c r="J1631" s="2" t="inlineStr">
        <is>
          <t>19/030 OB</t>
        </is>
      </c>
      <c r="K1631" s="2" t="inlineStr">
        <is>
          <t>Abierto simplificado</t>
        </is>
      </c>
      <c r="L1631" s="6" t="n">
        <v>4</v>
      </c>
      <c r="M1631" s="2" t="inlineStr">
        <is>
          <t>J1-1</t>
        </is>
      </c>
      <c r="N1631" s="7" t="n">
        <v>0</v>
      </c>
      <c r="O1631" s="4" t="n"/>
      <c r="P1631" s="2" t="inlineStr">
        <is>
          <t>42416100</t>
        </is>
      </c>
      <c r="Q1631" s="8" t="inlineStr">
        <is>
          <t>Ver</t>
        </is>
      </c>
      <c r="R1631" s="8" t="inlineStr">
        <is>
          <t>PCAP</t>
        </is>
      </c>
      <c r="S1631" s="9" t="n">
        <v>46310</v>
      </c>
      <c r="T1631" s="3" t="n">
        <v>46309.4290625</v>
      </c>
      <c r="U1631" s="2" t="n"/>
    </row>
    <row r="1632">
      <c r="A1632" s="2" t="inlineStr">
        <is>
          <t>Resuelta</t>
        </is>
      </c>
      <c r="B1632" s="3" t="n">
        <v>46225.58333333334</v>
      </c>
      <c r="C1632" s="5" t="n">
        <v>63718.46</v>
      </c>
      <c r="D1632" s="5" t="n">
        <v>63718.46</v>
      </c>
      <c r="E1632" s="2" t="inlineStr">
        <is>
          <t>Comunitat Valenciana</t>
        </is>
      </c>
      <c r="F1632" s="2" t="inlineStr">
        <is>
          <t>Castellón</t>
        </is>
      </c>
      <c r="G1632" s="2" t="inlineStr">
        <is>
          <t>Traiguera</t>
        </is>
      </c>
      <c r="H1632" s="2" t="inlineStr">
        <is>
          <t>Alcaldía del Ayuntamiento de Traiguera</t>
        </is>
      </c>
      <c r="I1632" s="2" t="inlineStr">
        <is>
          <t>Adecuación de la accesibilidad en el centro social de personas mayores de Traiguera</t>
        </is>
      </c>
      <c r="J1632" s="2" t="inlineStr">
        <is>
          <t>454/2026</t>
        </is>
      </c>
      <c r="K1632" s="2" t="inlineStr">
        <is>
          <t>Licitación con negociación</t>
        </is>
      </c>
      <c r="L1632" s="6" t="n">
        <v>4</v>
      </c>
      <c r="M1632" s="2" t="n"/>
      <c r="N1632" s="7" t="n">
        <v>0</v>
      </c>
      <c r="O1632" s="4" t="n"/>
      <c r="P1632" s="2" t="inlineStr">
        <is>
          <t>45313100; 45200000; 45000000</t>
        </is>
      </c>
      <c r="Q1632" s="8" t="inlineStr">
        <is>
          <t>Ver</t>
        </is>
      </c>
      <c r="R1632" s="2" t="n"/>
      <c r="S1632" s="9" t="n">
        <v>46310</v>
      </c>
      <c r="T1632" s="3" t="n">
        <v>46309.42163194445</v>
      </c>
      <c r="U1632" s="2" t="n"/>
    </row>
    <row r="1633">
      <c r="A1633" s="2" t="inlineStr">
        <is>
          <t>Adjudicada</t>
        </is>
      </c>
      <c r="B1633" s="3" t="n">
        <v>46293.99930555555</v>
      </c>
      <c r="C1633" s="5" t="n">
        <v>51652.89</v>
      </c>
      <c r="D1633" s="5" t="n">
        <v>51652.89</v>
      </c>
      <c r="E1633" s="2" t="inlineStr">
        <is>
          <t>Andalucía</t>
        </is>
      </c>
      <c r="F1633" s="2" t="inlineStr">
        <is>
          <t>Córdoba</t>
        </is>
      </c>
      <c r="G1633" s="2" t="inlineStr">
        <is>
          <t>Santaella</t>
        </is>
      </c>
      <c r="H1633" s="2" t="inlineStr">
        <is>
          <t>Alcaldía de Ayuntamiento de Santaella</t>
        </is>
      </c>
      <c r="I1633" s="2" t="inlineStr">
        <is>
          <t>Obras de intervención arqueológica en el patio del Castillo de Santaella (3ª fase).</t>
        </is>
      </c>
      <c r="J1633" s="2" t="inlineStr">
        <is>
          <t>OB-09/26</t>
        </is>
      </c>
      <c r="K1633" s="2" t="inlineStr">
        <is>
          <t>Abierto simplificado</t>
        </is>
      </c>
      <c r="L1633" s="6" t="n">
        <v>6</v>
      </c>
      <c r="M1633" s="2" t="n"/>
      <c r="N1633" s="7" t="n">
        <v>0</v>
      </c>
      <c r="O1633" s="4" t="n"/>
      <c r="P1633" s="2" t="inlineStr">
        <is>
          <t>45212314; 45212350; 45212354</t>
        </is>
      </c>
      <c r="Q1633" s="8" t="inlineStr">
        <is>
          <t>Ver</t>
        </is>
      </c>
      <c r="R1633" s="8" t="inlineStr">
        <is>
          <t>PCAP</t>
        </is>
      </c>
      <c r="S1633" s="9" t="n">
        <v>46310</v>
      </c>
      <c r="T1633" s="3" t="n">
        <v>46309.41952546296</v>
      </c>
      <c r="U1633" s="2" t="n"/>
    </row>
    <row r="1634">
      <c r="A1634" s="2" t="inlineStr">
        <is>
          <t>Pendiente de adjudicación</t>
        </is>
      </c>
      <c r="B1634" s="3" t="n">
        <v>46272.99930555555</v>
      </c>
      <c r="C1634" s="5" t="n">
        <v>341922.31</v>
      </c>
      <c r="D1634" s="5" t="n">
        <v>341922.31</v>
      </c>
      <c r="E1634" s="2" t="inlineStr">
        <is>
          <t>Andalucía</t>
        </is>
      </c>
      <c r="F1634" s="2" t="inlineStr">
        <is>
          <t>Córdoba</t>
        </is>
      </c>
      <c r="G1634" s="2" t="n"/>
      <c r="H1634" s="2" t="inlineStr">
        <is>
          <t>Junta de Gobierno de la Diputación Provincial de Córdoba</t>
        </is>
      </c>
      <c r="I1634" s="2" t="inlineStr">
        <is>
          <t>Contrato de Finalización de las obras de mejora en la piscina municipal, en Posadas (Córdoba).</t>
        </is>
      </c>
      <c r="J1634" s="2" t="inlineStr">
        <is>
          <t>618/26</t>
        </is>
      </c>
      <c r="K1634" s="2" t="inlineStr">
        <is>
          <t>Abierto</t>
        </is>
      </c>
      <c r="L1634" s="6" t="n">
        <v>10</v>
      </c>
      <c r="M1634" s="2" t="n"/>
      <c r="N1634" s="7" t="n">
        <v>0.25</v>
      </c>
      <c r="O1634" s="4" t="n"/>
      <c r="P1634" s="2" t="inlineStr">
        <is>
          <t>45200000; 45212212</t>
        </is>
      </c>
      <c r="Q1634" s="8" t="inlineStr">
        <is>
          <t>Ver</t>
        </is>
      </c>
      <c r="R1634" s="8" t="inlineStr">
        <is>
          <t>PCAP</t>
        </is>
      </c>
      <c r="S1634" s="9" t="n">
        <v>46310</v>
      </c>
      <c r="T1634" s="3" t="n">
        <v>46309.41932870371</v>
      </c>
      <c r="U1634" s="2" t="n"/>
    </row>
    <row r="1635">
      <c r="A1635" s="2" t="inlineStr">
        <is>
          <t>Resuelta</t>
        </is>
      </c>
      <c r="B1635" s="3" t="n">
        <v>46280.41666666666</v>
      </c>
      <c r="C1635" s="5" t="n">
        <v>182979.21</v>
      </c>
      <c r="D1635" s="5" t="n">
        <v>182979.21</v>
      </c>
      <c r="E1635" s="2" t="inlineStr">
        <is>
          <t>Andalucía</t>
        </is>
      </c>
      <c r="F1635" s="2" t="inlineStr">
        <is>
          <t>Sevilla</t>
        </is>
      </c>
      <c r="G1635" s="2" t="inlineStr">
        <is>
          <t>Morón de la frontera</t>
        </is>
      </c>
      <c r="H1635" s="2" t="inlineStr">
        <is>
          <t>Jefatura de la Sección Económico Administrativa 24 de la Base Aérea de Morón</t>
        </is>
      </c>
      <c r="I1635" s="2" t="inlineStr">
        <is>
          <t>Infraestructura/ Adecuación pavimento y apertura manual puertas hangares móviles 1 y 2 de la Base Aérea de Morón y Ala 11</t>
        </is>
      </c>
      <c r="J1635" s="2" t="inlineStr">
        <is>
          <t>2026/EA24/00002029E</t>
        </is>
      </c>
      <c r="K1635" s="2" t="inlineStr">
        <is>
          <t>Abierto</t>
        </is>
      </c>
      <c r="L1635" s="6" t="n">
        <v>4</v>
      </c>
      <c r="M1635" s="2" t="n"/>
      <c r="N1635" s="7" t="n">
        <v>0</v>
      </c>
      <c r="O1635" s="4" t="n"/>
      <c r="P1635" s="2" t="inlineStr">
        <is>
          <t>45000000; 45213351</t>
        </is>
      </c>
      <c r="Q1635" s="8" t="inlineStr">
        <is>
          <t>Ver</t>
        </is>
      </c>
      <c r="R1635" s="8" t="inlineStr">
        <is>
          <t>PCAP</t>
        </is>
      </c>
      <c r="S1635" s="9" t="n">
        <v>46310</v>
      </c>
      <c r="T1635" s="3" t="n">
        <v>46309.41929398148</v>
      </c>
      <c r="U1635" s="2" t="n"/>
    </row>
    <row r="1636">
      <c r="A1636" s="2" t="inlineStr">
        <is>
          <t>Resuelta</t>
        </is>
      </c>
      <c r="B1636" s="3" t="n">
        <v>46296.375</v>
      </c>
      <c r="C1636" s="5" t="n">
        <v>37319.01</v>
      </c>
      <c r="D1636" s="5" t="n">
        <v>37319.01</v>
      </c>
      <c r="E1636" s="2" t="inlineStr">
        <is>
          <t>Andalucía</t>
        </is>
      </c>
      <c r="F1636" s="2" t="inlineStr">
        <is>
          <t>Cádiz</t>
        </is>
      </c>
      <c r="G1636" s="2" t="n"/>
      <c r="H1636" s="2" t="inlineStr">
        <is>
          <t>Intendente de San Fernando</t>
        </is>
      </c>
      <c r="I1636" s="2" t="inlineStr">
        <is>
          <t>INFRA 26-050 CB Reparación de kiosco y gimnasio en centro deportivo y sociocultural de oficiales de San Fernando. Lote 7</t>
        </is>
      </c>
      <c r="J1636" s="2" t="inlineStr">
        <is>
          <t>2026/AR43U/00002545E</t>
        </is>
      </c>
      <c r="K1636" s="2" t="inlineStr">
        <is>
          <t>Abierto</t>
        </is>
      </c>
      <c r="L1636" s="6" t="n">
        <v>1.8</v>
      </c>
      <c r="M1636" s="2" t="n"/>
      <c r="N1636" s="7" t="n">
        <v>0</v>
      </c>
      <c r="O1636" s="4" t="n"/>
      <c r="P1636" s="2" t="inlineStr">
        <is>
          <t>45000000</t>
        </is>
      </c>
      <c r="Q1636" s="8" t="inlineStr">
        <is>
          <t>Ver</t>
        </is>
      </c>
      <c r="R1636" s="8" t="inlineStr">
        <is>
          <t>PCAP</t>
        </is>
      </c>
      <c r="S1636" s="9" t="n">
        <v>46310</v>
      </c>
      <c r="T1636" s="3" t="n">
        <v>46309.41267361111</v>
      </c>
      <c r="U1636" s="2" t="n"/>
    </row>
    <row r="1637">
      <c r="A1637" s="2" t="inlineStr">
        <is>
          <t>Resuelta</t>
        </is>
      </c>
      <c r="B1637" s="3" t="n">
        <v>46205.99930555555</v>
      </c>
      <c r="C1637" s="5" t="n">
        <v>51868.28</v>
      </c>
      <c r="D1637" s="5" t="n">
        <v>51868.28</v>
      </c>
      <c r="E1637" s="2" t="inlineStr">
        <is>
          <t>Andalucía</t>
        </is>
      </c>
      <c r="F1637" s="2" t="inlineStr">
        <is>
          <t>Granada</t>
        </is>
      </c>
      <c r="G1637" s="2" t="inlineStr">
        <is>
          <t>CHIMENEAS</t>
        </is>
      </c>
      <c r="H1637" s="2" t="inlineStr">
        <is>
          <t>Presidencia de la Diputación Provincial de Granada</t>
        </is>
      </c>
      <c r="I1637" s="2" t="inlineStr">
        <is>
          <t>2024/4/PPOYS-47/2 y 2026/4/PPOYS-47/1 "Chimeneas, mejora del alumbrado público en Castillo de Tajarja."</t>
        </is>
      </c>
      <c r="J1637" s="2" t="inlineStr">
        <is>
          <t>OB-019/26</t>
        </is>
      </c>
      <c r="K1637" s="2" t="inlineStr">
        <is>
          <t>Abierto simplificado</t>
        </is>
      </c>
      <c r="L1637" s="6" t="n">
        <v>4</v>
      </c>
      <c r="M1637" s="2" t="inlineStr">
        <is>
          <t>I1-1</t>
        </is>
      </c>
      <c r="N1637" s="7" t="n">
        <v>0</v>
      </c>
      <c r="O1637" s="4" t="n"/>
      <c r="P1637" s="2" t="inlineStr">
        <is>
          <t>45316100</t>
        </is>
      </c>
      <c r="Q1637" s="8" t="inlineStr">
        <is>
          <t>Ver</t>
        </is>
      </c>
      <c r="R1637" s="8" t="inlineStr">
        <is>
          <t>PCAP</t>
        </is>
      </c>
      <c r="S1637" s="9" t="n">
        <v>46310</v>
      </c>
      <c r="T1637" s="3" t="n">
        <v>46309.41211805555</v>
      </c>
      <c r="U1637" s="2" t="n"/>
    </row>
    <row r="1638">
      <c r="A1638" s="2" t="inlineStr">
        <is>
          <t>Resuelta</t>
        </is>
      </c>
      <c r="B1638" s="3" t="n">
        <v>46296.375</v>
      </c>
      <c r="C1638" s="5" t="n">
        <v>13877.3</v>
      </c>
      <c r="D1638" s="5" t="n">
        <v>13877.3</v>
      </c>
      <c r="E1638" s="2" t="inlineStr">
        <is>
          <t>Andalucía</t>
        </is>
      </c>
      <c r="F1638" s="2" t="inlineStr">
        <is>
          <t>Cádiz</t>
        </is>
      </c>
      <c r="G1638" s="2" t="inlineStr">
        <is>
          <t>San Fernando</t>
        </is>
      </c>
      <c r="H1638" s="2" t="inlineStr">
        <is>
          <t>Intendente de San Fernando</t>
        </is>
      </c>
      <c r="I1638" s="2" t="inlineStr">
        <is>
          <t>INFRA 61-061 Resanado y mejora de impermeabilización en muro de Ayudantía Mayor</t>
        </is>
      </c>
      <c r="J1638" s="2" t="inlineStr">
        <is>
          <t>2026/AR43U/00002474E</t>
        </is>
      </c>
      <c r="K1638" s="2" t="inlineStr">
        <is>
          <t>Abierto</t>
        </is>
      </c>
      <c r="L1638" s="6" t="n">
        <v>1</v>
      </c>
      <c r="M1638" s="2" t="n"/>
      <c r="N1638" s="7" t="n">
        <v>0</v>
      </c>
      <c r="O1638" s="4" t="n"/>
      <c r="P1638" s="2" t="inlineStr">
        <is>
          <t>45000000</t>
        </is>
      </c>
      <c r="Q1638" s="8" t="inlineStr">
        <is>
          <t>Ver</t>
        </is>
      </c>
      <c r="R1638" s="8" t="inlineStr">
        <is>
          <t>PCAP</t>
        </is>
      </c>
      <c r="S1638" s="9" t="n">
        <v>46310</v>
      </c>
      <c r="T1638" s="3" t="n">
        <v>46309.41024305556</v>
      </c>
      <c r="U1638" s="2" t="n"/>
    </row>
    <row r="1639">
      <c r="A1639" s="2" t="inlineStr">
        <is>
          <t>Plazo vencido</t>
        </is>
      </c>
      <c r="B1639" s="3" t="n">
        <v>46322.79166666666</v>
      </c>
      <c r="C1639" s="5" t="n">
        <v>110077.77</v>
      </c>
      <c r="D1639" s="5" t="n">
        <v>110077.77</v>
      </c>
      <c r="E1639" s="2" t="inlineStr">
        <is>
          <t>Comunitat Valenciana</t>
        </is>
      </c>
      <c r="F1639" s="2" t="inlineStr">
        <is>
          <t>Valencia</t>
        </is>
      </c>
      <c r="G1639" s="2" t="inlineStr">
        <is>
          <t>Algemesí</t>
        </is>
      </c>
      <c r="H1639" s="2" t="inlineStr">
        <is>
          <t>Junta de Gobierno del Ayuntamiento de Algemesí</t>
        </is>
      </c>
      <c r="I1639" s="2" t="inlineStr">
        <is>
          <t>Ejecución de obras para la «Reconstrucción del Centro Público de Formación de Adultos (EPA) y de la Escuela de Música Tabal i Dolçaina (EMTID).</t>
        </is>
      </c>
      <c r="J1639" s="2" t="inlineStr">
        <is>
          <t>8552/2026</t>
        </is>
      </c>
      <c r="K1639" s="2" t="inlineStr">
        <is>
          <t>Abierto simplificado</t>
        </is>
      </c>
      <c r="L1639" s="6" t="n">
        <v>2</v>
      </c>
      <c r="M1639" s="2" t="n"/>
      <c r="N1639" s="7" t="n">
        <v>0</v>
      </c>
      <c r="O1639" s="4" t="n"/>
      <c r="P1639" s="2" t="inlineStr">
        <is>
          <t>45453000; 45214000</t>
        </is>
      </c>
      <c r="Q1639" s="8" t="inlineStr">
        <is>
          <t>Ver</t>
        </is>
      </c>
      <c r="R1639" s="8" t="inlineStr">
        <is>
          <t>PCAP</t>
        </is>
      </c>
      <c r="S1639" s="9" t="n">
        <v>46310</v>
      </c>
      <c r="T1639" s="3" t="n">
        <v>46309.41001157407</v>
      </c>
      <c r="U1639" s="2" t="n"/>
    </row>
    <row r="1640">
      <c r="A1640" s="2" t="inlineStr">
        <is>
          <t>Resuelta</t>
        </is>
      </c>
      <c r="B1640" s="3" t="n">
        <v>46286.99930555555</v>
      </c>
      <c r="C1640" s="5" t="n">
        <v>150736.76</v>
      </c>
      <c r="D1640" s="5" t="n">
        <v>150736.76</v>
      </c>
      <c r="E1640" s="2" t="inlineStr">
        <is>
          <t>Comunitat Valenciana</t>
        </is>
      </c>
      <c r="F1640" s="2" t="inlineStr">
        <is>
          <t>Valencia</t>
        </is>
      </c>
      <c r="G1640" s="2" t="inlineStr">
        <is>
          <t>FORTALENY</t>
        </is>
      </c>
      <c r="H1640" s="2" t="inlineStr">
        <is>
          <t>Plenodel Ayuntamiento de Fortaleny</t>
        </is>
      </c>
      <c r="I1640" s="2" t="inlineStr">
        <is>
          <t>Demolición y construcción Casal Jove en Fortaleny</t>
        </is>
      </c>
      <c r="J1640" s="2" t="inlineStr">
        <is>
          <t>139/2026</t>
        </is>
      </c>
      <c r="K1640" s="2" t="inlineStr">
        <is>
          <t>Abierto simplificado</t>
        </is>
      </c>
      <c r="L1640" s="6" t="n">
        <v>8</v>
      </c>
      <c r="M1640" s="2" t="n"/>
      <c r="N1640" s="7" t="n">
        <v>0</v>
      </c>
      <c r="O1640" s="4" t="n"/>
      <c r="P1640" s="2" t="inlineStr">
        <is>
          <t>45111100; 45210000</t>
        </is>
      </c>
      <c r="Q1640" s="8" t="inlineStr">
        <is>
          <t>Ver</t>
        </is>
      </c>
      <c r="R1640" s="8" t="inlineStr">
        <is>
          <t>PCAP</t>
        </is>
      </c>
      <c r="S1640" s="9" t="n">
        <v>46310</v>
      </c>
      <c r="T1640" s="3" t="n">
        <v>46309.40403935185</v>
      </c>
      <c r="U1640" s="2" t="n"/>
    </row>
    <row r="1641">
      <c r="A1641" s="2" t="inlineStr">
        <is>
          <t>Resuelta</t>
        </is>
      </c>
      <c r="B1641" s="3" t="n">
        <v>43668.70833333334</v>
      </c>
      <c r="C1641" s="5" t="n">
        <v>745543.67</v>
      </c>
      <c r="D1641" s="5" t="n">
        <v>745543.67</v>
      </c>
      <c r="E1641" s="2" t="inlineStr">
        <is>
          <t>Andalucía</t>
        </is>
      </c>
      <c r="F1641" s="2" t="inlineStr">
        <is>
          <t>Córdoba</t>
        </is>
      </c>
      <c r="G1641" s="2" t="inlineStr">
        <is>
          <t>Córdoba</t>
        </is>
      </c>
      <c r="H1641" s="2" t="inlineStr">
        <is>
          <t>Presidencia de la Gerencia de Infraestructuras y Equipamientos de Cultura O.A</t>
        </is>
      </c>
      <c r="I1641" s="2" t="inlineStr">
        <is>
          <t>Obras de restauración de la Portada y Escalinata renacentistas del Museo Arqueológico de Córdoba.</t>
        </is>
      </c>
      <c r="J1641" s="2" t="inlineStr">
        <is>
          <t>19/043 OB</t>
        </is>
      </c>
      <c r="K1641" s="2" t="inlineStr">
        <is>
          <t>Abierto</t>
        </is>
      </c>
      <c r="L1641" s="6" t="n">
        <v>12</v>
      </c>
      <c r="M1641" s="2" t="inlineStr">
        <is>
          <t>K7-4</t>
        </is>
      </c>
      <c r="N1641" s="7" t="n">
        <v>0.5</v>
      </c>
      <c r="O1641" s="4" t="n"/>
      <c r="P1641" s="2" t="inlineStr">
        <is>
          <t>45454100</t>
        </is>
      </c>
      <c r="Q1641" s="8" t="inlineStr">
        <is>
          <t>Ver</t>
        </is>
      </c>
      <c r="R1641" s="8" t="inlineStr">
        <is>
          <t>PCAP</t>
        </is>
      </c>
      <c r="S1641" s="9" t="n">
        <v>46310</v>
      </c>
      <c r="T1641" s="3" t="n">
        <v>46309.39928240741</v>
      </c>
      <c r="U1641" s="2" t="n"/>
    </row>
    <row r="1642">
      <c r="A1642" s="2" t="inlineStr">
        <is>
          <t>Pendiente de adjudicación</t>
        </is>
      </c>
      <c r="B1642" s="3" t="n">
        <v>46295.75</v>
      </c>
      <c r="C1642" s="5" t="n">
        <v>249873.9</v>
      </c>
      <c r="D1642" s="5" t="n">
        <v>249873.52</v>
      </c>
      <c r="E1642" s="2" t="inlineStr">
        <is>
          <t>Comunitat Valenciana</t>
        </is>
      </c>
      <c r="F1642" s="2" t="inlineStr">
        <is>
          <t>Alicante</t>
        </is>
      </c>
      <c r="G1642" s="2" t="inlineStr">
        <is>
          <t>Alicante (Alacant)</t>
        </is>
      </c>
      <c r="H1642" s="2" t="inlineStr">
        <is>
          <t>Alcaldía del Ayuntamiento de Santa Pola</t>
        </is>
      </c>
      <c r="I1642" s="2" t="inlineStr">
        <is>
          <t>Renovación de baños del CEIP Ramón Cuesta 2026</t>
        </is>
      </c>
      <c r="J1642" s="2" t="inlineStr">
        <is>
          <t>17867/2026</t>
        </is>
      </c>
      <c r="K1642" s="2" t="inlineStr">
        <is>
          <t>Abierto simplificado</t>
        </is>
      </c>
      <c r="L1642" s="6" t="n">
        <v>4</v>
      </c>
      <c r="M1642" s="2" t="n"/>
      <c r="N1642" s="7" t="n">
        <v>0.5</v>
      </c>
      <c r="O1642" s="4" t="n"/>
      <c r="P1642" s="2" t="inlineStr">
        <is>
          <t>45300000; 45310000; 45330000; 45453100</t>
        </is>
      </c>
      <c r="Q1642" s="8" t="inlineStr">
        <is>
          <t>Ver</t>
        </is>
      </c>
      <c r="R1642" s="8" t="inlineStr">
        <is>
          <t>PCAP</t>
        </is>
      </c>
      <c r="S1642" s="9" t="n">
        <v>46310</v>
      </c>
      <c r="T1642" s="3" t="n">
        <v>46309.39864583333</v>
      </c>
      <c r="U1642" s="2" t="n"/>
    </row>
    <row r="1643">
      <c r="A1643" s="2" t="inlineStr">
        <is>
          <t>Plazo vencido</t>
        </is>
      </c>
      <c r="B1643" s="3" t="n">
        <v>46316.99930555555</v>
      </c>
      <c r="C1643" s="5" t="n">
        <v>426300.15</v>
      </c>
      <c r="D1643" s="5" t="n">
        <v>426300.15</v>
      </c>
      <c r="E1643" s="2" t="inlineStr">
        <is>
          <t>Andalucía</t>
        </is>
      </c>
      <c r="F1643" s="2" t="inlineStr">
        <is>
          <t>Málaga</t>
        </is>
      </c>
      <c r="G1643" s="2" t="inlineStr">
        <is>
          <t>Villanueva de la Concepción</t>
        </is>
      </c>
      <c r="H1643" s="2" t="inlineStr">
        <is>
          <t>Alcaldía del Ayuntamiento de Villanueva de la Concepción</t>
        </is>
      </c>
      <c r="I1643" s="2" t="inlineStr">
        <is>
          <t>Construcción nuevo depósito agua potable</t>
        </is>
      </c>
      <c r="J1643" s="2" t="inlineStr">
        <is>
          <t>2025/790</t>
        </is>
      </c>
      <c r="K1643" s="2" t="inlineStr">
        <is>
          <t>Abierto</t>
        </is>
      </c>
      <c r="L1643" s="6" t="n">
        <v>6</v>
      </c>
      <c r="M1643" s="2" t="n"/>
      <c r="N1643" s="7" t="n">
        <v>0</v>
      </c>
      <c r="O1643" s="4" t="n"/>
      <c r="P1643" s="2" t="inlineStr">
        <is>
          <t>45213260</t>
        </is>
      </c>
      <c r="Q1643" s="8" t="inlineStr">
        <is>
          <t>Ver</t>
        </is>
      </c>
      <c r="R1643" s="8" t="inlineStr">
        <is>
          <t>PCAP</t>
        </is>
      </c>
      <c r="S1643" s="9" t="n">
        <v>46310</v>
      </c>
      <c r="T1643" s="3" t="n">
        <v>46309.39697916667</v>
      </c>
      <c r="U1643" s="2" t="n"/>
    </row>
    <row r="1644">
      <c r="A1644" s="2" t="inlineStr">
        <is>
          <t>En plazo</t>
        </is>
      </c>
      <c r="B1644" s="3" t="n">
        <v>46329.79166666666</v>
      </c>
      <c r="C1644" s="5" t="n">
        <v>278857.93</v>
      </c>
      <c r="D1644" s="5" t="n">
        <v>278857.93</v>
      </c>
      <c r="E1644" s="2" t="inlineStr">
        <is>
          <t>Comunitat Valenciana</t>
        </is>
      </c>
      <c r="F1644" s="2" t="inlineStr">
        <is>
          <t>Valencia</t>
        </is>
      </c>
      <c r="G1644" s="2" t="inlineStr">
        <is>
          <t>Algemesí</t>
        </is>
      </c>
      <c r="H1644" s="2" t="inlineStr">
        <is>
          <t>Junta de Gobierno del Ayuntamiento de Algemesí</t>
        </is>
      </c>
      <c r="I1644" s="2" t="inlineStr">
        <is>
          <t>Ejecución de las obras "Reconstrucción del Teatre Jaume I", "Reconstrucció del edifici de l'Espai Jove" i "Reconstrucció de la Seu Adisalge d'Algemesí"</t>
        </is>
      </c>
      <c r="J1644" s="2" t="inlineStr">
        <is>
          <t>10456/2026</t>
        </is>
      </c>
      <c r="K1644" s="2" t="inlineStr">
        <is>
          <t>Abierto simplificado</t>
        </is>
      </c>
      <c r="L1644" s="6" t="n">
        <v>8</v>
      </c>
      <c r="M1644" s="2" t="n"/>
      <c r="N1644" s="7" t="n">
        <v>0</v>
      </c>
      <c r="O1644" s="4" t="n"/>
      <c r="P1644" s="2" t="inlineStr">
        <is>
          <t>45453000</t>
        </is>
      </c>
      <c r="Q1644" s="8" t="inlineStr">
        <is>
          <t>Ver</t>
        </is>
      </c>
      <c r="R1644" s="8" t="inlineStr">
        <is>
          <t>PCAP</t>
        </is>
      </c>
      <c r="S1644" s="9" t="n">
        <v>46310</v>
      </c>
      <c r="T1644" s="3" t="n">
        <v>46309.39287037037</v>
      </c>
      <c r="U1644" s="2" t="n"/>
    </row>
    <row r="1645">
      <c r="A1645" s="2" t="inlineStr">
        <is>
          <t>Pendiente de adjudicación</t>
        </is>
      </c>
      <c r="B1645" s="3" t="n">
        <v>46311.99930555555</v>
      </c>
      <c r="C1645" s="5" t="n">
        <v>76033.06</v>
      </c>
      <c r="D1645" s="5" t="n">
        <v>76033.06</v>
      </c>
      <c r="E1645" s="2" t="inlineStr">
        <is>
          <t>Andalucía</t>
        </is>
      </c>
      <c r="F1645" s="2" t="inlineStr">
        <is>
          <t>Málaga</t>
        </is>
      </c>
      <c r="G1645" s="2" t="n"/>
      <c r="H1645" s="2" t="inlineStr">
        <is>
          <t>Presidencia de la Entidad Local Autónoma Estación de Gaucín -El Colmenar</t>
        </is>
      </c>
      <c r="I1645" s="2" t="inlineStr">
        <is>
          <t>Mejora de Abastecimiento de Agua Potable en la Estación de Gaucín-El Colmenar.</t>
        </is>
      </c>
      <c r="J1645" s="2" t="inlineStr">
        <is>
          <t>2026/168</t>
        </is>
      </c>
      <c r="K1645" s="2" t="inlineStr">
        <is>
          <t>Negociado sin publicidad</t>
        </is>
      </c>
      <c r="L1645" s="6" t="n">
        <v>4</v>
      </c>
      <c r="M1645" s="2" t="n"/>
      <c r="N1645" s="7" t="n">
        <v>0</v>
      </c>
      <c r="O1645" s="4" t="n"/>
      <c r="P1645" s="2" t="inlineStr">
        <is>
          <t>45000000; 45300000; 45232000; 45240000; 45200000; 45231000</t>
        </is>
      </c>
      <c r="Q1645" s="8" t="inlineStr">
        <is>
          <t>Ver</t>
        </is>
      </c>
      <c r="R1645" s="8" t="inlineStr">
        <is>
          <t>PCAP</t>
        </is>
      </c>
      <c r="S1645" s="9" t="n">
        <v>46310</v>
      </c>
      <c r="T1645" s="3" t="n">
        <v>46309.39244212963</v>
      </c>
      <c r="U1645" s="2" t="n"/>
    </row>
    <row r="1646">
      <c r="A1646" s="2" t="inlineStr">
        <is>
          <t>Resuelta</t>
        </is>
      </c>
      <c r="B1646" s="3" t="n">
        <v>46240.58333333334</v>
      </c>
      <c r="C1646" s="5" t="n">
        <v>390427.58</v>
      </c>
      <c r="D1646" s="5" t="n">
        <v>429417.37</v>
      </c>
      <c r="E1646" s="2" t="inlineStr">
        <is>
          <t>Comunitat Valenciana</t>
        </is>
      </c>
      <c r="F1646" s="2" t="inlineStr">
        <is>
          <t>Valencia</t>
        </is>
      </c>
      <c r="G1646" s="2" t="inlineStr">
        <is>
          <t>Valencia</t>
        </is>
      </c>
      <c r="H1646" s="2" t="inlineStr">
        <is>
          <t>Departamento de Salud Valencia Dr. Peset. Dirección Económica-Gerencia</t>
        </is>
      </c>
      <c r="I1646" s="2" t="inlineStr">
        <is>
          <t>Obra de reforma de la Sala de Pediatría del Hospital Universitario Valencia Doctor Peset, del Departamento de Salud Valencia-Doctor Peset de Valencia, con condiciones especiales de ejecución de carácter ambiental. Lote único.</t>
        </is>
      </c>
      <c r="J1646" s="2" t="inlineStr">
        <is>
          <t>PAS 876/2026</t>
        </is>
      </c>
      <c r="K1646" s="2" t="inlineStr">
        <is>
          <t>Abierto simplificado</t>
        </is>
      </c>
      <c r="L1646" s="6" t="n">
        <v>5</v>
      </c>
      <c r="M1646" s="2" t="n"/>
      <c r="N1646" s="7" t="n">
        <v>0.25</v>
      </c>
      <c r="O1646" s="4" t="n"/>
      <c r="P1646" s="2" t="inlineStr">
        <is>
          <t>45262520; 45430000; 45441000; 45310000; 45350000; 45330000; 45442100</t>
        </is>
      </c>
      <c r="Q1646" s="8" t="inlineStr">
        <is>
          <t>Ver</t>
        </is>
      </c>
      <c r="R1646" s="8" t="inlineStr">
        <is>
          <t>PCAP</t>
        </is>
      </c>
      <c r="S1646" s="9" t="n">
        <v>46310</v>
      </c>
      <c r="T1646" s="3" t="n">
        <v>46309.38972222222</v>
      </c>
      <c r="U1646" s="2" t="n"/>
    </row>
    <row r="1647">
      <c r="A1647" s="2" t="inlineStr">
        <is>
          <t>En plazo</t>
        </is>
      </c>
      <c r="B1647" s="3" t="n">
        <v>46337.41666666666</v>
      </c>
      <c r="C1647" s="5" t="n">
        <v>70000</v>
      </c>
      <c r="D1647" s="5" t="n">
        <v>70000</v>
      </c>
      <c r="E1647" s="2" t="inlineStr">
        <is>
          <t>Andalucía</t>
        </is>
      </c>
      <c r="F1647" s="2" t="inlineStr">
        <is>
          <t>Cádiz</t>
        </is>
      </c>
      <c r="G1647" s="2" t="n"/>
      <c r="H1647" s="2" t="inlineStr">
        <is>
          <t>Comité Central de Compras de Navantia S.A., S.M.E.</t>
        </is>
      </c>
      <c r="I1647" s="2" t="inlineStr">
        <is>
          <t>La presente licitación tiene por objeto la contratación de la redacción de proyecto y ejecución de la reparación estructural del forjado sanitario del centro de transformación "central piloto" en Navantia Puerto Real.</t>
        </is>
      </c>
      <c r="J1647" s="2" t="inlineStr">
        <is>
          <t>5100075462 - PROY Y EJEC FORJADO CT CENTRAL PILOTO</t>
        </is>
      </c>
      <c r="K1647" s="2" t="inlineStr">
        <is>
          <t>Normas internas</t>
        </is>
      </c>
      <c r="L1647" s="6" t="n">
        <v>4</v>
      </c>
      <c r="M1647" s="2" t="n"/>
      <c r="N1647" s="7" t="n">
        <v>1</v>
      </c>
      <c r="O1647" s="4" t="n"/>
      <c r="P1647" s="2" t="inlineStr">
        <is>
          <t>45453100</t>
        </is>
      </c>
      <c r="Q1647" s="8" t="inlineStr">
        <is>
          <t>Ver</t>
        </is>
      </c>
      <c r="R1647" s="8" t="inlineStr">
        <is>
          <t>PCAP</t>
        </is>
      </c>
      <c r="S1647" s="9" t="n">
        <v>46310</v>
      </c>
      <c r="T1647" s="3" t="n">
        <v>46309.38667824074</v>
      </c>
      <c r="U1647" s="2" t="n"/>
    </row>
    <row r="1648">
      <c r="A1648" s="2" t="inlineStr">
        <is>
          <t>Pendiente de adjudicación</t>
        </is>
      </c>
      <c r="B1648" s="3" t="n">
        <v>46302.99930555555</v>
      </c>
      <c r="C1648" s="5" t="n">
        <v>829212.0699999999</v>
      </c>
      <c r="D1648" s="5" t="n">
        <v>1077975.69</v>
      </c>
      <c r="E1648" s="2" t="inlineStr">
        <is>
          <t>Comunitat Valenciana</t>
        </is>
      </c>
      <c r="F1648" s="2" t="inlineStr">
        <is>
          <t>Valencia</t>
        </is>
      </c>
      <c r="G1648" s="2" t="n"/>
      <c r="H1648" s="2" t="inlineStr">
        <is>
          <t>Consorcio Hospital General Universitario de Valencia</t>
        </is>
      </c>
      <c r="I1648" s="2" t="inlineStr">
        <is>
          <t>Contrato administrativo de obras, responsable con el medio ambiente, para la ejecución de la obra de instalación de una enfriadora para el pabellón A, sector 1 del Consorcio Hospital General Universitario de Valencia.</t>
        </is>
      </c>
      <c r="J1648" s="2" t="inlineStr">
        <is>
          <t>CMAYOR/2026/HGUV0/1833</t>
        </is>
      </c>
      <c r="K1648" s="2" t="inlineStr">
        <is>
          <t>Abierto simplificado</t>
        </is>
      </c>
      <c r="L1648" s="6" t="n">
        <v>5.6</v>
      </c>
      <c r="M1648" s="2" t="n"/>
      <c r="N1648" s="7" t="n">
        <v>0.2</v>
      </c>
      <c r="O1648" s="4" t="n"/>
      <c r="P1648" s="2" t="inlineStr">
        <is>
          <t>45331230; 45330000; 42500000; 31141000; 42512300; 42512000; 45310000</t>
        </is>
      </c>
      <c r="Q1648" s="8" t="inlineStr">
        <is>
          <t>Ver</t>
        </is>
      </c>
      <c r="R1648" s="8" t="inlineStr">
        <is>
          <t>PCAP</t>
        </is>
      </c>
      <c r="S1648" s="9" t="n">
        <v>46310</v>
      </c>
      <c r="T1648" s="3" t="n">
        <v>46309.38325231482</v>
      </c>
      <c r="U1648" s="2" t="n"/>
    </row>
    <row r="1649">
      <c r="A1649" s="2" t="inlineStr">
        <is>
          <t>Pendiente de adjudicación</t>
        </is>
      </c>
      <c r="B1649" s="3" t="n">
        <v>46276.54166666666</v>
      </c>
      <c r="C1649" s="5" t="n">
        <v>730619.33</v>
      </c>
      <c r="D1649" s="5" t="n">
        <v>730619.33</v>
      </c>
      <c r="E1649" s="2" t="inlineStr">
        <is>
          <t>Andalucía</t>
        </is>
      </c>
      <c r="F1649" s="2" t="inlineStr">
        <is>
          <t>Jaén</t>
        </is>
      </c>
      <c r="G1649" s="2" t="n"/>
      <c r="H1649" s="2" t="inlineStr">
        <is>
          <t>Consejo de Administración de Sociedad Mercantil Estatal Aguas de las Cuencas de España, S.A. (ACUAES)</t>
        </is>
      </c>
      <c r="I1649" s="2" t="inlineStr">
        <is>
          <t>Ejecución de las obras del Proyecto de "Mejora del abastecimiento a Huelma (Jaén)"</t>
        </is>
      </c>
      <c r="J1649" s="2" t="inlineStr">
        <is>
          <t>ACE/318.81/26/OBRA/01</t>
        </is>
      </c>
      <c r="K1649" s="2" t="inlineStr">
        <is>
          <t>Abierto</t>
        </is>
      </c>
      <c r="L1649" s="6" t="n">
        <v>7</v>
      </c>
      <c r="M1649" s="2" t="inlineStr">
        <is>
          <t>E1-3</t>
        </is>
      </c>
      <c r="N1649" s="7" t="n">
        <v>0.45</v>
      </c>
      <c r="O1649" s="4" t="n"/>
      <c r="P1649" s="2" t="inlineStr">
        <is>
          <t>45240000</t>
        </is>
      </c>
      <c r="Q1649" s="8" t="inlineStr">
        <is>
          <t>Ver</t>
        </is>
      </c>
      <c r="R1649" s="8" t="inlineStr">
        <is>
          <t>PCAP</t>
        </is>
      </c>
      <c r="S1649" s="9" t="n">
        <v>46310</v>
      </c>
      <c r="T1649" s="3" t="n">
        <v>46309.3828587963</v>
      </c>
      <c r="U1649" s="2" t="n"/>
    </row>
    <row r="1650">
      <c r="A1650" s="2" t="inlineStr">
        <is>
          <t>Pendiente de adjudicación</t>
        </is>
      </c>
      <c r="B1650" s="3" t="n">
        <v>46308.41666666666</v>
      </c>
      <c r="C1650" s="5" t="n">
        <v>87292.85000000001</v>
      </c>
      <c r="D1650" s="5" t="n">
        <v>87292.85000000001</v>
      </c>
      <c r="E1650" s="2" t="inlineStr">
        <is>
          <t>Andalucía</t>
        </is>
      </c>
      <c r="F1650" s="2" t="inlineStr">
        <is>
          <t>Sevilla</t>
        </is>
      </c>
      <c r="G1650" s="2" t="inlineStr">
        <is>
          <t>Sevilla</t>
        </is>
      </c>
      <c r="H1650" s="2" t="inlineStr">
        <is>
          <t>Jefatura de la Sección Económico Administrativa 12 - Agrupación del Acuartelamiento Aéreo Tablada</t>
        </is>
      </c>
      <c r="I1650" s="2" t="inlineStr">
        <is>
          <t>Obra de adecuación de cubierta en el Edificio de la Asesoría Jurídica del ACAR Tablada</t>
        </is>
      </c>
      <c r="J1650" s="2" t="inlineStr">
        <is>
          <t>2026/EA12/00001225E</t>
        </is>
      </c>
      <c r="K1650" s="2" t="inlineStr">
        <is>
          <t>Abierto simplificado</t>
        </is>
      </c>
      <c r="L1650" s="6" t="n">
        <v>3</v>
      </c>
      <c r="M1650" s="2" t="n"/>
      <c r="N1650" s="7" t="n">
        <v>0</v>
      </c>
      <c r="O1650" s="4" t="n"/>
      <c r="P1650" s="2" t="inlineStr">
        <is>
          <t>45261220</t>
        </is>
      </c>
      <c r="Q1650" s="8" t="inlineStr">
        <is>
          <t>Ver</t>
        </is>
      </c>
      <c r="R1650" s="8" t="inlineStr">
        <is>
          <t>PCAP</t>
        </is>
      </c>
      <c r="S1650" s="9" t="n">
        <v>46310</v>
      </c>
      <c r="T1650" s="3" t="n">
        <v>46309.38267361111</v>
      </c>
      <c r="U1650" s="2" t="n"/>
    </row>
    <row r="1651">
      <c r="A1651" s="2" t="inlineStr">
        <is>
          <t>En plazo</t>
        </is>
      </c>
      <c r="B1651" s="3" t="n">
        <v>46337.99930555555</v>
      </c>
      <c r="C1651" s="5" t="n">
        <v>99173.55</v>
      </c>
      <c r="D1651" s="5" t="n">
        <v>99173.55</v>
      </c>
      <c r="E1651" s="2" t="inlineStr">
        <is>
          <t>Andalucía</t>
        </is>
      </c>
      <c r="F1651" s="2" t="inlineStr">
        <is>
          <t>Granada</t>
        </is>
      </c>
      <c r="G1651" s="2" t="n"/>
      <c r="H1651" s="2" t="inlineStr">
        <is>
          <t>Junta de Gobierno Local del Ayuntamiento de la Villa de Otura</t>
        </is>
      </c>
      <c r="I1651"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1651" s="2" t="inlineStr">
        <is>
          <t>3481/2026</t>
        </is>
      </c>
      <c r="K1651" s="2" t="inlineStr">
        <is>
          <t>Abierto simplificado</t>
        </is>
      </c>
      <c r="L1651" s="6" t="n">
        <v>3</v>
      </c>
      <c r="M1651" s="2" t="n"/>
      <c r="N1651" s="7" t="n">
        <v>0.25</v>
      </c>
      <c r="O1651" s="4" t="n"/>
      <c r="P1651" s="2" t="inlineStr">
        <is>
          <t>45220000</t>
        </is>
      </c>
      <c r="Q1651" s="8" t="inlineStr">
        <is>
          <t>Ver</t>
        </is>
      </c>
      <c r="R1651" s="8" t="inlineStr">
        <is>
          <t>PCAP</t>
        </is>
      </c>
      <c r="S1651" s="9" t="n">
        <v>46310</v>
      </c>
      <c r="T1651" s="3" t="n">
        <v>46309.38070601852</v>
      </c>
      <c r="U1651" s="2" t="n"/>
    </row>
    <row r="1652">
      <c r="A1652" s="2" t="inlineStr">
        <is>
          <t>Pendiente de adjudicación</t>
        </is>
      </c>
      <c r="B1652" s="3" t="n">
        <v>46232.99930555555</v>
      </c>
      <c r="C1652" s="5" t="n">
        <v>408925.62</v>
      </c>
      <c r="D1652" s="5" t="n">
        <v>408925.62</v>
      </c>
      <c r="E1652" s="2" t="inlineStr">
        <is>
          <t>Andalucía</t>
        </is>
      </c>
      <c r="F1652" s="2" t="inlineStr">
        <is>
          <t>Almería</t>
        </is>
      </c>
      <c r="G1652" s="2" t="n"/>
      <c r="H1652" s="2" t="inlineStr">
        <is>
          <t>Junta de Gobierno de la Diputación Provincial de Almería</t>
        </is>
      </c>
      <c r="I1652" s="2" t="inlineStr">
        <is>
          <t>Mejoras En El Abastecimiento Y Alcantarillado En Rioja 78PPOS24-27BI</t>
        </is>
      </c>
      <c r="J1652" s="2" t="inlineStr">
        <is>
          <t>2025/D31000/006-013/00136</t>
        </is>
      </c>
      <c r="K1652" s="2" t="inlineStr">
        <is>
          <t>Abierto simplificado</t>
        </is>
      </c>
      <c r="L1652" s="6" t="n">
        <v>8</v>
      </c>
      <c r="M1652" s="2" t="n"/>
      <c r="N1652" s="7" t="n">
        <v>0.25</v>
      </c>
      <c r="O1652" s="4" t="n"/>
      <c r="P1652" s="2" t="inlineStr">
        <is>
          <t>45231300</t>
        </is>
      </c>
      <c r="Q1652" s="8" t="inlineStr">
        <is>
          <t>Ver</t>
        </is>
      </c>
      <c r="R1652" s="8" t="inlineStr">
        <is>
          <t>PCAP</t>
        </is>
      </c>
      <c r="S1652" s="9" t="n">
        <v>46310</v>
      </c>
      <c r="T1652" s="3" t="n">
        <v>46309.38025462963</v>
      </c>
      <c r="U1652" s="2" t="n"/>
    </row>
    <row r="1653">
      <c r="A1653" s="2" t="inlineStr">
        <is>
          <t>Resuelta</t>
        </is>
      </c>
      <c r="B1653" s="3" t="n">
        <v>44207.99930555555</v>
      </c>
      <c r="C1653" s="5" t="n">
        <v>1829848.3</v>
      </c>
      <c r="D1653" s="5" t="n">
        <v>1829848.3</v>
      </c>
      <c r="E1653" s="2" t="inlineStr">
        <is>
          <t>Comunitat Valenciana</t>
        </is>
      </c>
      <c r="F1653" s="2" t="inlineStr">
        <is>
          <t>Valencia</t>
        </is>
      </c>
      <c r="G1653" s="2" t="n"/>
      <c r="H1653" s="2" t="inlineStr">
        <is>
          <t>Junta de Gobierno del Ajuntament de València</t>
        </is>
      </c>
      <c r="I1653" s="2" t="inlineStr">
        <is>
          <t>Obras de ejecución de alcantarillado en la zona del camino Tremolar, camino Alter y entorno carretera de La Font de Masiá, de Castellar, dividido en tres lotes.-</t>
        </is>
      </c>
      <c r="J1653" s="2" t="inlineStr">
        <is>
          <t>04101/2020/219-O</t>
        </is>
      </c>
      <c r="K1653" s="2" t="inlineStr">
        <is>
          <t>Abierto simplificado</t>
        </is>
      </c>
      <c r="L1653" s="6" t="n">
        <v>8</v>
      </c>
      <c r="M1653" s="2" t="n"/>
      <c r="N1653" s="7" t="n">
        <v>0</v>
      </c>
      <c r="O1653" s="4" t="n">
        <v>3</v>
      </c>
      <c r="P1653" s="2" t="inlineStr">
        <is>
          <t>45232400</t>
        </is>
      </c>
      <c r="Q1653" s="8" t="inlineStr">
        <is>
          <t>Ver</t>
        </is>
      </c>
      <c r="R1653" s="8" t="inlineStr">
        <is>
          <t>PCAP</t>
        </is>
      </c>
      <c r="S1653" s="9" t="n">
        <v>46310</v>
      </c>
      <c r="T1653" s="3" t="n">
        <v>46309.37738425926</v>
      </c>
      <c r="U1653" s="2" t="n"/>
    </row>
    <row r="1654">
      <c r="A1654" s="2" t="inlineStr">
        <is>
          <t>Resuelta</t>
        </is>
      </c>
      <c r="B1654" s="3" t="n">
        <v>46274.36111111111</v>
      </c>
      <c r="C1654" s="5" t="n">
        <v>778701.17</v>
      </c>
      <c r="D1654" s="5" t="n">
        <v>778701.17</v>
      </c>
      <c r="E1654" s="2" t="inlineStr">
        <is>
          <t>Andalucía</t>
        </is>
      </c>
      <c r="F1654" s="2" t="inlineStr">
        <is>
          <t>Jaén</t>
        </is>
      </c>
      <c r="G1654" s="2" t="n"/>
      <c r="H1654" s="2" t="inlineStr">
        <is>
          <t>Alcaldía del Ayuntamiento de Baños de la Encina</t>
        </is>
      </c>
      <c r="I1654" s="2" t="inlineStr">
        <is>
          <t>Actuación de emergencia para la consolidación estructuras en torres y lienzos del Castillo de Baños de la Encina, especificamente en los sectrores delimitados como L3-4/ T4/ L4-5/L7-8/T8/L8-9</t>
        </is>
      </c>
      <c r="J1654" s="2" t="inlineStr">
        <is>
          <t>1189/2026</t>
        </is>
      </c>
      <c r="K1654" s="2" t="inlineStr">
        <is>
          <t>Negociado sin publicidad</t>
        </is>
      </c>
      <c r="L1654" s="6" t="n">
        <v>12</v>
      </c>
      <c r="M1654" s="2" t="n"/>
      <c r="N1654" s="7" t="n"/>
      <c r="O1654" s="4" t="n"/>
      <c r="P1654" s="2" t="inlineStr">
        <is>
          <t>45212300; 45212350</t>
        </is>
      </c>
      <c r="Q1654" s="8" t="inlineStr">
        <is>
          <t>Ver</t>
        </is>
      </c>
      <c r="R1654" s="2" t="n"/>
      <c r="S1654" s="9" t="n">
        <v>46310</v>
      </c>
      <c r="T1654" s="3" t="n">
        <v>46309.37482638889</v>
      </c>
      <c r="U1654" s="2" t="n"/>
    </row>
    <row r="1655">
      <c r="A1655" s="2" t="inlineStr">
        <is>
          <t>Resuelta</t>
        </is>
      </c>
      <c r="B1655" s="3" t="n">
        <v>46122.99930555555</v>
      </c>
      <c r="C1655" s="5" t="n">
        <v>73744.50999999999</v>
      </c>
      <c r="D1655" s="5" t="n">
        <v>73744.50999999999</v>
      </c>
      <c r="E1655" s="2" t="inlineStr">
        <is>
          <t>Andalucía</t>
        </is>
      </c>
      <c r="F1655" s="2" t="inlineStr">
        <is>
          <t>Almería</t>
        </is>
      </c>
      <c r="G1655" s="2" t="inlineStr">
        <is>
          <t>turre</t>
        </is>
      </c>
      <c r="H1655" s="2" t="inlineStr">
        <is>
          <t>Presidencia de la Mancomunidad de municipios del Levante Almeriense</t>
        </is>
      </c>
      <c r="I1655"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655" s="2" t="inlineStr">
        <is>
          <t>46/2026</t>
        </is>
      </c>
      <c r="K1655" s="2" t="inlineStr">
        <is>
          <t>Negociado sin publicidad</t>
        </is>
      </c>
      <c r="L1655" s="6" t="n">
        <v>1.2</v>
      </c>
      <c r="M1655" s="2" t="n"/>
      <c r="N1655" s="7" t="n">
        <v>0</v>
      </c>
      <c r="O1655" s="4" t="n"/>
      <c r="P1655" s="2" t="inlineStr">
        <is>
          <t>45240000; 45248200; 45246000</t>
        </is>
      </c>
      <c r="Q1655" s="8" t="inlineStr">
        <is>
          <t>Ver</t>
        </is>
      </c>
      <c r="R1655" s="8" t="inlineStr">
        <is>
          <t>PCAP</t>
        </is>
      </c>
      <c r="S1655" s="9" t="n">
        <v>46310</v>
      </c>
      <c r="T1655" s="3" t="n">
        <v>46309.37210648148</v>
      </c>
      <c r="U1655" s="2" t="n"/>
    </row>
    <row r="1656">
      <c r="A1656" s="2" t="inlineStr">
        <is>
          <t>Pendiente de adjudicación</t>
        </is>
      </c>
      <c r="B1656" s="3" t="n">
        <v>46210.58333333334</v>
      </c>
      <c r="C1656" s="5" t="n">
        <v>516286.11</v>
      </c>
      <c r="D1656" s="5" t="n">
        <v>516286.11</v>
      </c>
      <c r="E1656" s="2" t="inlineStr">
        <is>
          <t>Comunitat Valenciana</t>
        </is>
      </c>
      <c r="F1656" s="2" t="inlineStr">
        <is>
          <t>Valencia</t>
        </is>
      </c>
      <c r="G1656" s="2" t="n"/>
      <c r="H1656" s="2" t="inlineStr">
        <is>
          <t>Junta de Gobierno del Ayuntamiento de El Puig de Santa María</t>
        </is>
      </c>
      <c r="I1656" s="2" t="inlineStr">
        <is>
          <t>Contrato de obra de reforma del CEIP Pare Jofre</t>
        </is>
      </c>
      <c r="J1656" s="2" t="inlineStr">
        <is>
          <t>2865889C</t>
        </is>
      </c>
      <c r="K1656" s="2" t="inlineStr">
        <is>
          <t>Abierto simplificado</t>
        </is>
      </c>
      <c r="L1656" s="6" t="n">
        <v>5</v>
      </c>
      <c r="M1656" s="2" t="n"/>
      <c r="N1656" s="7" t="n">
        <v>0</v>
      </c>
      <c r="O1656" s="4" t="n"/>
      <c r="P1656" s="2" t="inlineStr">
        <is>
          <t>45214200; 45310000; 45421160; 44620000</t>
        </is>
      </c>
      <c r="Q1656" s="8" t="inlineStr">
        <is>
          <t>Ver</t>
        </is>
      </c>
      <c r="R1656" s="8" t="inlineStr">
        <is>
          <t>PCAP</t>
        </is>
      </c>
      <c r="S1656" s="9" t="n">
        <v>46310</v>
      </c>
      <c r="T1656" s="3" t="n">
        <v>46309.36381944444</v>
      </c>
      <c r="U1656" s="2" t="n"/>
    </row>
    <row r="1657">
      <c r="A1657" s="2" t="inlineStr">
        <is>
          <t>Adjudicada</t>
        </is>
      </c>
      <c r="B1657" s="3" t="n">
        <v>46289.79166666666</v>
      </c>
      <c r="C1657" s="5" t="n">
        <v>62571.33</v>
      </c>
      <c r="D1657" s="5" t="n">
        <v>62571.33</v>
      </c>
      <c r="E1657" s="2" t="inlineStr">
        <is>
          <t>Andalucía</t>
        </is>
      </c>
      <c r="F1657" s="2" t="inlineStr">
        <is>
          <t>Córdoba</t>
        </is>
      </c>
      <c r="G1657" s="2" t="inlineStr">
        <is>
          <t>Monturque</t>
        </is>
      </c>
      <c r="H1657" s="2" t="inlineStr">
        <is>
          <t>Junta de Gobierno Local de Ayuntamiento de Monturque</t>
        </is>
      </c>
      <c r="I1657" s="2" t="inlineStr">
        <is>
          <t>Reparación daños por tormentas y vientos en Mercado Municipal de Monturque.</t>
        </is>
      </c>
      <c r="J1657" s="2" t="inlineStr">
        <is>
          <t>GEX 2026/2580</t>
        </is>
      </c>
      <c r="K1657" s="2" t="inlineStr">
        <is>
          <t>Abierto simplificado</t>
        </is>
      </c>
      <c r="L1657" s="6" t="n">
        <v>2</v>
      </c>
      <c r="M1657" s="2" t="n"/>
      <c r="N1657" s="7" t="n">
        <v>0</v>
      </c>
      <c r="O1657" s="4" t="n"/>
      <c r="P1657" s="2" t="inlineStr">
        <is>
          <t>45261420; 45262500; 45261910</t>
        </is>
      </c>
      <c r="Q1657" s="8" t="inlineStr">
        <is>
          <t>Ver</t>
        </is>
      </c>
      <c r="R1657" s="8" t="inlineStr">
        <is>
          <t>PCAP</t>
        </is>
      </c>
      <c r="S1657" s="9" t="n">
        <v>46310</v>
      </c>
      <c r="T1657" s="3" t="n">
        <v>46309.34650462963</v>
      </c>
      <c r="U1657" s="2" t="n"/>
    </row>
    <row r="1658">
      <c r="A1658" s="2" t="inlineStr">
        <is>
          <t>Resuelta</t>
        </is>
      </c>
      <c r="B1658" s="3" t="n">
        <v>46274.58333333334</v>
      </c>
      <c r="C1658" s="5" t="n">
        <v>142620.74</v>
      </c>
      <c r="D1658" s="5" t="n">
        <v>142620.74</v>
      </c>
      <c r="E1658" s="2" t="inlineStr">
        <is>
          <t>Comunitat Valenciana</t>
        </is>
      </c>
      <c r="F1658" s="2" t="inlineStr">
        <is>
          <t>Valencia</t>
        </is>
      </c>
      <c r="G1658" s="2" t="inlineStr">
        <is>
          <t>ALFAFAR</t>
        </is>
      </c>
      <c r="H1658" s="2" t="inlineStr">
        <is>
          <t>Alcaldía del Ayuntamiento de Alfafar</t>
        </is>
      </c>
      <c r="I1658" s="2" t="inlineStr">
        <is>
          <t>Obra Reconstruccion Centro Andaluz Barrio Orba Alfafar Ayuda Estatal Orden Minisiterial TMD 101 20256 DANA 29 octubre 2024</t>
        </is>
      </c>
      <c r="J1658" s="2" t="inlineStr">
        <is>
          <t>5876-2026</t>
        </is>
      </c>
      <c r="K1658" s="2" t="inlineStr">
        <is>
          <t>Abierto</t>
        </is>
      </c>
      <c r="L1658" s="6" t="n">
        <v>5</v>
      </c>
      <c r="M1658" s="2" t="n"/>
      <c r="N1658" s="7" t="n">
        <v>0</v>
      </c>
      <c r="O1658" s="4" t="n"/>
      <c r="P1658" s="2" t="inlineStr">
        <is>
          <t>45000000; 45210000</t>
        </is>
      </c>
      <c r="Q1658" s="8" t="inlineStr">
        <is>
          <t>Ver</t>
        </is>
      </c>
      <c r="R1658" s="8" t="inlineStr">
        <is>
          <t>PCAP</t>
        </is>
      </c>
      <c r="S1658" s="9" t="n">
        <v>46310</v>
      </c>
      <c r="T1658" s="3" t="n">
        <v>46309.34042824074</v>
      </c>
      <c r="U1658" s="2" t="n"/>
    </row>
    <row r="1659">
      <c r="A1659" s="2" t="inlineStr">
        <is>
          <t>Adjudicada</t>
        </is>
      </c>
      <c r="B1659" s="3" t="n">
        <v>46276.625</v>
      </c>
      <c r="C1659" s="5" t="n">
        <v>41314.03</v>
      </c>
      <c r="D1659" s="5" t="n">
        <v>41314.03</v>
      </c>
      <c r="E1659" s="2" t="inlineStr">
        <is>
          <t>Andalucía</t>
        </is>
      </c>
      <c r="F1659" s="2" t="inlineStr">
        <is>
          <t>Cádiz</t>
        </is>
      </c>
      <c r="G1659" s="2" t="inlineStr">
        <is>
          <t>TARIFA</t>
        </is>
      </c>
      <c r="H1659" s="2" t="inlineStr">
        <is>
          <t>Alcaldía del Ayuntamiento de Tarifa</t>
        </is>
      </c>
      <c r="I1659" s="2" t="inlineStr">
        <is>
          <t>reparación y acondicionamiento de las pistas exteriores en el pabellón municipal de La Raqueta de Tarifa</t>
        </is>
      </c>
      <c r="J1659" s="2" t="inlineStr">
        <is>
          <t>2026/4084</t>
        </is>
      </c>
      <c r="K1659" s="2" t="inlineStr">
        <is>
          <t>Abierto simplificado</t>
        </is>
      </c>
      <c r="L1659" s="6" t="n">
        <v>0.7</v>
      </c>
      <c r="M1659" s="2" t="n"/>
      <c r="N1659" s="7" t="n">
        <v>0</v>
      </c>
      <c r="O1659" s="4" t="n"/>
      <c r="P1659" s="2" t="inlineStr">
        <is>
          <t>45212200; 45236112; 45236119</t>
        </is>
      </c>
      <c r="Q1659" s="8" t="inlineStr">
        <is>
          <t>Ver</t>
        </is>
      </c>
      <c r="R1659" s="8" t="inlineStr">
        <is>
          <t>PCAP</t>
        </is>
      </c>
      <c r="S1659" s="9" t="n">
        <v>46310</v>
      </c>
      <c r="T1659" s="3" t="n">
        <v>46309.34001157407</v>
      </c>
      <c r="U1659" s="2" t="n"/>
    </row>
    <row r="1660">
      <c r="A1660" s="2" t="inlineStr">
        <is>
          <t>Resuelta</t>
        </is>
      </c>
      <c r="B1660" s="3" t="n">
        <v>46195.99930555555</v>
      </c>
      <c r="C1660" s="5" t="n">
        <v>4173471.5</v>
      </c>
      <c r="D1660" s="5" t="n">
        <v>4590818.65</v>
      </c>
      <c r="E1660" s="2" t="inlineStr">
        <is>
          <t>Comunitat Valenciana</t>
        </is>
      </c>
      <c r="F1660" s="2" t="inlineStr">
        <is>
          <t>Castellón</t>
        </is>
      </c>
      <c r="G1660" s="2" t="inlineStr">
        <is>
          <t>La Vall d'Uixó</t>
        </is>
      </c>
      <c r="H1660" s="2" t="inlineStr">
        <is>
          <t>Junta de Gobierno del Ayuntamiento de La Vall d'Uixó</t>
        </is>
      </c>
      <c r="I1660" s="2" t="inlineStr">
        <is>
          <t>Finalización de las obras de rehabilitación de la Casa Consistorial ( PIREP).</t>
        </is>
      </c>
      <c r="J1660" s="2" t="inlineStr">
        <is>
          <t>JGL-OBR/2026000029</t>
        </is>
      </c>
      <c r="K1660" s="2" t="inlineStr">
        <is>
          <t>Abierto</t>
        </is>
      </c>
      <c r="L1660" s="6" t="n">
        <v>15</v>
      </c>
      <c r="M1660" s="2" t="inlineStr">
        <is>
          <t>C*-5</t>
        </is>
      </c>
      <c r="N1660" s="7" t="n">
        <v>0.45</v>
      </c>
      <c r="O1660" s="4" t="n"/>
      <c r="P1660" s="2" t="inlineStr">
        <is>
          <t>45000000; 45200000; 45210000</t>
        </is>
      </c>
      <c r="Q1660" s="8" t="inlineStr">
        <is>
          <t>Ver</t>
        </is>
      </c>
      <c r="R1660" s="8" t="inlineStr">
        <is>
          <t>PCAP</t>
        </is>
      </c>
      <c r="S1660" s="9" t="n">
        <v>46310</v>
      </c>
      <c r="T1660" s="3" t="n">
        <v>46309.33888888889</v>
      </c>
      <c r="U1660" s="2" t="n"/>
    </row>
    <row r="1661">
      <c r="A1661" s="2" t="inlineStr">
        <is>
          <t>En plazo</t>
        </is>
      </c>
      <c r="B1661" s="3" t="n">
        <v>46324.58333333334</v>
      </c>
      <c r="C1661" s="5" t="n">
        <v>165289.26</v>
      </c>
      <c r="D1661" s="5" t="n">
        <v>165289.26</v>
      </c>
      <c r="E1661" s="2" t="inlineStr">
        <is>
          <t>Andalucía</t>
        </is>
      </c>
      <c r="F1661" s="2" t="inlineStr">
        <is>
          <t>Jaén</t>
        </is>
      </c>
      <c r="G1661" s="2" t="inlineStr">
        <is>
          <t>Andújar</t>
        </is>
      </c>
      <c r="H1661" s="2" t="inlineStr">
        <is>
          <t>Alcaldía del Ayuntamiento de Andújar</t>
        </is>
      </c>
      <c r="I1661" s="2" t="inlineStr">
        <is>
          <t>Obras de renovación del césped natural Estadio Sebastián García Laguna</t>
        </is>
      </c>
      <c r="J1661" s="2" t="inlineStr">
        <is>
          <t>55/2026</t>
        </is>
      </c>
      <c r="K1661" s="2" t="inlineStr">
        <is>
          <t>Abierto</t>
        </is>
      </c>
      <c r="L1661" s="6" t="n">
        <v>2</v>
      </c>
      <c r="M1661" s="2" t="inlineStr">
        <is>
          <t>K6-2</t>
        </is>
      </c>
      <c r="N1661" s="7" t="n">
        <v>0</v>
      </c>
      <c r="O1661" s="4" t="n"/>
      <c r="P1661" s="2" t="inlineStr">
        <is>
          <t>45236119</t>
        </is>
      </c>
      <c r="Q1661" s="8" t="inlineStr">
        <is>
          <t>Ver</t>
        </is>
      </c>
      <c r="R1661" s="8" t="inlineStr">
        <is>
          <t>PCAP</t>
        </is>
      </c>
      <c r="S1661" s="9" t="n">
        <v>46310</v>
      </c>
      <c r="T1661" s="3" t="n">
        <v>46309.33865740741</v>
      </c>
      <c r="U1661" s="2" t="n"/>
    </row>
    <row r="1662">
      <c r="A1662" s="2" t="inlineStr">
        <is>
          <t>Pendiente de adjudicación</t>
        </is>
      </c>
      <c r="B1662" s="3" t="n">
        <v>46199.54166666666</v>
      </c>
      <c r="C1662" s="5" t="n">
        <v>17861881.6</v>
      </c>
      <c r="D1662" s="5" t="n">
        <v>20264351.38</v>
      </c>
      <c r="E1662" s="2" t="inlineStr">
        <is>
          <t>Andalucía</t>
        </is>
      </c>
      <c r="F1662" s="2" t="inlineStr">
        <is>
          <t>Málaga</t>
        </is>
      </c>
      <c r="G1662" s="2" t="n"/>
      <c r="H1662" s="2" t="inlineStr">
        <is>
          <t>ADIF -Consejo de Administración</t>
        </is>
      </c>
      <c r="I1662" s="2" t="inlineStr">
        <is>
          <t>Ejecución de las obras del proyecto constructivo para la renovación de vía, actuaciones puntuales en infraestructura y adaptación de gálibo de pasos superiores del tramo Bobadilla – Ronda, pk 20+000 a pk 26+500 de la línea Bobadilla - Algeciras.</t>
        </is>
      </c>
      <c r="J1662" s="2" t="inlineStr">
        <is>
          <t>3.25/27507.0263</t>
        </is>
      </c>
      <c r="K1662" s="2" t="inlineStr">
        <is>
          <t>Abierto</t>
        </is>
      </c>
      <c r="L1662" s="6" t="n">
        <v>13</v>
      </c>
      <c r="M1662" s="2" t="inlineStr">
        <is>
          <t>D1-6; B2-6</t>
        </is>
      </c>
      <c r="N1662" s="7" t="n">
        <v>0.49</v>
      </c>
      <c r="O1662" s="4" t="n"/>
      <c r="P1662" s="2" t="inlineStr">
        <is>
          <t>45234100</t>
        </is>
      </c>
      <c r="Q1662" s="8" t="inlineStr">
        <is>
          <t>Ver</t>
        </is>
      </c>
      <c r="R1662" s="8" t="inlineStr">
        <is>
          <t>PCAP</t>
        </is>
      </c>
      <c r="S1662" s="9" t="n">
        <v>46310</v>
      </c>
      <c r="T1662" s="3" t="n">
        <v>46309.33711805556</v>
      </c>
      <c r="U1662" s="2" t="n"/>
    </row>
    <row r="1663">
      <c r="A1663" s="2" t="inlineStr">
        <is>
          <t>Resuelta</t>
        </is>
      </c>
      <c r="B1663" s="3" t="n">
        <v>46281.99930555555</v>
      </c>
      <c r="C1663" s="5" t="n">
        <v>16942.15</v>
      </c>
      <c r="D1663" s="5" t="n">
        <v>16942.15</v>
      </c>
      <c r="E1663" s="2" t="inlineStr">
        <is>
          <t>Comunitat Valenciana</t>
        </is>
      </c>
      <c r="F1663" s="2" t="inlineStr">
        <is>
          <t>Alicante</t>
        </is>
      </c>
      <c r="G1663" s="2" t="n"/>
      <c r="H1663" s="2" t="inlineStr">
        <is>
          <t>Presidencia de la Diputación Provincial de Alicante</t>
        </is>
      </c>
      <c r="I1663" s="2" t="inlineStr">
        <is>
          <t>Obras de restauración de zona degradada por vertido incontrolado de residuos en Partida de La Era, TM de Relleu (Alicante)</t>
        </is>
      </c>
      <c r="J1663" s="2" t="inlineStr">
        <is>
          <t>O4SS-167/2026</t>
        </is>
      </c>
      <c r="K1663" s="2" t="inlineStr">
        <is>
          <t>Abierto simplificado</t>
        </is>
      </c>
      <c r="L1663" s="6" t="n">
        <v>1</v>
      </c>
      <c r="M1663" s="2" t="n"/>
      <c r="N1663" s="7" t="n">
        <v>0</v>
      </c>
      <c r="O1663" s="4" t="n"/>
      <c r="P1663" s="2" t="inlineStr">
        <is>
          <t>45111213</t>
        </is>
      </c>
      <c r="Q1663" s="8" t="inlineStr">
        <is>
          <t>Ver</t>
        </is>
      </c>
      <c r="R1663" s="8" t="inlineStr">
        <is>
          <t>PCAP</t>
        </is>
      </c>
      <c r="S1663" s="9" t="n">
        <v>46310</v>
      </c>
      <c r="T1663" s="3" t="n">
        <v>46309.32167824074</v>
      </c>
      <c r="U1663" s="2" t="n"/>
    </row>
    <row r="1664">
      <c r="A1664" s="2" t="inlineStr">
        <is>
          <t>Adjudicada</t>
        </is>
      </c>
      <c r="B1664" s="3" t="n">
        <v>46008.58333333334</v>
      </c>
      <c r="C1664" s="5" t="n">
        <v>2997999.17</v>
      </c>
      <c r="D1664" s="5" t="n">
        <v>2997999.17</v>
      </c>
      <c r="E1664" s="2" t="inlineStr">
        <is>
          <t>Comunitat Valenciana</t>
        </is>
      </c>
      <c r="F1664" s="2" t="inlineStr">
        <is>
          <t>Valencia</t>
        </is>
      </c>
      <c r="G1664" s="2" t="n"/>
      <c r="H1664" s="2" t="inlineStr">
        <is>
          <t>Empresa de Transformación Agraria S.A.,S.M.E., M.P., (TRAGSA)</t>
        </is>
      </c>
      <c r="I1664" s="2" t="inlineStr">
        <is>
          <t>Ejecución de obras de “mamposteria en seco y acondicionamiento de parcelas agrícolas en municipios del Camp de l´Horta Sud”.</t>
        </is>
      </c>
      <c r="J1664" s="2" t="inlineStr">
        <is>
          <t>TSA0082167</t>
        </is>
      </c>
      <c r="K1664" s="2" t="inlineStr">
        <is>
          <t>Abierto simplificado</t>
        </is>
      </c>
      <c r="L1664" s="6" t="n">
        <v>7</v>
      </c>
      <c r="M1664" s="2" t="n"/>
      <c r="N1664" s="7" t="n">
        <v>0</v>
      </c>
      <c r="O1664" s="4" t="n">
        <v>7</v>
      </c>
      <c r="P1664" s="2" t="inlineStr">
        <is>
          <t>45262520</t>
        </is>
      </c>
      <c r="Q1664" s="8" t="inlineStr">
        <is>
          <t>Ver</t>
        </is>
      </c>
      <c r="R1664" s="8" t="inlineStr">
        <is>
          <t>PCAP</t>
        </is>
      </c>
      <c r="S1664" s="9" t="n">
        <v>46310</v>
      </c>
      <c r="T1664" s="3" t="n">
        <v>46309.31570601852</v>
      </c>
      <c r="U1664" s="2" t="n"/>
    </row>
    <row r="1665">
      <c r="A1665" s="2" t="inlineStr">
        <is>
          <t>Resuelta</t>
        </is>
      </c>
      <c r="B1665" s="3" t="n"/>
      <c r="C1665" s="5" t="n">
        <v>497088.43</v>
      </c>
      <c r="D1665" s="5" t="n">
        <v>497088.43</v>
      </c>
      <c r="E1665" s="2" t="inlineStr">
        <is>
          <t>Andalucía</t>
        </is>
      </c>
      <c r="F1665" s="2" t="inlineStr">
        <is>
          <t>Málaga</t>
        </is>
      </c>
      <c r="G1665" s="2" t="n"/>
      <c r="H1665" s="2" t="inlineStr">
        <is>
          <t>ADIF -Consejo de Administración</t>
        </is>
      </c>
      <c r="I1665" s="2" t="inlineStr">
        <is>
          <t>Actuación de mejora de las instalaciones de electrificación (AMIE): Redacción de proyecto y ejecución de obra para la ampliación de salidas de feeder y mejora del equipamiento de la subestación de tracción del chorro.</t>
        </is>
      </c>
      <c r="J1665" s="2" t="inlineStr">
        <is>
          <t>3.26/27532.0011</t>
        </is>
      </c>
      <c r="K1665" s="2" t="inlineStr">
        <is>
          <t>Derivado de acuerdo marco</t>
        </is>
      </c>
      <c r="L1665" s="6" t="n">
        <v>16</v>
      </c>
      <c r="M1665" s="2" t="n"/>
      <c r="N1665" s="7" t="n"/>
      <c r="O1665" s="4" t="n"/>
      <c r="P1665" s="2" t="inlineStr">
        <is>
          <t>45234170</t>
        </is>
      </c>
      <c r="Q1665" s="8" t="inlineStr">
        <is>
          <t>Ver</t>
        </is>
      </c>
      <c r="R1665" s="2" t="n"/>
      <c r="S1665" s="9" t="n">
        <v>46310</v>
      </c>
      <c r="T1665" s="3" t="n">
        <v>46308.87667824074</v>
      </c>
      <c r="U1665" s="2" t="n"/>
    </row>
    <row r="1666">
      <c r="A1666" s="2" t="inlineStr">
        <is>
          <t>Pendiente de adjudicación</t>
        </is>
      </c>
      <c r="B1666" s="3" t="n">
        <v>46302.58333333334</v>
      </c>
      <c r="C1666" s="5" t="n">
        <v>61252.06</v>
      </c>
      <c r="D1666" s="5" t="n">
        <v>61252.06</v>
      </c>
      <c r="E1666" s="2" t="inlineStr">
        <is>
          <t>Andalucía</t>
        </is>
      </c>
      <c r="F1666" s="2" t="inlineStr">
        <is>
          <t>Granada</t>
        </is>
      </c>
      <c r="G1666" s="2" t="inlineStr">
        <is>
          <t>Pulianas</t>
        </is>
      </c>
      <c r="H1666" s="2" t="inlineStr">
        <is>
          <t>Junta de Gobierno Local del Ayuntamiento de Pulianas</t>
        </is>
      </c>
      <c r="I1666" s="2" t="inlineStr">
        <is>
          <t>OP 2026/03 Remodelación Calle Juan Ramón Jiménez desde Avenida de Andalucía a Calle Isaac Albéniz</t>
        </is>
      </c>
      <c r="J1666" s="2" t="inlineStr">
        <is>
          <t>1642/2026</t>
        </is>
      </c>
      <c r="K1666" s="2" t="inlineStr">
        <is>
          <t>Abierto simplificado</t>
        </is>
      </c>
      <c r="L1666" s="6" t="n">
        <v>4</v>
      </c>
      <c r="M1666" s="2" t="n"/>
      <c r="N1666" s="7" t="n">
        <v>0.25</v>
      </c>
      <c r="O1666" s="4" t="n"/>
      <c r="P1666" s="2" t="inlineStr">
        <is>
          <t>45211360</t>
        </is>
      </c>
      <c r="Q1666" s="8" t="inlineStr">
        <is>
          <t>Ver</t>
        </is>
      </c>
      <c r="R1666" s="8" t="inlineStr">
        <is>
          <t>PCAP</t>
        </is>
      </c>
      <c r="S1666" s="9" t="n">
        <v>46310</v>
      </c>
      <c r="T1666" s="3" t="n">
        <v>46308.83336805556</v>
      </c>
      <c r="U1666" s="2" t="n"/>
    </row>
    <row r="1667">
      <c r="A1667" s="2" t="inlineStr">
        <is>
          <t>Resuelta</t>
        </is>
      </c>
      <c r="B1667" s="3" t="n">
        <v>46209.99930555555</v>
      </c>
      <c r="C1667" s="5" t="n">
        <v>50360.3</v>
      </c>
      <c r="D1667" s="5" t="n">
        <v>50360.3</v>
      </c>
      <c r="E1667" s="2" t="inlineStr">
        <is>
          <t>Comunitat Valenciana</t>
        </is>
      </c>
      <c r="F1667" s="2" t="inlineStr">
        <is>
          <t>Valencia</t>
        </is>
      </c>
      <c r="G1667" s="2" t="n"/>
      <c r="H1667" s="2" t="inlineStr">
        <is>
          <t>Junta de Gobierno del Ayuntamiento de Picanya</t>
        </is>
      </c>
      <c r="I1667" s="2" t="inlineStr">
        <is>
          <t>Contrato de obras de rehabilitación de vivienda municipal en calle Ramón y Cajal número 8 puerta 4 de Picanya (Valencia)</t>
        </is>
      </c>
      <c r="J1667" s="2" t="inlineStr">
        <is>
          <t>2759157N</t>
        </is>
      </c>
      <c r="K1667" s="2" t="inlineStr">
        <is>
          <t>Abierto simplificado</t>
        </is>
      </c>
      <c r="L1667" s="6" t="n">
        <v>5</v>
      </c>
      <c r="M1667" s="2" t="n"/>
      <c r="N1667" s="7" t="n">
        <v>0.25</v>
      </c>
      <c r="O1667" s="4" t="n"/>
      <c r="P1667" s="2" t="inlineStr">
        <is>
          <t>45211100; 45300000; 45400000; 45262520; 45261900; 45430000</t>
        </is>
      </c>
      <c r="Q1667" s="8" t="inlineStr">
        <is>
          <t>Ver</t>
        </is>
      </c>
      <c r="R1667" s="8" t="inlineStr">
        <is>
          <t>PCAP</t>
        </is>
      </c>
      <c r="S1667" s="9" t="n">
        <v>46310</v>
      </c>
      <c r="T1667" s="3" t="n">
        <v>46308.78891203704</v>
      </c>
      <c r="U1667" s="2" t="n"/>
    </row>
    <row r="1668">
      <c r="A1668" s="2" t="inlineStr">
        <is>
          <t>Plazo vencido</t>
        </is>
      </c>
      <c r="B1668" s="3" t="n">
        <v>46312.99930555555</v>
      </c>
      <c r="C1668" s="5" t="n">
        <v>364806.4</v>
      </c>
      <c r="D1668" s="5" t="n">
        <v>364806.4</v>
      </c>
      <c r="E1668" s="2" t="inlineStr">
        <is>
          <t>Comunitat Valenciana</t>
        </is>
      </c>
      <c r="F1668" s="2" t="inlineStr">
        <is>
          <t>Castellón</t>
        </is>
      </c>
      <c r="G1668" s="2" t="n"/>
      <c r="H1668" s="2" t="inlineStr">
        <is>
          <t>Pleno del Ayuntamiento de La Pobla de Benifassà</t>
        </is>
      </c>
      <c r="I1668" s="2" t="inlineStr">
        <is>
          <t>Reforma, rehabilitación y ampliación de la casa consistorial</t>
        </is>
      </c>
      <c r="J1668" s="2" t="inlineStr">
        <is>
          <t>275/2026</t>
        </is>
      </c>
      <c r="K1668" s="2" t="inlineStr">
        <is>
          <t>Abierto simplificado</t>
        </is>
      </c>
      <c r="L1668" s="6" t="n"/>
      <c r="M1668" s="2" t="n"/>
      <c r="N1668" s="7" t="n">
        <v>0</v>
      </c>
      <c r="O1668" s="4" t="n"/>
      <c r="P1668" s="2" t="inlineStr">
        <is>
          <t>45000000</t>
        </is>
      </c>
      <c r="Q1668" s="8" t="inlineStr">
        <is>
          <t>Ver</t>
        </is>
      </c>
      <c r="R1668" s="8" t="inlineStr">
        <is>
          <t>PCAP</t>
        </is>
      </c>
      <c r="S1668" s="9" t="n">
        <v>46310</v>
      </c>
      <c r="T1668" s="3" t="n">
        <v>46308.73020833333</v>
      </c>
      <c r="U1668" s="2" t="n"/>
    </row>
    <row r="1669">
      <c r="A1669" s="2" t="inlineStr">
        <is>
          <t>Plazo vencido</t>
        </is>
      </c>
      <c r="B1669" s="3" t="n">
        <v>46321.99930555555</v>
      </c>
      <c r="C1669" s="5" t="n">
        <v>153270.2</v>
      </c>
      <c r="D1669" s="5" t="n">
        <v>153270.2</v>
      </c>
      <c r="E1669" s="2" t="inlineStr">
        <is>
          <t>Andalucía</t>
        </is>
      </c>
      <c r="F1669" s="2" t="inlineStr">
        <is>
          <t>Huelva</t>
        </is>
      </c>
      <c r="G1669" s="2" t="n"/>
      <c r="H1669" s="2" t="inlineStr">
        <is>
          <t>Junta de Gobierno del Ayuntamiento de Lepe</t>
        </is>
      </c>
      <c r="I1669"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1669" s="2" t="inlineStr">
        <is>
          <t>10507/2026</t>
        </is>
      </c>
      <c r="K1669" s="2" t="inlineStr">
        <is>
          <t>Abierto simplificado</t>
        </is>
      </c>
      <c r="L1669" s="6" t="n">
        <v>2</v>
      </c>
      <c r="M1669" s="2" t="n"/>
      <c r="N1669" s="7" t="n">
        <v>0</v>
      </c>
      <c r="O1669" s="4" t="n"/>
      <c r="P1669" s="2" t="inlineStr">
        <is>
          <t>45233222; 45233223; 45233221</t>
        </is>
      </c>
      <c r="Q1669" s="8" t="inlineStr">
        <is>
          <t>Ver</t>
        </is>
      </c>
      <c r="R1669" s="8" t="inlineStr">
        <is>
          <t>PCAP</t>
        </is>
      </c>
      <c r="S1669" s="9" t="n">
        <v>46310</v>
      </c>
      <c r="T1669" s="3" t="n">
        <v>46308.72945601852</v>
      </c>
      <c r="U1669" s="2" t="n"/>
    </row>
    <row r="1670">
      <c r="A1670" s="2" t="inlineStr">
        <is>
          <t>Pendiente de adjudicación</t>
        </is>
      </c>
      <c r="B1670" s="3" t="n">
        <v>46272.54166666666</v>
      </c>
      <c r="C1670" s="5" t="n">
        <v>686609.66</v>
      </c>
      <c r="D1670" s="5" t="n">
        <v>755270.63</v>
      </c>
      <c r="E1670" s="2" t="inlineStr">
        <is>
          <t>Comunitat Valenciana</t>
        </is>
      </c>
      <c r="F1670" s="2" t="inlineStr">
        <is>
          <t>Valencia</t>
        </is>
      </c>
      <c r="G1670" s="2" t="n"/>
      <c r="H1670" s="2" t="inlineStr">
        <is>
          <t>Presidencia de la Diputación Provincial de Valencia</t>
        </is>
      </c>
      <c r="I1670" s="2" t="inlineStr">
        <is>
          <t>Ac-629MS/O. Reaprovechamiento de la carretera CV-611A para creación de una vía ciclo peatonal entre los municipios de Benigànim y La Pobla del Duc.</t>
        </is>
      </c>
      <c r="J1670" s="2" t="inlineStr">
        <is>
          <t>3481/25/CAR</t>
        </is>
      </c>
      <c r="K1670" s="2" t="inlineStr">
        <is>
          <t>Abierto</t>
        </is>
      </c>
      <c r="L1670" s="6" t="n">
        <v>4</v>
      </c>
      <c r="M1670" s="2" t="inlineStr">
        <is>
          <t>G6-3</t>
        </is>
      </c>
      <c r="N1670" s="7" t="n">
        <v>0.28</v>
      </c>
      <c r="O1670" s="4" t="n"/>
      <c r="P1670" s="2" t="inlineStr">
        <is>
          <t>45233162</t>
        </is>
      </c>
      <c r="Q1670" s="8" t="inlineStr">
        <is>
          <t>Ver</t>
        </is>
      </c>
      <c r="R1670" s="8" t="inlineStr">
        <is>
          <t>PCAP</t>
        </is>
      </c>
      <c r="S1670" s="9" t="n">
        <v>46310</v>
      </c>
      <c r="T1670" s="3" t="n">
        <v>46308.70901620371</v>
      </c>
      <c r="U1670" s="2" t="n"/>
    </row>
    <row r="1671">
      <c r="A1671" s="2" t="inlineStr">
        <is>
          <t>Pendiente de adjudicación</t>
        </is>
      </c>
      <c r="B1671" s="3" t="n">
        <v>46297.45833333334</v>
      </c>
      <c r="C1671" s="5" t="n">
        <v>430848.84</v>
      </c>
      <c r="D1671" s="5" t="n">
        <v>430848.84</v>
      </c>
      <c r="E1671" s="2" t="inlineStr">
        <is>
          <t>Andalucía</t>
        </is>
      </c>
      <c r="F1671" s="2" t="inlineStr">
        <is>
          <t>Sevilla</t>
        </is>
      </c>
      <c r="G1671" s="2" t="n"/>
      <c r="H1671" s="2" t="inlineStr">
        <is>
          <t>Comisión Ejecutiva de la Gerencia de Urbanismo de Sevilla</t>
        </is>
      </c>
      <c r="I1671" s="2" t="inlineStr">
        <is>
          <t>Proyecto de Rehabilitación de las antiguas caballerizas y obras de conservación de la Torre de Contrapeso y Nave del Molino, así como urbanización del entorno, en la Hacienda de Miraflores de Sevilla.</t>
        </is>
      </c>
      <c r="J1671" s="2" t="inlineStr">
        <is>
          <t>088/2025</t>
        </is>
      </c>
      <c r="K1671" s="2" t="inlineStr">
        <is>
          <t>Abierto simplificado</t>
        </is>
      </c>
      <c r="L1671" s="6" t="n">
        <v>6</v>
      </c>
      <c r="M1671" s="2" t="n"/>
      <c r="N1671" s="7" t="n">
        <v>0.1</v>
      </c>
      <c r="O1671" s="4" t="n"/>
      <c r="P1671" s="2" t="inlineStr">
        <is>
          <t>45000000</t>
        </is>
      </c>
      <c r="Q1671" s="8" t="inlineStr">
        <is>
          <t>Ver</t>
        </is>
      </c>
      <c r="R1671" s="8" t="inlineStr">
        <is>
          <t>PCAP</t>
        </is>
      </c>
      <c r="S1671" s="9" t="n">
        <v>46310</v>
      </c>
      <c r="T1671" s="3" t="n">
        <v>46308.70408564815</v>
      </c>
      <c r="U1671" s="2" t="n"/>
    </row>
    <row r="1672">
      <c r="A1672" s="2" t="inlineStr">
        <is>
          <t>Resuelta</t>
        </is>
      </c>
      <c r="B1672" s="3" t="n">
        <v>46238.41666666666</v>
      </c>
      <c r="C1672" s="5" t="n">
        <v>45500</v>
      </c>
      <c r="D1672" s="5" t="n">
        <v>45500</v>
      </c>
      <c r="E1672" s="2" t="inlineStr">
        <is>
          <t>Andalucía</t>
        </is>
      </c>
      <c r="F1672" s="2" t="inlineStr">
        <is>
          <t>Almería</t>
        </is>
      </c>
      <c r="G1672" s="2" t="n"/>
      <c r="H1672" s="2" t="inlineStr">
        <is>
          <t>Empresa de Transformación Agraria S.A.,S.M.E., M.P., (TRAGSA)</t>
        </is>
      </c>
      <c r="I167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672" s="2" t="inlineStr">
        <is>
          <t>TSA0078977-312</t>
        </is>
      </c>
      <c r="K1672" s="2" t="inlineStr">
        <is>
          <t>Abierto</t>
        </is>
      </c>
      <c r="L1672" s="6" t="n">
        <v>6</v>
      </c>
      <c r="M1672" s="2" t="n"/>
      <c r="N1672" s="7" t="n">
        <v>0</v>
      </c>
      <c r="O1672" s="4" t="n"/>
      <c r="P1672" s="2" t="inlineStr">
        <is>
          <t>45500000</t>
        </is>
      </c>
      <c r="Q1672" s="8" t="inlineStr">
        <is>
          <t>Ver</t>
        </is>
      </c>
      <c r="R1672" s="8" t="inlineStr">
        <is>
          <t>PCAP</t>
        </is>
      </c>
      <c r="S1672" s="9" t="n">
        <v>46310</v>
      </c>
      <c r="T1672" s="3" t="n">
        <v>46308.69675925926</v>
      </c>
      <c r="U1672" s="2" t="n"/>
    </row>
    <row r="1673">
      <c r="A1673" s="2" t="inlineStr">
        <is>
          <t>Resuelta</t>
        </is>
      </c>
      <c r="B1673" s="3" t="n">
        <v>46252.41666666666</v>
      </c>
      <c r="C1673" s="5" t="n">
        <v>26000</v>
      </c>
      <c r="D1673" s="5" t="n">
        <v>26000</v>
      </c>
      <c r="E1673" s="2" t="inlineStr">
        <is>
          <t>Andalucía</t>
        </is>
      </c>
      <c r="F1673" s="2" t="inlineStr">
        <is>
          <t>Huelva</t>
        </is>
      </c>
      <c r="G1673" s="2" t="n"/>
      <c r="H1673" s="2" t="inlineStr">
        <is>
          <t>Empresa de Transformación Agraria S.A.,S.M.E., M.P., (TRAGSA)</t>
        </is>
      </c>
      <c r="I167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673" s="2" t="inlineStr">
        <is>
          <t>TSA0080057-221</t>
        </is>
      </c>
      <c r="K1673" s="2" t="inlineStr">
        <is>
          <t>Abierto</t>
        </is>
      </c>
      <c r="L1673" s="6" t="n">
        <v>7</v>
      </c>
      <c r="M1673" s="2" t="n"/>
      <c r="N1673" s="7" t="n">
        <v>0</v>
      </c>
      <c r="O1673" s="4" t="n"/>
      <c r="P1673" s="2" t="inlineStr">
        <is>
          <t>45500000</t>
        </is>
      </c>
      <c r="Q1673" s="8" t="inlineStr">
        <is>
          <t>Ver</t>
        </is>
      </c>
      <c r="R1673" s="8" t="inlineStr">
        <is>
          <t>PCAP</t>
        </is>
      </c>
      <c r="S1673" s="9" t="n">
        <v>46310</v>
      </c>
      <c r="T1673" s="3" t="n">
        <v>46308.68873842592</v>
      </c>
      <c r="U1673" s="2" t="n"/>
    </row>
    <row r="1674">
      <c r="A1674" s="2" t="inlineStr">
        <is>
          <t>Resuelta</t>
        </is>
      </c>
      <c r="B1674" s="3" t="n">
        <v>46259.41666666666</v>
      </c>
      <c r="C1674" s="5" t="n">
        <v>28600</v>
      </c>
      <c r="D1674" s="5" t="n">
        <v>28600</v>
      </c>
      <c r="E1674" s="2" t="inlineStr">
        <is>
          <t>Andalucía</t>
        </is>
      </c>
      <c r="F1674" s="2" t="inlineStr">
        <is>
          <t>Huelva</t>
        </is>
      </c>
      <c r="G1674" s="2" t="n"/>
      <c r="H1674" s="2" t="inlineStr">
        <is>
          <t>Empresa de Transformación Agraria S.A.,S.M.E., M.P., (TRAGSA)</t>
        </is>
      </c>
      <c r="I167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674" s="2" t="inlineStr">
        <is>
          <t>TSA0080057-225</t>
        </is>
      </c>
      <c r="K1674" s="2" t="inlineStr">
        <is>
          <t>Abierto</t>
        </is>
      </c>
      <c r="L1674" s="6" t="n">
        <v>4</v>
      </c>
      <c r="M1674" s="2" t="n"/>
      <c r="N1674" s="7" t="n">
        <v>0</v>
      </c>
      <c r="O1674" s="4" t="n"/>
      <c r="P1674" s="2" t="inlineStr">
        <is>
          <t>45500000</t>
        </is>
      </c>
      <c r="Q1674" s="8" t="inlineStr">
        <is>
          <t>Ver</t>
        </is>
      </c>
      <c r="R1674" s="8" t="inlineStr">
        <is>
          <t>PCAP</t>
        </is>
      </c>
      <c r="S1674" s="9" t="n">
        <v>46310</v>
      </c>
      <c r="T1674" s="3" t="n">
        <v>46308.6746875</v>
      </c>
      <c r="U1674" s="2" t="n"/>
    </row>
    <row r="1675">
      <c r="A1675" s="2" t="inlineStr">
        <is>
          <t>Resuelta</t>
        </is>
      </c>
      <c r="B1675" s="3" t="n">
        <v>46259.41666666666</v>
      </c>
      <c r="C1675" s="5" t="n">
        <v>20250</v>
      </c>
      <c r="D1675" s="5" t="n">
        <v>20250</v>
      </c>
      <c r="E1675" s="2" t="inlineStr">
        <is>
          <t>Andalucía</t>
        </is>
      </c>
      <c r="F1675" s="2" t="inlineStr">
        <is>
          <t>Huelva</t>
        </is>
      </c>
      <c r="G1675" s="2" t="n"/>
      <c r="H1675" s="2" t="inlineStr">
        <is>
          <t>Empresa de Transformación Agraria S.A.,S.M.E., M.P., (TRAGSA)</t>
        </is>
      </c>
      <c r="I167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675" s="2" t="inlineStr">
        <is>
          <t>TSA0080057-227</t>
        </is>
      </c>
      <c r="K1675" s="2" t="inlineStr">
        <is>
          <t>Abierto</t>
        </is>
      </c>
      <c r="L1675" s="6" t="n">
        <v>3</v>
      </c>
      <c r="M1675" s="2" t="n"/>
      <c r="N1675" s="7" t="n">
        <v>0</v>
      </c>
      <c r="O1675" s="4" t="n"/>
      <c r="P1675" s="2" t="inlineStr">
        <is>
          <t>45500000</t>
        </is>
      </c>
      <c r="Q1675" s="8" t="inlineStr">
        <is>
          <t>Ver</t>
        </is>
      </c>
      <c r="R1675" s="8" t="inlineStr">
        <is>
          <t>PCAP</t>
        </is>
      </c>
      <c r="S1675" s="9" t="n">
        <v>46310</v>
      </c>
      <c r="T1675" s="3" t="n">
        <v>46308.67322916666</v>
      </c>
      <c r="U1675" s="2" t="n"/>
    </row>
    <row r="1676">
      <c r="A1676" s="2" t="inlineStr">
        <is>
          <t>Resuelta</t>
        </is>
      </c>
      <c r="B1676" s="3" t="n">
        <v>46266.41666666666</v>
      </c>
      <c r="C1676" s="5" t="n">
        <v>63000</v>
      </c>
      <c r="D1676" s="5" t="n">
        <v>63000</v>
      </c>
      <c r="E1676" s="2" t="inlineStr">
        <is>
          <t>Andalucía</t>
        </is>
      </c>
      <c r="F1676" s="2" t="inlineStr">
        <is>
          <t>Huelva</t>
        </is>
      </c>
      <c r="G1676" s="2" t="n"/>
      <c r="H1676" s="2" t="inlineStr">
        <is>
          <t>Empresa de Transformación Agraria S.A.,S.M.E., M.P., (TRAGSA)</t>
        </is>
      </c>
      <c r="I167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676" s="2" t="inlineStr">
        <is>
          <t>TSA0080057-238</t>
        </is>
      </c>
      <c r="K1676" s="2" t="inlineStr">
        <is>
          <t>Abierto</t>
        </is>
      </c>
      <c r="L1676" s="6" t="n">
        <v>8</v>
      </c>
      <c r="M1676" s="2" t="n"/>
      <c r="N1676" s="7" t="n">
        <v>0</v>
      </c>
      <c r="O1676" s="4" t="n"/>
      <c r="P1676" s="2" t="inlineStr">
        <is>
          <t>45500000</t>
        </is>
      </c>
      <c r="Q1676" s="8" t="inlineStr">
        <is>
          <t>Ver</t>
        </is>
      </c>
      <c r="R1676" s="8" t="inlineStr">
        <is>
          <t>PCAP</t>
        </is>
      </c>
      <c r="S1676" s="9" t="n">
        <v>46310</v>
      </c>
      <c r="T1676" s="3" t="n">
        <v>46308.67111111111</v>
      </c>
      <c r="U1676" s="2" t="n"/>
    </row>
    <row r="1677">
      <c r="A1677" s="2" t="inlineStr">
        <is>
          <t>Resuelta</t>
        </is>
      </c>
      <c r="B1677" s="3" t="n">
        <v>46266.41666666666</v>
      </c>
      <c r="C1677" s="5" t="n">
        <v>63000</v>
      </c>
      <c r="D1677" s="5" t="n">
        <v>63000</v>
      </c>
      <c r="E1677" s="2" t="inlineStr">
        <is>
          <t>Andalucía</t>
        </is>
      </c>
      <c r="F1677" s="2" t="inlineStr">
        <is>
          <t>Huelva</t>
        </is>
      </c>
      <c r="G1677" s="2" t="n"/>
      <c r="H1677" s="2" t="inlineStr">
        <is>
          <t>Empresa de Transformación Agraria S.A.,S.M.E., M.P., (TRAGSA)</t>
        </is>
      </c>
      <c r="I167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677" s="2" t="inlineStr">
        <is>
          <t>TSA0080057-241</t>
        </is>
      </c>
      <c r="K1677" s="2" t="inlineStr">
        <is>
          <t>Abierto</t>
        </is>
      </c>
      <c r="L1677" s="6" t="n">
        <v>8</v>
      </c>
      <c r="M1677" s="2" t="n"/>
      <c r="N1677" s="7" t="n">
        <v>0</v>
      </c>
      <c r="O1677" s="4" t="n"/>
      <c r="P1677" s="2" t="inlineStr">
        <is>
          <t>45500000</t>
        </is>
      </c>
      <c r="Q1677" s="8" t="inlineStr">
        <is>
          <t>Ver</t>
        </is>
      </c>
      <c r="R1677" s="8" t="inlineStr">
        <is>
          <t>PCAP</t>
        </is>
      </c>
      <c r="S1677" s="9" t="n">
        <v>46310</v>
      </c>
      <c r="T1677" s="3" t="n">
        <v>46308.66841435185</v>
      </c>
      <c r="U1677" s="2" t="n"/>
    </row>
    <row r="1678">
      <c r="A1678" s="2" t="inlineStr">
        <is>
          <t>Resuelta</t>
        </is>
      </c>
      <c r="B1678" s="3" t="n">
        <v>46267.99930555555</v>
      </c>
      <c r="C1678" s="5" t="n">
        <v>449586.38</v>
      </c>
      <c r="D1678" s="5" t="n">
        <v>449586.38</v>
      </c>
      <c r="E1678" s="2" t="inlineStr">
        <is>
          <t>Andalucía</t>
        </is>
      </c>
      <c r="F1678" s="2" t="inlineStr">
        <is>
          <t>Granada</t>
        </is>
      </c>
      <c r="G1678" s="2" t="n"/>
      <c r="H1678" s="2" t="inlineStr">
        <is>
          <t>Junta de Gobierno Local del Ayuntamiento de Guadix</t>
        </is>
      </c>
      <c r="I1678" s="2" t="inlineStr">
        <is>
          <t>La Ejecución de la actuación: Obras de Construcción del Centro Joven Municipal de Guadix</t>
        </is>
      </c>
      <c r="J1678" s="2" t="inlineStr">
        <is>
          <t>8624/2025</t>
        </is>
      </c>
      <c r="K1678" s="2" t="inlineStr">
        <is>
          <t>Abierto simplificado</t>
        </is>
      </c>
      <c r="L1678" s="6" t="n">
        <v>9</v>
      </c>
      <c r="M1678" s="2" t="n"/>
      <c r="N1678" s="7" t="n">
        <v>0.25</v>
      </c>
      <c r="O1678" s="4" t="n"/>
      <c r="P1678" s="2" t="inlineStr">
        <is>
          <t>45000000; 45210000</t>
        </is>
      </c>
      <c r="Q1678" s="8" t="inlineStr">
        <is>
          <t>Ver</t>
        </is>
      </c>
      <c r="R1678" s="8" t="inlineStr">
        <is>
          <t>PCAP</t>
        </is>
      </c>
      <c r="S1678" s="9" t="n">
        <v>46310</v>
      </c>
      <c r="T1678" s="3" t="n">
        <v>46308.63633101852</v>
      </c>
      <c r="U1678" s="2" t="n"/>
    </row>
    <row r="1679">
      <c r="A1679" s="2" t="inlineStr">
        <is>
          <t>En plazo</t>
        </is>
      </c>
      <c r="B1679" s="3" t="n">
        <v>46335.99930555555</v>
      </c>
      <c r="C1679" s="5" t="n">
        <v>1793227</v>
      </c>
      <c r="D1679" s="5" t="n">
        <v>1793227</v>
      </c>
      <c r="E1679" s="2" t="inlineStr">
        <is>
          <t>Andalucía</t>
        </is>
      </c>
      <c r="F1679" s="2" t="inlineStr">
        <is>
          <t>Granada</t>
        </is>
      </c>
      <c r="G1679" s="2" t="n"/>
      <c r="H1679" s="2" t="inlineStr">
        <is>
          <t>Dirección Gerente de la Empresa Municipal de Abastecimiento y Saneamiento de Granada, S.A.</t>
        </is>
      </c>
      <c r="I1679" s="2" t="inlineStr">
        <is>
          <t>Mejora de las infraestructuras y resiliencia hídrica en el ciclo integral del agua en la Avenida Don Bosco, entre la Avenida de Cádiz y la Avenida Fernando de los Ríos (Granada).</t>
        </is>
      </c>
      <c r="J1679" s="2" t="inlineStr">
        <is>
          <t>Obra 2025-00017_3</t>
        </is>
      </c>
      <c r="K1679" s="2" t="inlineStr">
        <is>
          <t>Abierto</t>
        </is>
      </c>
      <c r="L1679" s="6" t="n">
        <v>144</v>
      </c>
      <c r="M1679" s="2" t="inlineStr">
        <is>
          <t>E*-4</t>
        </is>
      </c>
      <c r="N1679" s="7" t="n">
        <v>0.4</v>
      </c>
      <c r="O1679" s="4" t="n"/>
      <c r="P1679" s="2" t="inlineStr">
        <is>
          <t>45232150</t>
        </is>
      </c>
      <c r="Q1679" s="8" t="inlineStr">
        <is>
          <t>Ver</t>
        </is>
      </c>
      <c r="R1679" s="8" t="inlineStr">
        <is>
          <t>PCAP</t>
        </is>
      </c>
      <c r="S1679" s="9" t="n">
        <v>46310</v>
      </c>
      <c r="T1679" s="3" t="n">
        <v>46308.62813657407</v>
      </c>
      <c r="U1679" s="2" t="n"/>
    </row>
    <row r="1680">
      <c r="A1680" s="2" t="inlineStr">
        <is>
          <t>En plazo</t>
        </is>
      </c>
      <c r="B1680" s="3" t="n">
        <v>46328.58333333334</v>
      </c>
      <c r="C1680" s="5" t="n">
        <v>152742.87</v>
      </c>
      <c r="D1680" s="5" t="n">
        <v>152742.87</v>
      </c>
      <c r="E1680" s="2" t="inlineStr">
        <is>
          <t>Comunitat Valenciana</t>
        </is>
      </c>
      <c r="F1680" s="2" t="inlineStr">
        <is>
          <t>Valencia</t>
        </is>
      </c>
      <c r="G1680" s="2" t="inlineStr">
        <is>
          <t>Tuéjar</t>
        </is>
      </c>
      <c r="H1680" s="2" t="inlineStr">
        <is>
          <t>Pleno del Ayuntamiento de Tuéjar</t>
        </is>
      </c>
      <c r="I1680" s="2" t="inlineStr">
        <is>
          <t>Proyecto de urbanización calle Cruz de Eugenios</t>
        </is>
      </c>
      <c r="J1680" s="2" t="inlineStr">
        <is>
          <t>747/2026</t>
        </is>
      </c>
      <c r="K1680" s="2" t="inlineStr">
        <is>
          <t>Abierto simplificado</t>
        </is>
      </c>
      <c r="L1680" s="6" t="n">
        <v>4</v>
      </c>
      <c r="M1680" s="2" t="n"/>
      <c r="N1680" s="7" t="n">
        <v>0</v>
      </c>
      <c r="O1680" s="4" t="n"/>
      <c r="P1680" s="2" t="inlineStr">
        <is>
          <t>45432112; 45232410; 44162000; 44162500; 45233200</t>
        </is>
      </c>
      <c r="Q1680" s="8" t="inlineStr">
        <is>
          <t>Ver</t>
        </is>
      </c>
      <c r="R1680" s="8" t="inlineStr">
        <is>
          <t>PCAP</t>
        </is>
      </c>
      <c r="S1680" s="9" t="n">
        <v>46310</v>
      </c>
      <c r="T1680" s="3" t="n">
        <v>46308.62798611111</v>
      </c>
      <c r="U1680" s="2" t="n"/>
    </row>
    <row r="1681">
      <c r="A1681" s="2" t="inlineStr">
        <is>
          <t>Resuelta</t>
        </is>
      </c>
      <c r="B1681" s="3" t="n">
        <v>46231.99930555555</v>
      </c>
      <c r="C1681" s="5" t="n">
        <v>555205.2</v>
      </c>
      <c r="D1681" s="5" t="n">
        <v>555205.2</v>
      </c>
      <c r="E1681" s="2" t="inlineStr">
        <is>
          <t>Andalucía</t>
        </is>
      </c>
      <c r="F1681" s="2" t="inlineStr">
        <is>
          <t>Sevilla</t>
        </is>
      </c>
      <c r="G1681" s="2" t="inlineStr">
        <is>
          <t>Alcalá de Guadaíra</t>
        </is>
      </c>
      <c r="H1681" s="2" t="inlineStr">
        <is>
          <t>Junta de Gobierno Local del Ayuntamiento de Alcalá de Guadaíra</t>
        </is>
      </c>
      <c r="I1681" s="2" t="inlineStr">
        <is>
          <t>obras de reforma y ampliación de un centro de participación ciudadana ubicado en Calle Escultor Pineda Calderón nº 1 (D) (C-2025/100)</t>
        </is>
      </c>
      <c r="J1681" s="2" t="inlineStr">
        <is>
          <t>17285/2025</t>
        </is>
      </c>
      <c r="K1681" s="2" t="inlineStr">
        <is>
          <t>Abierto simplificado</t>
        </is>
      </c>
      <c r="L1681" s="6" t="n">
        <v>12</v>
      </c>
      <c r="M1681" s="2" t="inlineStr">
        <is>
          <t>C4-3</t>
        </is>
      </c>
      <c r="N1681" s="7" t="n">
        <v>0.2</v>
      </c>
      <c r="O1681" s="4" t="n"/>
      <c r="P1681" s="2" t="inlineStr">
        <is>
          <t>45215200</t>
        </is>
      </c>
      <c r="Q1681" s="8" t="inlineStr">
        <is>
          <t>Ver</t>
        </is>
      </c>
      <c r="R1681" s="8" t="inlineStr">
        <is>
          <t>PCAP</t>
        </is>
      </c>
      <c r="S1681" s="9" t="n">
        <v>46310</v>
      </c>
      <c r="T1681" s="3" t="n">
        <v>46308.60893518518</v>
      </c>
      <c r="U1681" s="2" t="n"/>
    </row>
    <row r="1682">
      <c r="A1682" s="2" t="inlineStr">
        <is>
          <t>Pendiente de adjudicación</t>
        </is>
      </c>
      <c r="B1682" s="3" t="n">
        <v>46296.99930555555</v>
      </c>
      <c r="C1682" s="5" t="n">
        <v>64695.94</v>
      </c>
      <c r="D1682" s="5" t="n">
        <v>64695.94</v>
      </c>
      <c r="E1682" s="2" t="inlineStr">
        <is>
          <t>Comunitat Valenciana</t>
        </is>
      </c>
      <c r="F1682" s="2" t="inlineStr">
        <is>
          <t>Alicante</t>
        </is>
      </c>
      <c r="G1682" s="2" t="n"/>
      <c r="H1682" s="2" t="inlineStr">
        <is>
          <t>Alcaldía del Ayuntamiento de Dolores</t>
        </is>
      </c>
      <c r="I1682" s="2" t="inlineStr">
        <is>
          <t>Obras de mejora de la accesibilidad en Avda. Alcalde José Rodríguez en Dolores</t>
        </is>
      </c>
      <c r="J1682" s="2" t="inlineStr">
        <is>
          <t>3485/2026</t>
        </is>
      </c>
      <c r="K1682" s="2" t="inlineStr">
        <is>
          <t>Abierto simplificado</t>
        </is>
      </c>
      <c r="L1682" s="6" t="n">
        <v>2</v>
      </c>
      <c r="M1682" s="2" t="n"/>
      <c r="N1682" s="7" t="n">
        <v>0</v>
      </c>
      <c r="O1682" s="4" t="n"/>
      <c r="P1682" s="2" t="inlineStr">
        <is>
          <t>45233140</t>
        </is>
      </c>
      <c r="Q1682" s="8" t="inlineStr">
        <is>
          <t>Ver</t>
        </is>
      </c>
      <c r="R1682" s="8" t="inlineStr">
        <is>
          <t>PCAP</t>
        </is>
      </c>
      <c r="S1682" s="9" t="n">
        <v>46310</v>
      </c>
      <c r="T1682" s="3" t="n">
        <v>46308.60296296296</v>
      </c>
      <c r="U1682" s="2" t="n"/>
    </row>
    <row r="1683">
      <c r="A1683" s="2" t="inlineStr">
        <is>
          <t>Pendiente de adjudicación</t>
        </is>
      </c>
      <c r="B1683" s="3" t="n">
        <v>46171.99930555555</v>
      </c>
      <c r="C1683" s="5" t="n">
        <v>277278.77</v>
      </c>
      <c r="D1683" s="5" t="n">
        <v>277278.77</v>
      </c>
      <c r="E1683" s="2" t="inlineStr">
        <is>
          <t>Comunitat Valenciana</t>
        </is>
      </c>
      <c r="F1683" s="2" t="inlineStr">
        <is>
          <t>Alicante</t>
        </is>
      </c>
      <c r="G1683" s="2" t="n"/>
      <c r="H1683" s="2" t="inlineStr">
        <is>
          <t>Presidencia de la Diputación Provincial de Alicante</t>
        </is>
      </c>
      <c r="I1683" s="2" t="inlineStr">
        <is>
          <t>Obras de mejora en instalaciones deportivas, en el municipio de Hondón de los Frailes (2024.PLA.129).</t>
        </is>
      </c>
      <c r="J1683" s="2" t="inlineStr">
        <is>
          <t>O6S-085/2026</t>
        </is>
      </c>
      <c r="K1683" s="2" t="inlineStr">
        <is>
          <t>Abierto simplificado</t>
        </is>
      </c>
      <c r="L1683" s="6" t="n">
        <v>6</v>
      </c>
      <c r="M1683" s="2" t="n"/>
      <c r="N1683" s="7" t="n">
        <v>0</v>
      </c>
      <c r="O1683" s="4" t="n"/>
      <c r="P1683" s="2" t="inlineStr">
        <is>
          <t>45200000</t>
        </is>
      </c>
      <c r="Q1683" s="8" t="inlineStr">
        <is>
          <t>Ver</t>
        </is>
      </c>
      <c r="R1683" s="8" t="inlineStr">
        <is>
          <t>PCAP</t>
        </is>
      </c>
      <c r="S1683" s="9" t="n">
        <v>46310</v>
      </c>
      <c r="T1683" s="3" t="n">
        <v>46308.60243055555</v>
      </c>
      <c r="U1683" s="2" t="n"/>
    </row>
    <row r="1684">
      <c r="A1684" s="2" t="inlineStr">
        <is>
          <t>Resuelta</t>
        </is>
      </c>
      <c r="B1684" s="3" t="n">
        <v>46240.99930555555</v>
      </c>
      <c r="C1684" s="5" t="n">
        <v>495669.59</v>
      </c>
      <c r="D1684" s="5" t="n">
        <v>495669.59</v>
      </c>
      <c r="E1684" s="2" t="inlineStr">
        <is>
          <t>Andalucía</t>
        </is>
      </c>
      <c r="F1684" s="2" t="inlineStr">
        <is>
          <t>Huelva</t>
        </is>
      </c>
      <c r="G1684" s="2" t="n"/>
      <c r="H1684" s="2" t="inlineStr">
        <is>
          <t>Presidencia de la Diputación Provincial de Huelva</t>
        </is>
      </c>
      <c r="I1684"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1684" s="2" t="inlineStr">
        <is>
          <t>2026/CMY_03/000081</t>
        </is>
      </c>
      <c r="K1684" s="2" t="inlineStr">
        <is>
          <t>Abierto simplificado</t>
        </is>
      </c>
      <c r="L1684" s="6" t="n">
        <v>3</v>
      </c>
      <c r="M1684" s="2" t="n"/>
      <c r="N1684" s="7" t="n">
        <v>0</v>
      </c>
      <c r="O1684" s="4" t="n">
        <v>2</v>
      </c>
      <c r="P1684" s="2" t="inlineStr">
        <is>
          <t>45233000</t>
        </is>
      </c>
      <c r="Q1684" s="8" t="inlineStr">
        <is>
          <t>Ver</t>
        </is>
      </c>
      <c r="R1684" s="8" t="inlineStr">
        <is>
          <t>PCAP</t>
        </is>
      </c>
      <c r="S1684" s="9" t="n">
        <v>46310</v>
      </c>
      <c r="T1684" s="3" t="n">
        <v>46308.60006944444</v>
      </c>
      <c r="U1684" s="2" t="n"/>
    </row>
    <row r="1685">
      <c r="A1685" s="2" t="inlineStr">
        <is>
          <t>Plazo vencido</t>
        </is>
      </c>
      <c r="B1685" s="3" t="n">
        <v>46323.99930555555</v>
      </c>
      <c r="C1685" s="5" t="n">
        <v>71646.21000000001</v>
      </c>
      <c r="D1685" s="5" t="n">
        <v>71646.21000000001</v>
      </c>
      <c r="E1685" s="2" t="inlineStr">
        <is>
          <t>Andalucía</t>
        </is>
      </c>
      <c r="F1685" s="2" t="inlineStr">
        <is>
          <t>Málaga</t>
        </is>
      </c>
      <c r="G1685" s="2" t="n"/>
      <c r="H1685" s="2" t="inlineStr">
        <is>
          <t>Alcaldía del Ayuntamiento de Guaro</t>
        </is>
      </c>
      <c r="I1685" s="2" t="inlineStr">
        <is>
          <t>Obra de saneamiento y alcantarillado de calle Barranco de Guaro</t>
        </is>
      </c>
      <c r="J1685" s="2" t="inlineStr">
        <is>
          <t>2026_177_2</t>
        </is>
      </c>
      <c r="K1685" s="2" t="inlineStr">
        <is>
          <t>Abierto simplificado</t>
        </is>
      </c>
      <c r="L1685" s="6" t="n">
        <v>6</v>
      </c>
      <c r="M1685" s="2" t="n"/>
      <c r="N1685" s="7" t="n">
        <v>0</v>
      </c>
      <c r="O1685" s="4" t="n"/>
      <c r="P1685" s="2" t="inlineStr">
        <is>
          <t>45232410; 45232150; 45233252; 45232400</t>
        </is>
      </c>
      <c r="Q1685" s="8" t="inlineStr">
        <is>
          <t>Ver</t>
        </is>
      </c>
      <c r="R1685" s="8" t="inlineStr">
        <is>
          <t>PCAP</t>
        </is>
      </c>
      <c r="S1685" s="9" t="n">
        <v>46310</v>
      </c>
      <c r="T1685" s="3" t="n">
        <v>46308.59721064815</v>
      </c>
      <c r="U1685" s="2" t="n"/>
    </row>
    <row r="1686">
      <c r="A1686" s="2" t="inlineStr">
        <is>
          <t>Resuelta</t>
        </is>
      </c>
      <c r="B1686" s="3" t="n">
        <v>46223.99930555555</v>
      </c>
      <c r="C1686" s="5" t="n">
        <v>670118.76</v>
      </c>
      <c r="D1686" s="5" t="n">
        <v>670118.76</v>
      </c>
      <c r="E1686" s="2" t="inlineStr">
        <is>
          <t>Andalucía</t>
        </is>
      </c>
      <c r="F1686" s="2" t="inlineStr">
        <is>
          <t>Huelva</t>
        </is>
      </c>
      <c r="G1686" s="2" t="n"/>
      <c r="H1686" s="2" t="inlineStr">
        <is>
          <t>Junta de Gobierno de la Diputación Provincial de Huelva</t>
        </is>
      </c>
      <c r="I1686" s="2" t="inlineStr">
        <is>
          <t>Rehabilitación de firme en diversas carreteras provinciales: Lote 2: Rehabilitación de firme CP HU-5401 Puebla de Guzmán a Paymogo.</t>
        </is>
      </c>
      <c r="J1686" s="2" t="inlineStr">
        <is>
          <t>2026/CMY_03/000091</t>
        </is>
      </c>
      <c r="K1686" s="2" t="inlineStr">
        <is>
          <t>Negociado sin publicidad</t>
        </is>
      </c>
      <c r="L1686" s="6" t="n">
        <v>4</v>
      </c>
      <c r="M1686" s="2" t="n"/>
      <c r="N1686" s="7" t="n">
        <v>0</v>
      </c>
      <c r="O1686" s="4" t="n"/>
      <c r="P1686" s="2" t="inlineStr">
        <is>
          <t>45233000</t>
        </is>
      </c>
      <c r="Q1686" s="8" t="inlineStr">
        <is>
          <t>Ver</t>
        </is>
      </c>
      <c r="R1686" s="8" t="inlineStr">
        <is>
          <t>PCAP</t>
        </is>
      </c>
      <c r="S1686" s="9" t="n">
        <v>46310</v>
      </c>
      <c r="T1686" s="3" t="n">
        <v>46308.59719907407</v>
      </c>
      <c r="U1686" s="2" t="n"/>
    </row>
    <row r="1687">
      <c r="A1687" s="2" t="inlineStr">
        <is>
          <t>En plazo</t>
        </is>
      </c>
      <c r="B1687" s="3" t="n">
        <v>46335.79166666666</v>
      </c>
      <c r="C1687" s="5" t="n">
        <v>98044.17999999999</v>
      </c>
      <c r="D1687" s="5" t="n">
        <v>98044.17999999999</v>
      </c>
      <c r="E1687" s="2" t="inlineStr">
        <is>
          <t>Comunitat Valenciana</t>
        </is>
      </c>
      <c r="F1687" s="2" t="inlineStr">
        <is>
          <t>Alicante</t>
        </is>
      </c>
      <c r="G1687" s="2" t="inlineStr">
        <is>
          <t>Alicante (Alacant)</t>
        </is>
      </c>
      <c r="H1687" s="2" t="inlineStr">
        <is>
          <t>Alcaldía del Ayuntamiento de Finestrat</t>
        </is>
      </c>
      <c r="I1687" s="2" t="inlineStr">
        <is>
          <t>Obras de Mejora en el Consultorio Médico Auxiliar Fernando Martínez López de Finestrat</t>
        </is>
      </c>
      <c r="J1687" s="2" t="inlineStr">
        <is>
          <t>1-02-2026=A(=5143/2026)</t>
        </is>
      </c>
      <c r="K1687" s="2" t="inlineStr">
        <is>
          <t>Abierto</t>
        </is>
      </c>
      <c r="L1687" s="6" t="n">
        <v>2.1</v>
      </c>
      <c r="M1687" s="2" t="n"/>
      <c r="N1687" s="7" t="n">
        <v>0.49</v>
      </c>
      <c r="O1687" s="4" t="n"/>
      <c r="P1687" s="2" t="inlineStr">
        <is>
          <t>45261420</t>
        </is>
      </c>
      <c r="Q1687" s="8" t="inlineStr">
        <is>
          <t>Ver</t>
        </is>
      </c>
      <c r="R1687" s="8" t="inlineStr">
        <is>
          <t>PCAP</t>
        </is>
      </c>
      <c r="S1687" s="9" t="n">
        <v>46310</v>
      </c>
      <c r="T1687" s="3" t="n">
        <v>46308.58686342592</v>
      </c>
      <c r="U1687" s="2" t="n"/>
    </row>
    <row r="1688">
      <c r="A1688" s="2" t="inlineStr">
        <is>
          <t>Resuelta</t>
        </is>
      </c>
      <c r="B1688" s="3" t="n">
        <v>46223.99930555555</v>
      </c>
      <c r="C1688" s="5" t="n">
        <v>413222.37</v>
      </c>
      <c r="D1688" s="5" t="n">
        <v>413222.37</v>
      </c>
      <c r="E1688" s="2" t="inlineStr">
        <is>
          <t>Andalucía</t>
        </is>
      </c>
      <c r="F1688" s="2" t="inlineStr">
        <is>
          <t>Granada</t>
        </is>
      </c>
      <c r="G1688" s="2" t="n"/>
      <c r="H1688" s="2" t="inlineStr">
        <is>
          <t>Junta de Gobierno del Ayuntamiento de Armilla</t>
        </is>
      </c>
      <c r="I1688" s="2" t="inlineStr">
        <is>
          <t>Ejecución de obras de asfaltado y pavimentación de las calles comprendidas en el proyecto PLAN DE ASFALTOS 2026</t>
        </is>
      </c>
      <c r="J1688" s="2" t="inlineStr">
        <is>
          <t>2026-7303</t>
        </is>
      </c>
      <c r="K1688" s="2" t="inlineStr">
        <is>
          <t>Abierto simplificado</t>
        </is>
      </c>
      <c r="L1688" s="6" t="n">
        <v>1.5</v>
      </c>
      <c r="M1688" s="2" t="n"/>
      <c r="N1688" s="7" t="n">
        <v>0</v>
      </c>
      <c r="O1688" s="4" t="n"/>
      <c r="P1688" s="2" t="inlineStr">
        <is>
          <t>45233200; 45233142; 45233141</t>
        </is>
      </c>
      <c r="Q1688" s="8" t="inlineStr">
        <is>
          <t>Ver</t>
        </is>
      </c>
      <c r="R1688" s="8" t="inlineStr">
        <is>
          <t>PCAP</t>
        </is>
      </c>
      <c r="S1688" s="9" t="n">
        <v>46310</v>
      </c>
      <c r="T1688" s="3" t="n">
        <v>46308.58503472222</v>
      </c>
      <c r="U1688" s="2" t="n"/>
    </row>
    <row r="1689">
      <c r="A1689" s="2" t="inlineStr">
        <is>
          <t>Pendiente de adjudicación</t>
        </is>
      </c>
      <c r="B1689" s="3" t="n">
        <v>46280.99930555555</v>
      </c>
      <c r="C1689" s="5" t="n">
        <v>661155.84</v>
      </c>
      <c r="D1689" s="5" t="n">
        <v>661155.84</v>
      </c>
      <c r="E1689" s="2" t="inlineStr">
        <is>
          <t>Andalucía</t>
        </is>
      </c>
      <c r="F1689" s="2" t="inlineStr">
        <is>
          <t>Granada</t>
        </is>
      </c>
      <c r="G1689" s="2" t="inlineStr">
        <is>
          <t>LA ZUBIA</t>
        </is>
      </c>
      <c r="H1689" s="2" t="inlineStr">
        <is>
          <t>Presidencia de la Diputación Provincial de Granada</t>
        </is>
      </c>
      <c r="I1689" s="2" t="inlineStr">
        <is>
          <t>2024/4/PPCGR/1-39 "C.P. GR-3211 de Granada (A-395) a la Zubia. Alumbrado y restauración paisajística del PK 1+440 al PK 2+330"</t>
        </is>
      </c>
      <c r="J1689" s="2" t="inlineStr">
        <is>
          <t>OB-032/26</t>
        </is>
      </c>
      <c r="K1689" s="2" t="inlineStr">
        <is>
          <t>Abierto simplificado</t>
        </is>
      </c>
      <c r="L1689" s="6" t="n">
        <v>8</v>
      </c>
      <c r="M1689" s="2" t="inlineStr">
        <is>
          <t>K5-2; K6-2; I1-2</t>
        </is>
      </c>
      <c r="N1689" s="7" t="n">
        <v>0</v>
      </c>
      <c r="O1689" s="4" t="n"/>
      <c r="P1689" s="2" t="inlineStr">
        <is>
          <t>45233120</t>
        </is>
      </c>
      <c r="Q1689" s="8" t="inlineStr">
        <is>
          <t>Ver</t>
        </is>
      </c>
      <c r="R1689" s="8" t="inlineStr">
        <is>
          <t>PCAP</t>
        </is>
      </c>
      <c r="S1689" s="9" t="n">
        <v>46310</v>
      </c>
      <c r="T1689" s="3" t="n">
        <v>46308.57484953704</v>
      </c>
      <c r="U1689" s="2" t="n"/>
    </row>
    <row r="1690">
      <c r="A1690" s="2" t="inlineStr">
        <is>
          <t>Adjudicada</t>
        </is>
      </c>
      <c r="B1690" s="3" t="n">
        <v>46195.99722222222</v>
      </c>
      <c r="C1690" s="5" t="n">
        <v>476154.55</v>
      </c>
      <c r="D1690" s="5" t="n">
        <v>476154.55</v>
      </c>
      <c r="E1690" s="2" t="inlineStr">
        <is>
          <t>Andalucía</t>
        </is>
      </c>
      <c r="F1690" s="2" t="inlineStr">
        <is>
          <t>Granada</t>
        </is>
      </c>
      <c r="G1690" s="2" t="n"/>
      <c r="H1690" s="2" t="inlineStr">
        <is>
          <t>Rectorado de la Universidad de Granada</t>
        </is>
      </c>
      <c r="I1690" s="2" t="inlineStr">
        <is>
          <t>Instalación de centro de transformación, línea de alta tensión y grupo electrógeno en edificio UGR-DONES de Escúzar</t>
        </is>
      </c>
      <c r="J1690" s="2" t="inlineStr">
        <is>
          <t>UGR/2026/0054</t>
        </is>
      </c>
      <c r="K1690" s="2" t="inlineStr">
        <is>
          <t>Abierto simplificado</t>
        </is>
      </c>
      <c r="L1690" s="6" t="n">
        <v>5</v>
      </c>
      <c r="M1690" s="2" t="n"/>
      <c r="N1690" s="7" t="n">
        <v>1</v>
      </c>
      <c r="O1690" s="4" t="n"/>
      <c r="P1690" s="2" t="inlineStr">
        <is>
          <t>45315300; 45315700; 45232220</t>
        </is>
      </c>
      <c r="Q1690" s="8" t="inlineStr">
        <is>
          <t>Ver</t>
        </is>
      </c>
      <c r="R1690" s="8" t="inlineStr">
        <is>
          <t>PCAP</t>
        </is>
      </c>
      <c r="S1690" s="9" t="n">
        <v>46310</v>
      </c>
      <c r="T1690" s="3" t="n">
        <v>46308.57318287037</v>
      </c>
      <c r="U1690" s="2" t="n"/>
    </row>
    <row r="1691">
      <c r="A1691" s="2" t="inlineStr">
        <is>
          <t>Pendiente de adjudicación</t>
        </is>
      </c>
      <c r="B1691" s="3" t="n">
        <v>46293.99930555555</v>
      </c>
      <c r="C1691" s="5" t="n">
        <v>246166.94</v>
      </c>
      <c r="D1691" s="5" t="n">
        <v>246166.94</v>
      </c>
      <c r="E1691" s="2" t="inlineStr">
        <is>
          <t>Andalucía</t>
        </is>
      </c>
      <c r="F1691" s="2" t="inlineStr">
        <is>
          <t>Granada</t>
        </is>
      </c>
      <c r="G1691" s="2" t="inlineStr">
        <is>
          <t>BEAS DE GUADIX</t>
        </is>
      </c>
      <c r="H1691" s="2" t="inlineStr">
        <is>
          <t>Presidencia de la Diputación Provincial de Granada</t>
        </is>
      </c>
      <c r="I1691" s="2" t="inlineStr">
        <is>
          <t>2020/2/PPOYS-24, 2022/2/PPOYS-24 y 2026/4/PPOYS-24 "Beas de Guadix, mejora de acceso a Beas de Guadix en Camino de Nogueras"</t>
        </is>
      </c>
      <c r="J1691" s="2" t="inlineStr">
        <is>
          <t>OB-068/26</t>
        </is>
      </c>
      <c r="K1691" s="2" t="inlineStr">
        <is>
          <t>Abierto simplificado</t>
        </is>
      </c>
      <c r="L1691" s="6" t="n">
        <v>5</v>
      </c>
      <c r="M1691" s="2" t="inlineStr">
        <is>
          <t>E7-2; G6-2</t>
        </is>
      </c>
      <c r="N1691" s="7" t="n">
        <v>0</v>
      </c>
      <c r="O1691" s="4" t="n"/>
      <c r="P1691" s="2" t="inlineStr">
        <is>
          <t>45231100; 45233252</t>
        </is>
      </c>
      <c r="Q1691" s="8" t="inlineStr">
        <is>
          <t>Ver</t>
        </is>
      </c>
      <c r="R1691" s="8" t="inlineStr">
        <is>
          <t>PCAP</t>
        </is>
      </c>
      <c r="S1691" s="9" t="n">
        <v>46310</v>
      </c>
      <c r="T1691" s="3" t="n">
        <v>46308.57306712963</v>
      </c>
      <c r="U1691" s="2" t="n"/>
    </row>
    <row r="1692">
      <c r="A1692" s="2" t="inlineStr">
        <is>
          <t>Plazo vencido</t>
        </is>
      </c>
      <c r="B1692" s="3" t="n">
        <v>46322.99930555555</v>
      </c>
      <c r="C1692" s="5" t="n">
        <v>63300.18</v>
      </c>
      <c r="D1692" s="5" t="n">
        <v>63300.18</v>
      </c>
      <c r="E1692" s="2" t="inlineStr">
        <is>
          <t>Andalucía</t>
        </is>
      </c>
      <c r="F1692" s="2" t="inlineStr">
        <is>
          <t>Córdoba</t>
        </is>
      </c>
      <c r="G1692" s="2" t="inlineStr">
        <is>
          <t>Villanueva del Rey (Córdoba)</t>
        </is>
      </c>
      <c r="H1692" s="2" t="inlineStr">
        <is>
          <t>Diputado delegado de Infraestructuras, Sostenibilidad y Agricultura</t>
        </is>
      </c>
      <c r="I1692" s="2" t="inlineStr">
        <is>
          <t>Contratación de la obra Adaptación de Inmueble sito en Calle Real, 2 para aparcamiento público en Villanueva del Rey (Córdoba). Obra Incluida en el Plan Provincial de Obras y Servicios 2024-2027</t>
        </is>
      </c>
      <c r="J1692" s="2" t="inlineStr">
        <is>
          <t>852/26</t>
        </is>
      </c>
      <c r="K1692" s="2" t="inlineStr">
        <is>
          <t>Abierto simplificado</t>
        </is>
      </c>
      <c r="L1692" s="6" t="n">
        <v>2</v>
      </c>
      <c r="M1692" s="2" t="n"/>
      <c r="N1692" s="7" t="n">
        <v>0</v>
      </c>
      <c r="O1692" s="4" t="n"/>
      <c r="P1692" s="2" t="inlineStr">
        <is>
          <t>45110000</t>
        </is>
      </c>
      <c r="Q1692" s="8" t="inlineStr">
        <is>
          <t>Ver</t>
        </is>
      </c>
      <c r="R1692" s="8" t="inlineStr">
        <is>
          <t>PCAP</t>
        </is>
      </c>
      <c r="S1692" s="9" t="n">
        <v>46310</v>
      </c>
      <c r="T1692" s="3" t="n">
        <v>46308.57271990741</v>
      </c>
      <c r="U1692" s="2" t="n"/>
    </row>
    <row r="1693">
      <c r="A1693" s="2" t="inlineStr">
        <is>
          <t>En plazo</t>
        </is>
      </c>
      <c r="B1693" s="3" t="n">
        <v>46335.79166666666</v>
      </c>
      <c r="C1693" s="5" t="n">
        <v>486596.59</v>
      </c>
      <c r="D1693" s="5" t="n">
        <v>486596.59</v>
      </c>
      <c r="E1693" s="2" t="inlineStr">
        <is>
          <t>Andalucía</t>
        </is>
      </c>
      <c r="F1693" s="2" t="inlineStr">
        <is>
          <t>Huelva</t>
        </is>
      </c>
      <c r="G1693" s="2" t="inlineStr">
        <is>
          <t>Aljaraque</t>
        </is>
      </c>
      <c r="H1693" s="2" t="inlineStr">
        <is>
          <t>Alcaldía del Ayuntamiento de Aljaraque</t>
        </is>
      </c>
      <c r="I1693"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1693" s="2" t="inlineStr">
        <is>
          <t>Expte 10153/2026 Proyecto+Obra Campo futbol7</t>
        </is>
      </c>
      <c r="K1693" s="2" t="inlineStr">
        <is>
          <t>Abierto</t>
        </is>
      </c>
      <c r="L1693" s="6" t="n">
        <v>14</v>
      </c>
      <c r="M1693" s="2" t="n"/>
      <c r="N1693" s="7" t="n">
        <v>0.4</v>
      </c>
      <c r="O1693" s="4" t="n">
        <v>2</v>
      </c>
      <c r="P1693" s="2" t="inlineStr">
        <is>
          <t>45212200; 71520000; 71242000</t>
        </is>
      </c>
      <c r="Q1693" s="8" t="inlineStr">
        <is>
          <t>Ver</t>
        </is>
      </c>
      <c r="R1693" s="8" t="inlineStr">
        <is>
          <t>PCAP</t>
        </is>
      </c>
      <c r="S1693" s="9" t="n">
        <v>46310</v>
      </c>
      <c r="T1693" s="3" t="n">
        <v>46308.57258101852</v>
      </c>
      <c r="U1693" s="2" t="n"/>
    </row>
    <row r="1694">
      <c r="A1694" s="2" t="inlineStr">
        <is>
          <t>Pendiente de adjudicación</t>
        </is>
      </c>
      <c r="B1694" s="3" t="n">
        <v>46300.99930555555</v>
      </c>
      <c r="C1694" s="5" t="n">
        <v>143339.4</v>
      </c>
      <c r="D1694" s="5" t="n">
        <v>143339.4</v>
      </c>
      <c r="E1694" s="2" t="inlineStr">
        <is>
          <t>Andalucía</t>
        </is>
      </c>
      <c r="F1694" s="2" t="inlineStr">
        <is>
          <t>Granada</t>
        </is>
      </c>
      <c r="G1694" s="2" t="inlineStr">
        <is>
          <t>LA CALAHORRA</t>
        </is>
      </c>
      <c r="H1694" s="2" t="inlineStr">
        <is>
          <t>Presidencia de la Diputación Provincial de Granada</t>
        </is>
      </c>
      <c r="I1694" s="2" t="inlineStr">
        <is>
          <t>"Obras de conservación y acondicionamiento de salas en Castillo de La Calahorra·</t>
        </is>
      </c>
      <c r="J1694" s="2" t="inlineStr">
        <is>
          <t>OB-077/26</t>
        </is>
      </c>
      <c r="K1694" s="2" t="inlineStr">
        <is>
          <t>Abierto simplificado</t>
        </is>
      </c>
      <c r="L1694" s="6" t="n">
        <v>3</v>
      </c>
      <c r="M1694" s="2" t="inlineStr">
        <is>
          <t>K7-1</t>
        </is>
      </c>
      <c r="N1694" s="7" t="n">
        <v>0</v>
      </c>
      <c r="O1694" s="4" t="n"/>
      <c r="P1694" s="2" t="inlineStr">
        <is>
          <t>45454100; 45212350</t>
        </is>
      </c>
      <c r="Q1694" s="8" t="inlineStr">
        <is>
          <t>Ver</t>
        </is>
      </c>
      <c r="R1694" s="8" t="inlineStr">
        <is>
          <t>PCAP</t>
        </is>
      </c>
      <c r="S1694" s="9" t="n">
        <v>46310</v>
      </c>
      <c r="T1694" s="3" t="n">
        <v>46308.56767361111</v>
      </c>
      <c r="U1694" s="2" t="n"/>
    </row>
    <row r="1695">
      <c r="A1695" s="2" t="inlineStr">
        <is>
          <t>Resuelta</t>
        </is>
      </c>
      <c r="B1695" s="3" t="n">
        <v>46210.79166666666</v>
      </c>
      <c r="C1695" s="5" t="n">
        <v>72042.59</v>
      </c>
      <c r="D1695" s="5" t="n">
        <v>72042.59</v>
      </c>
      <c r="E1695" s="2" t="inlineStr">
        <is>
          <t>Andalucía</t>
        </is>
      </c>
      <c r="F1695" s="2" t="inlineStr">
        <is>
          <t>Cádiz</t>
        </is>
      </c>
      <c r="G1695" s="2" t="inlineStr">
        <is>
          <t>TARIFA</t>
        </is>
      </c>
      <c r="H1695" s="2" t="inlineStr">
        <is>
          <t>Alcaldía del Ayuntamiento de Tarifa</t>
        </is>
      </c>
      <c r="I1695" s="2" t="inlineStr">
        <is>
          <t>consolidación de la espadaña de la Iglesia de Santiago de Tarifa</t>
        </is>
      </c>
      <c r="J1695" s="2" t="inlineStr">
        <is>
          <t>2025/</t>
        </is>
      </c>
      <c r="K1695" s="2" t="inlineStr">
        <is>
          <t>Abierto simplificado</t>
        </is>
      </c>
      <c r="L1695" s="6" t="n">
        <v>2</v>
      </c>
      <c r="M1695" s="2" t="n"/>
      <c r="N1695" s="7" t="n">
        <v>0</v>
      </c>
      <c r="O1695" s="4" t="n"/>
      <c r="P1695" s="2" t="inlineStr">
        <is>
          <t>45000000</t>
        </is>
      </c>
      <c r="Q1695" s="8" t="inlineStr">
        <is>
          <t>Ver</t>
        </is>
      </c>
      <c r="R1695" s="8" t="inlineStr">
        <is>
          <t>PCAP</t>
        </is>
      </c>
      <c r="S1695" s="9" t="n">
        <v>46310</v>
      </c>
      <c r="T1695" s="3" t="n">
        <v>46308.56576388889</v>
      </c>
      <c r="U1695" s="2" t="n"/>
    </row>
    <row r="1696">
      <c r="A1696" s="2" t="inlineStr">
        <is>
          <t>En plazo</t>
        </is>
      </c>
      <c r="B1696" s="3" t="n">
        <v>46328.99930555555</v>
      </c>
      <c r="C1696" s="5" t="n">
        <v>106640.08</v>
      </c>
      <c r="D1696" s="5" t="n">
        <v>106640.08</v>
      </c>
      <c r="E1696" s="2" t="inlineStr">
        <is>
          <t>Comunitat Valenciana</t>
        </is>
      </c>
      <c r="F1696" s="2" t="inlineStr">
        <is>
          <t>Valencia</t>
        </is>
      </c>
      <c r="G1696" s="2" t="n"/>
      <c r="H1696" s="2" t="inlineStr">
        <is>
          <t>Junta de Gobierno del Ayuntamiento de Alzira</t>
        </is>
      </c>
      <c r="I1696" s="2" t="inlineStr">
        <is>
          <t>Obras de adaptación del edificio de la Pl. Sufragio,10, para albergar el departamento de Servicios Sociales</t>
        </is>
      </c>
      <c r="J1696" s="2" t="inlineStr">
        <is>
          <t>8113/26</t>
        </is>
      </c>
      <c r="K1696" s="2" t="inlineStr">
        <is>
          <t>Abierto simplificado</t>
        </is>
      </c>
      <c r="L1696" s="6" t="n">
        <v>3</v>
      </c>
      <c r="M1696" s="2" t="n"/>
      <c r="N1696" s="7" t="n">
        <v>0</v>
      </c>
      <c r="O1696" s="4" t="n"/>
      <c r="P1696" s="2" t="inlineStr">
        <is>
          <t>45454000</t>
        </is>
      </c>
      <c r="Q1696" s="8" t="inlineStr">
        <is>
          <t>Ver</t>
        </is>
      </c>
      <c r="R1696" s="8" t="inlineStr">
        <is>
          <t>PCAP</t>
        </is>
      </c>
      <c r="S1696" s="9" t="n">
        <v>46310</v>
      </c>
      <c r="T1696" s="3" t="n">
        <v>46308.5640162037</v>
      </c>
      <c r="U1696" s="2" t="n"/>
    </row>
    <row r="1697">
      <c r="A1697" s="2" t="inlineStr">
        <is>
          <t>En plazo</t>
        </is>
      </c>
      <c r="B1697" s="3" t="n">
        <v>46329.99930555555</v>
      </c>
      <c r="C1697" s="5" t="n">
        <v>97066.57000000001</v>
      </c>
      <c r="D1697" s="5" t="n">
        <v>97066.57000000001</v>
      </c>
      <c r="E1697" s="2" t="inlineStr">
        <is>
          <t>Andalucía</t>
        </is>
      </c>
      <c r="F1697" s="2" t="inlineStr">
        <is>
          <t>Jaén</t>
        </is>
      </c>
      <c r="G1697" s="2" t="inlineStr">
        <is>
          <t>Puente de Génave</t>
        </is>
      </c>
      <c r="H1697" s="2" t="inlineStr">
        <is>
          <t>Alcaldía del Ayuntamiento de Puente de Génave</t>
        </is>
      </c>
      <c r="I1697" s="2" t="inlineStr">
        <is>
          <t>Reparación de firme en Paseo de la Vicaria.</t>
        </is>
      </c>
      <c r="J1697" s="2" t="inlineStr">
        <is>
          <t>386/2026</t>
        </is>
      </c>
      <c r="K1697" s="2" t="inlineStr">
        <is>
          <t>Abierto simplificado</t>
        </is>
      </c>
      <c r="L1697" s="6" t="n">
        <v>5</v>
      </c>
      <c r="M1697" s="2" t="inlineStr">
        <is>
          <t>G4-1</t>
        </is>
      </c>
      <c r="N1697" s="7" t="n">
        <v>0</v>
      </c>
      <c r="O1697" s="4" t="n"/>
      <c r="P1697" s="2" t="inlineStr">
        <is>
          <t>45233252; 45233222</t>
        </is>
      </c>
      <c r="Q1697" s="8" t="inlineStr">
        <is>
          <t>Ver</t>
        </is>
      </c>
      <c r="R1697" s="8" t="inlineStr">
        <is>
          <t>PCAP</t>
        </is>
      </c>
      <c r="S1697" s="9" t="n">
        <v>46310</v>
      </c>
      <c r="T1697" s="3" t="n">
        <v>46308.56355324074</v>
      </c>
      <c r="U1697" s="2" t="n"/>
    </row>
    <row r="1698">
      <c r="A1698" s="2" t="inlineStr">
        <is>
          <t>Resuelta</t>
        </is>
      </c>
      <c r="B1698" s="3" t="n">
        <v>46246.58333333334</v>
      </c>
      <c r="C1698" s="5" t="n">
        <v>197369.82</v>
      </c>
      <c r="D1698" s="5" t="n">
        <v>197369.82</v>
      </c>
      <c r="E1698" s="2" t="inlineStr">
        <is>
          <t>Comunitat Valenciana</t>
        </is>
      </c>
      <c r="F1698" s="2" t="inlineStr">
        <is>
          <t>Valencia</t>
        </is>
      </c>
      <c r="G1698" s="2" t="inlineStr">
        <is>
          <t>Los Ruices</t>
        </is>
      </c>
      <c r="H1698" s="2" t="inlineStr">
        <is>
          <t>Junta de Gobierno Local del Ayuntamiento de Requena</t>
        </is>
      </c>
      <c r="I1698" s="2" t="inlineStr">
        <is>
          <t>Reforma del centro social de Los Ruices</t>
        </is>
      </c>
      <c r="J1698" s="2" t="inlineStr">
        <is>
          <t>2810416F</t>
        </is>
      </c>
      <c r="K1698" s="2" t="inlineStr">
        <is>
          <t>Abierto simplificado</t>
        </is>
      </c>
      <c r="L1698" s="6" t="n">
        <v>4</v>
      </c>
      <c r="M1698" s="2" t="n"/>
      <c r="N1698" s="7" t="n">
        <v>0</v>
      </c>
      <c r="O1698" s="4" t="n"/>
      <c r="P1698" s="2" t="inlineStr">
        <is>
          <t>45000000</t>
        </is>
      </c>
      <c r="Q1698" s="8" t="inlineStr">
        <is>
          <t>Ver</t>
        </is>
      </c>
      <c r="R1698" s="8" t="inlineStr">
        <is>
          <t>PCAP</t>
        </is>
      </c>
      <c r="S1698" s="9" t="n">
        <v>46310</v>
      </c>
      <c r="T1698" s="3" t="n">
        <v>46308.5568287037</v>
      </c>
      <c r="U1698" s="2" t="n"/>
    </row>
    <row r="1699">
      <c r="A1699" s="2" t="inlineStr">
        <is>
          <t>Pendiente de adjudicación</t>
        </is>
      </c>
      <c r="B1699" s="3" t="n">
        <v>46244.58333333334</v>
      </c>
      <c r="C1699" s="5" t="n">
        <v>245778.41</v>
      </c>
      <c r="D1699" s="5" t="n">
        <v>270356.25</v>
      </c>
      <c r="E1699" s="2" t="inlineStr">
        <is>
          <t>Comunitat Valenciana</t>
        </is>
      </c>
      <c r="F1699" s="2" t="inlineStr">
        <is>
          <t>Alicante</t>
        </is>
      </c>
      <c r="G1699" s="2" t="inlineStr">
        <is>
          <t>Alicante (Alacant)</t>
        </is>
      </c>
      <c r="H1699" s="2" t="inlineStr">
        <is>
          <t>Junta de Gobierno del Ayuntamiento de Petrer</t>
        </is>
      </c>
      <c r="I1699" s="2" t="inlineStr">
        <is>
          <t>Obras incluidas en el "Proyecto de mejora y renovación de las zonas de juegos infantiles del Parque Municipal El Campet (Petrer)"</t>
        </is>
      </c>
      <c r="J1699" s="2" t="inlineStr">
        <is>
          <t>4908/2026-C19/26</t>
        </is>
      </c>
      <c r="K1699" s="2" t="inlineStr">
        <is>
          <t>Abierto simplificado</t>
        </is>
      </c>
      <c r="L1699" s="6" t="n">
        <v>3</v>
      </c>
      <c r="M1699" s="2" t="n"/>
      <c r="N1699" s="7" t="n"/>
      <c r="O1699" s="4" t="n"/>
      <c r="P1699" s="2" t="inlineStr">
        <is>
          <t>45200000; 45233200; 43325000</t>
        </is>
      </c>
      <c r="Q1699" s="8" t="inlineStr">
        <is>
          <t>Ver</t>
        </is>
      </c>
      <c r="R1699" s="8" t="inlineStr">
        <is>
          <t>PCAP</t>
        </is>
      </c>
      <c r="S1699" s="9" t="n">
        <v>46310</v>
      </c>
      <c r="T1699" s="3" t="n">
        <v>46308.55604166666</v>
      </c>
      <c r="U1699" s="2" t="n"/>
    </row>
    <row r="1700">
      <c r="A1700" s="2" t="inlineStr">
        <is>
          <t>Pendiente de adjudicación</t>
        </is>
      </c>
      <c r="B1700" s="3" t="n">
        <v>46300.99930555555</v>
      </c>
      <c r="C1700" s="5" t="n">
        <v>106657.02</v>
      </c>
      <c r="D1700" s="5" t="n">
        <v>106657.02</v>
      </c>
      <c r="E1700" s="2" t="inlineStr">
        <is>
          <t>Andalucía</t>
        </is>
      </c>
      <c r="F1700" s="2" t="inlineStr">
        <is>
          <t>Granada</t>
        </is>
      </c>
      <c r="G1700" s="2" t="inlineStr">
        <is>
          <t>CARCHUNA - CALAHONDA</t>
        </is>
      </c>
      <c r="H1700" s="2" t="inlineStr">
        <is>
          <t>Presidencia de la Diputación Provincial de Granada</t>
        </is>
      </c>
      <c r="I1700" s="2" t="inlineStr">
        <is>
          <t>2026/4/PPOYS-41/1 y 2026/4/PPOYS-41/2 "Carchuna-Calahonda, reforma zona peatonal Calle Espliego (Plaza Espliego) y Calle Flor de Lis de Calahonda"</t>
        </is>
      </c>
      <c r="J1700" s="2" t="inlineStr">
        <is>
          <t>OB-055/26</t>
        </is>
      </c>
      <c r="K1700" s="2" t="inlineStr">
        <is>
          <t>Abierto simplificado</t>
        </is>
      </c>
      <c r="L1700" s="6" t="n">
        <v>6</v>
      </c>
      <c r="M1700" s="2" t="inlineStr">
        <is>
          <t>G6-1</t>
        </is>
      </c>
      <c r="N1700" s="7" t="n">
        <v>0</v>
      </c>
      <c r="O1700" s="4" t="n"/>
      <c r="P1700" s="2" t="inlineStr">
        <is>
          <t>45233252; 45316100</t>
        </is>
      </c>
      <c r="Q1700" s="8" t="inlineStr">
        <is>
          <t>Ver</t>
        </is>
      </c>
      <c r="R1700" s="8" t="inlineStr">
        <is>
          <t>PCAP</t>
        </is>
      </c>
      <c r="S1700" s="9" t="n">
        <v>46310</v>
      </c>
      <c r="T1700" s="3" t="n">
        <v>46308.55388888889</v>
      </c>
      <c r="U1700" s="2" t="n"/>
    </row>
    <row r="1701">
      <c r="A1701" s="2" t="inlineStr">
        <is>
          <t>En plazo</t>
        </is>
      </c>
      <c r="B1701" s="3" t="n">
        <v>46329.99930555555</v>
      </c>
      <c r="C1701" s="5" t="n">
        <v>147607.22</v>
      </c>
      <c r="D1701" s="5" t="n">
        <v>147607.22</v>
      </c>
      <c r="E1701" s="2" t="inlineStr">
        <is>
          <t>Andalucía</t>
        </is>
      </c>
      <c r="F1701" s="2" t="inlineStr">
        <is>
          <t>Málaga</t>
        </is>
      </c>
      <c r="G1701" s="2" t="n"/>
      <c r="H1701" s="2" t="inlineStr">
        <is>
          <t>Presidencia de la Diputación Provincial de Málaga</t>
        </is>
      </c>
      <c r="I1701" s="2" t="inlineStr">
        <is>
          <t>Reforma de aseos en planta primera y segunda en Centro Virgen de la Esperanza</t>
        </is>
      </c>
      <c r="J1701" s="2" t="inlineStr">
        <is>
          <t>OP-PA.-2024/004-3A-CONV</t>
        </is>
      </c>
      <c r="K1701" s="2" t="inlineStr">
        <is>
          <t>Abierto simplificado</t>
        </is>
      </c>
      <c r="L1701" s="6" t="n">
        <v>3</v>
      </c>
      <c r="M1701" s="2" t="n"/>
      <c r="N1701" s="7" t="n">
        <v>0</v>
      </c>
      <c r="O1701" s="4" t="n"/>
      <c r="P1701" s="2" t="inlineStr">
        <is>
          <t>45211310</t>
        </is>
      </c>
      <c r="Q1701" s="8" t="inlineStr">
        <is>
          <t>Ver</t>
        </is>
      </c>
      <c r="R1701" s="8" t="inlineStr">
        <is>
          <t>PCAP</t>
        </is>
      </c>
      <c r="S1701" s="9" t="n">
        <v>46310</v>
      </c>
      <c r="T1701" s="3" t="n">
        <v>46308.55158564815</v>
      </c>
      <c r="U1701" s="2" t="n"/>
    </row>
    <row r="1702">
      <c r="A1702" s="2" t="inlineStr">
        <is>
          <t>Pendiente de adjudicación</t>
        </is>
      </c>
      <c r="B1702" s="3" t="n">
        <v>46246.99930555555</v>
      </c>
      <c r="C1702" s="5" t="n">
        <v>488969.76</v>
      </c>
      <c r="D1702" s="5" t="n">
        <v>635660.6899999999</v>
      </c>
      <c r="E1702" s="2" t="inlineStr">
        <is>
          <t>Comunitat Valenciana</t>
        </is>
      </c>
      <c r="F1702" s="2" t="inlineStr">
        <is>
          <t>Valencia</t>
        </is>
      </c>
      <c r="G1702" s="2" t="n"/>
      <c r="H1702" s="2" t="inlineStr">
        <is>
          <t>Dirección de la Agencia Valenciana de Seguridad y Respuestas a las Emergencias</t>
        </is>
      </c>
      <c r="I1702" s="2" t="inlineStr">
        <is>
          <t>Obras de reparación de diversas patologías en el hormigón y revestimientos del edificio de departamentos docentes del Instituto Valenciano de Seguridad Pública y Emergencias, ubicado en el Complejo Educativo de Cheste</t>
        </is>
      </c>
      <c r="J1702" s="2" t="inlineStr">
        <is>
          <t>CNMY26/IVA/09</t>
        </is>
      </c>
      <c r="K1702" s="2" t="inlineStr">
        <is>
          <t>Abierto simplificado</t>
        </is>
      </c>
      <c r="L1702" s="6" t="n">
        <v>6</v>
      </c>
      <c r="M1702" s="2" t="n"/>
      <c r="N1702" s="7" t="n">
        <v>0</v>
      </c>
      <c r="O1702" s="4" t="n"/>
      <c r="P1702" s="2" t="inlineStr">
        <is>
          <t>45000000; 45262700; 45400000; 45212350; 45262690</t>
        </is>
      </c>
      <c r="Q1702" s="8" t="inlineStr">
        <is>
          <t>Ver</t>
        </is>
      </c>
      <c r="R1702" s="8" t="inlineStr">
        <is>
          <t>PCAP</t>
        </is>
      </c>
      <c r="S1702" s="9" t="n">
        <v>46310</v>
      </c>
      <c r="T1702" s="3" t="n">
        <v>46308.54888888889</v>
      </c>
      <c r="U1702" s="2" t="n"/>
    </row>
    <row r="1703">
      <c r="A1703" s="2" t="inlineStr">
        <is>
          <t>En plazo</t>
        </is>
      </c>
      <c r="B1703" s="3" t="n">
        <v>46328.99930555555</v>
      </c>
      <c r="C1703" s="5" t="n">
        <v>407724.68</v>
      </c>
      <c r="D1703" s="5" t="n">
        <v>407724.68</v>
      </c>
      <c r="E1703" s="2" t="inlineStr">
        <is>
          <t>Comunitat Valenciana</t>
        </is>
      </c>
      <c r="F1703" s="2" t="inlineStr">
        <is>
          <t>Valencia</t>
        </is>
      </c>
      <c r="G1703" s="2" t="inlineStr">
        <is>
          <t>Sinarcas</t>
        </is>
      </c>
      <c r="H1703" s="2" t="inlineStr">
        <is>
          <t>Pleno del Ayuntamiento de Sinarcas</t>
        </is>
      </c>
      <c r="I1703" s="2" t="inlineStr">
        <is>
          <t>Habilitación y urbanización de la zona comprendida entre C/ Cerro Carpio y Avda. Gran Sinarcas</t>
        </is>
      </c>
      <c r="J1703" s="2" t="inlineStr">
        <is>
          <t>76/2026 DANA 2024</t>
        </is>
      </c>
      <c r="K1703" s="2" t="inlineStr">
        <is>
          <t>Abierto simplificado</t>
        </is>
      </c>
      <c r="L1703" s="6" t="n">
        <v>11</v>
      </c>
      <c r="M1703" s="2" t="n"/>
      <c r="N1703" s="7" t="n">
        <v>0</v>
      </c>
      <c r="O1703" s="4" t="n"/>
      <c r="P1703" s="2" t="inlineStr">
        <is>
          <t>45211360; 45233252; 45232451; 45112710</t>
        </is>
      </c>
      <c r="Q1703" s="8" t="inlineStr">
        <is>
          <t>Ver</t>
        </is>
      </c>
      <c r="R1703" s="8" t="inlineStr">
        <is>
          <t>PCAP</t>
        </is>
      </c>
      <c r="S1703" s="9" t="n">
        <v>46310</v>
      </c>
      <c r="T1703" s="3" t="n">
        <v>46308.54163194444</v>
      </c>
      <c r="U1703" s="2" t="n"/>
    </row>
    <row r="1704">
      <c r="A1704" s="2" t="inlineStr">
        <is>
          <t>Plazo vencido</t>
        </is>
      </c>
      <c r="B1704" s="3" t="n">
        <v>46322.99930555555</v>
      </c>
      <c r="C1704" s="5" t="n">
        <v>39283.62</v>
      </c>
      <c r="D1704" s="5" t="n">
        <v>39283.62</v>
      </c>
      <c r="E1704" s="2" t="inlineStr">
        <is>
          <t>Andalucía</t>
        </is>
      </c>
      <c r="F1704" s="2" t="inlineStr">
        <is>
          <t>Córdoba</t>
        </is>
      </c>
      <c r="G1704" s="2" t="inlineStr">
        <is>
          <t>Peñarroya-Pueblonuevo</t>
        </is>
      </c>
      <c r="H1704" s="2" t="inlineStr">
        <is>
          <t>Alcaldía del Ayuntamiento de Peñarroya-Pueblonuevo</t>
        </is>
      </c>
      <c r="I1704"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1704" s="2" t="inlineStr">
        <is>
          <t>12250/2026</t>
        </is>
      </c>
      <c r="K1704" s="2" t="inlineStr">
        <is>
          <t>Abierto simplificado</t>
        </is>
      </c>
      <c r="L1704" s="6" t="n">
        <v>2</v>
      </c>
      <c r="M1704" s="2" t="n"/>
      <c r="N1704" s="7" t="n">
        <v>0</v>
      </c>
      <c r="O1704" s="4" t="n"/>
      <c r="P1704" s="2" t="inlineStr">
        <is>
          <t>45200000; 45262520; 45450000</t>
        </is>
      </c>
      <c r="Q1704" s="8" t="inlineStr">
        <is>
          <t>Ver</t>
        </is>
      </c>
      <c r="R1704" s="8" t="inlineStr">
        <is>
          <t>PCAP</t>
        </is>
      </c>
      <c r="S1704" s="9" t="n">
        <v>46310</v>
      </c>
      <c r="T1704" s="3" t="n">
        <v>46308.54046296296</v>
      </c>
      <c r="U1704" s="2" t="n"/>
    </row>
    <row r="1705">
      <c r="A1705" s="2" t="inlineStr">
        <is>
          <t>Pendiente de adjudicación</t>
        </is>
      </c>
      <c r="B1705" s="3" t="n">
        <v>46217.54166666666</v>
      </c>
      <c r="C1705" s="5" t="n">
        <v>6462516.64</v>
      </c>
      <c r="D1705" s="5" t="n">
        <v>6462516.64</v>
      </c>
      <c r="E1705" s="2" t="inlineStr">
        <is>
          <t>Comunitat Valenciana</t>
        </is>
      </c>
      <c r="F1705" s="2" t="inlineStr">
        <is>
          <t>Valencia</t>
        </is>
      </c>
      <c r="G1705" s="2" t="n"/>
      <c r="H1705" s="2" t="inlineStr">
        <is>
          <t>ADIF -Consejo de Administración</t>
        </is>
      </c>
      <c r="I1705" s="2" t="inlineStr">
        <is>
          <t>Ejecución de las obras del proyecto constructivo de la nueva subestación eléctrica de tracción de Gandía y del proyecto constructivo de línea de acometida entre Set Iberdrola Gandía y nueva subestación Gandía Adif.</t>
        </is>
      </c>
      <c r="J1705" s="2" t="inlineStr">
        <is>
          <t>3.26/27507.0089</t>
        </is>
      </c>
      <c r="K1705" s="2" t="inlineStr">
        <is>
          <t>Abierto</t>
        </is>
      </c>
      <c r="L1705" s="6" t="n">
        <v>17</v>
      </c>
      <c r="M1705" s="2" t="inlineStr">
        <is>
          <t>I4-4</t>
        </is>
      </c>
      <c r="N1705" s="7" t="n">
        <v>0.49</v>
      </c>
      <c r="O1705" s="4" t="n"/>
      <c r="P1705" s="2" t="inlineStr">
        <is>
          <t>45234170</t>
        </is>
      </c>
      <c r="Q1705" s="8" t="inlineStr">
        <is>
          <t>Ver</t>
        </is>
      </c>
      <c r="R1705" s="8" t="inlineStr">
        <is>
          <t>PCAP</t>
        </is>
      </c>
      <c r="S1705" s="9" t="n">
        <v>46310</v>
      </c>
      <c r="T1705" s="3" t="n">
        <v>46308.53894675926</v>
      </c>
      <c r="U1705" s="2" t="n"/>
    </row>
    <row r="1706">
      <c r="A1706" s="2" t="inlineStr">
        <is>
          <t>Resuelta</t>
        </is>
      </c>
      <c r="B1706" s="3" t="n"/>
      <c r="C1706" s="5" t="n">
        <v>3593984.23</v>
      </c>
      <c r="D1706" s="5" t="n">
        <v>4348720.92</v>
      </c>
      <c r="E1706" s="2" t="inlineStr">
        <is>
          <t>Andalucía</t>
        </is>
      </c>
      <c r="F1706" s="2" t="inlineStr">
        <is>
          <t>Granada</t>
        </is>
      </c>
      <c r="G1706" s="2" t="n"/>
      <c r="H1706" s="2" t="inlineStr">
        <is>
          <t>Demarcación de Carreteras del Estado en Andalucía Oriental</t>
        </is>
      </c>
      <c r="I1706" s="2" t="inlineStr">
        <is>
          <t>Reparación del Viaducto de Rules en el P.K. 171+400 de la autovía A-44. Provincia de Granada . LOTE 1-AMPLIACIÓN EM23-GR-02.L1.AMPLIACION-2</t>
        </is>
      </c>
      <c r="J1706" s="2" t="inlineStr">
        <is>
          <t>EM23-GR-02.L1.AMPLIACION-2</t>
        </is>
      </c>
      <c r="K1706" s="2" t="inlineStr">
        <is>
          <t>Negociado sin publicidad</t>
        </is>
      </c>
      <c r="L1706" s="6" t="n">
        <v>14</v>
      </c>
      <c r="M1706" s="2" t="n"/>
      <c r="N1706" s="7" t="n"/>
      <c r="O1706" s="4" t="n"/>
      <c r="P1706" s="2" t="inlineStr">
        <is>
          <t>45000000</t>
        </is>
      </c>
      <c r="Q1706" s="8" t="inlineStr">
        <is>
          <t>Ver</t>
        </is>
      </c>
      <c r="R1706" s="2" t="n"/>
      <c r="S1706" s="9" t="n">
        <v>46310</v>
      </c>
      <c r="T1706" s="3" t="n">
        <v>46308.53878472222</v>
      </c>
      <c r="U1706" s="2" t="n"/>
    </row>
    <row r="1707">
      <c r="A1707" s="2" t="inlineStr">
        <is>
          <t>Resuelta</t>
        </is>
      </c>
      <c r="B1707" s="3" t="n"/>
      <c r="C1707" s="5" t="n">
        <v>868220.77</v>
      </c>
      <c r="D1707" s="5" t="n">
        <v>1094662.01</v>
      </c>
      <c r="E1707" s="2" t="inlineStr">
        <is>
          <t>Andalucía</t>
        </is>
      </c>
      <c r="F1707" s="2" t="inlineStr">
        <is>
          <t>Granada</t>
        </is>
      </c>
      <c r="G1707" s="2" t="n"/>
      <c r="H1707" s="2" t="inlineStr">
        <is>
          <t>Demarcación de Carreteras del Estado en Andalucía Oriental</t>
        </is>
      </c>
      <c r="I1707" s="2" t="inlineStr">
        <is>
          <t>Reparación del Viaducto de Rules en el P.K. 171+400 de la autovía A-44. Provincia de Granada ”.</t>
        </is>
      </c>
      <c r="J1707" s="2" t="inlineStr">
        <is>
          <t>EM23-GR-02.L3</t>
        </is>
      </c>
      <c r="K1707" s="2" t="inlineStr">
        <is>
          <t>Negociado sin publicidad</t>
        </is>
      </c>
      <c r="L1707" s="6" t="n">
        <v>17</v>
      </c>
      <c r="M1707" s="2" t="n"/>
      <c r="N1707" s="7" t="n"/>
      <c r="O1707" s="4" t="n"/>
      <c r="P1707" s="2" t="inlineStr">
        <is>
          <t>45000000</t>
        </is>
      </c>
      <c r="Q1707" s="8" t="inlineStr">
        <is>
          <t>Ver</t>
        </is>
      </c>
      <c r="R1707" s="2" t="n"/>
      <c r="S1707" s="9" t="n">
        <v>46310</v>
      </c>
      <c r="T1707" s="3" t="n">
        <v>46308.53636574074</v>
      </c>
      <c r="U1707" s="2" t="n"/>
    </row>
    <row r="1708">
      <c r="A1708" s="2" t="inlineStr">
        <is>
          <t>En plazo</t>
        </is>
      </c>
      <c r="B1708" s="3" t="n">
        <v>46329.54166666666</v>
      </c>
      <c r="C1708" s="5" t="n">
        <v>164454.24</v>
      </c>
      <c r="D1708" s="5" t="n">
        <v>164454.24</v>
      </c>
      <c r="E1708" s="2" t="inlineStr">
        <is>
          <t>Comunitat Valenciana</t>
        </is>
      </c>
      <c r="F1708" s="2" t="inlineStr">
        <is>
          <t>Alicante</t>
        </is>
      </c>
      <c r="G1708" s="2" t="inlineStr">
        <is>
          <t>Onil</t>
        </is>
      </c>
      <c r="H1708" s="2" t="inlineStr">
        <is>
          <t>Junta de Gobierno Local del Ayuntamiento de Onil</t>
        </is>
      </c>
      <c r="I1708" s="2" t="inlineStr">
        <is>
          <t>Contratación de obras de reforma del local de AFA en la calle Doctor Esquerdo, 1, de Onil (Alicante)</t>
        </is>
      </c>
      <c r="J1708" s="2" t="inlineStr">
        <is>
          <t>4123/2026</t>
        </is>
      </c>
      <c r="K1708" s="2" t="inlineStr">
        <is>
          <t>Abierto simplificado</t>
        </is>
      </c>
      <c r="L1708" s="6" t="n">
        <v>4</v>
      </c>
      <c r="M1708" s="2" t="n"/>
      <c r="N1708" s="7" t="n">
        <v>0</v>
      </c>
      <c r="O1708" s="4" t="n"/>
      <c r="P1708" s="2" t="inlineStr">
        <is>
          <t>45215200; 45454000; 45321000; 45211350</t>
        </is>
      </c>
      <c r="Q1708" s="8" t="inlineStr">
        <is>
          <t>Ver</t>
        </is>
      </c>
      <c r="R1708" s="8" t="inlineStr">
        <is>
          <t>PCAP</t>
        </is>
      </c>
      <c r="S1708" s="9" t="n">
        <v>46310</v>
      </c>
      <c r="T1708" s="3" t="n">
        <v>46308.53428240741</v>
      </c>
      <c r="U1708" s="2" t="n"/>
    </row>
    <row r="1709">
      <c r="A1709" s="2" t="inlineStr">
        <is>
          <t>Resuelta</t>
        </is>
      </c>
      <c r="B1709" s="3" t="n"/>
      <c r="C1709" s="5" t="n">
        <v>15121763.47</v>
      </c>
      <c r="D1709" s="5" t="n">
        <v>18297333.81</v>
      </c>
      <c r="E1709" s="2" t="inlineStr">
        <is>
          <t>Andalucía</t>
        </is>
      </c>
      <c r="F1709" s="2" t="inlineStr">
        <is>
          <t>Granada</t>
        </is>
      </c>
      <c r="G1709" s="2" t="n"/>
      <c r="H1709" s="2" t="inlineStr">
        <is>
          <t>Demarcación de Carreteras del Estado en Andalucía Oriental</t>
        </is>
      </c>
      <c r="I1709" s="2" t="inlineStr">
        <is>
          <t>Reparación del Viaducto de Rules en el P.K. 171+400 de la autovía A-44. Provincia de Granada - EM23-GR-02.L1.AMPLIACION-1</t>
        </is>
      </c>
      <c r="J1709" s="2" t="inlineStr">
        <is>
          <t>EM23-GR-02.L1.AMPLIACION-1</t>
        </is>
      </c>
      <c r="K1709" s="2" t="inlineStr">
        <is>
          <t>Negociado sin publicidad</t>
        </is>
      </c>
      <c r="L1709" s="6" t="n">
        <v>17</v>
      </c>
      <c r="M1709" s="2" t="n"/>
      <c r="N1709" s="7" t="n"/>
      <c r="O1709" s="4" t="n"/>
      <c r="P1709" s="2" t="inlineStr">
        <is>
          <t>45000000</t>
        </is>
      </c>
      <c r="Q1709" s="8" t="inlineStr">
        <is>
          <t>Ver</t>
        </is>
      </c>
      <c r="R1709" s="2" t="n"/>
      <c r="S1709" s="9" t="n">
        <v>46310</v>
      </c>
      <c r="T1709" s="3" t="n">
        <v>46308.53365740741</v>
      </c>
      <c r="U1709" s="2" t="n"/>
    </row>
    <row r="1710">
      <c r="A1710" s="2" t="inlineStr">
        <is>
          <t>Pendiente de adjudicación</t>
        </is>
      </c>
      <c r="B1710" s="3" t="n">
        <v>46279.99930555555</v>
      </c>
      <c r="C1710" s="5" t="n">
        <v>79271.89999999999</v>
      </c>
      <c r="D1710" s="5" t="n">
        <v>79271.89999999999</v>
      </c>
      <c r="E1710" s="2" t="inlineStr">
        <is>
          <t>Andalucía</t>
        </is>
      </c>
      <c r="F1710" s="2" t="inlineStr">
        <is>
          <t>Granada</t>
        </is>
      </c>
      <c r="G1710" s="2" t="inlineStr">
        <is>
          <t>PURULLENA</t>
        </is>
      </c>
      <c r="H1710" s="2" t="inlineStr">
        <is>
          <t>Presidencia de la Diputación Provincial de Granada</t>
        </is>
      </c>
      <c r="I1710" s="2" t="inlineStr">
        <is>
          <t>2026/4/PPOYS-146/2 "Purullena, acondicionamiento de redes y pavimentación en C/ Federico García Lorca (El Bejarín)"</t>
        </is>
      </c>
      <c r="J1710" s="2" t="inlineStr">
        <is>
          <t>OB-056/26</t>
        </is>
      </c>
      <c r="K1710" s="2" t="inlineStr">
        <is>
          <t>Abierto simplificado</t>
        </is>
      </c>
      <c r="L1710" s="6" t="n">
        <v>4</v>
      </c>
      <c r="M1710" s="2" t="inlineStr">
        <is>
          <t>G6-1; E7-1</t>
        </is>
      </c>
      <c r="N1710" s="7" t="n">
        <v>0</v>
      </c>
      <c r="O1710" s="4" t="n"/>
      <c r="P1710" s="2" t="inlineStr">
        <is>
          <t>45231100; 45233252</t>
        </is>
      </c>
      <c r="Q1710" s="8" t="inlineStr">
        <is>
          <t>Ver</t>
        </is>
      </c>
      <c r="R1710" s="8" t="inlineStr">
        <is>
          <t>PCAP</t>
        </is>
      </c>
      <c r="S1710" s="9" t="n">
        <v>46310</v>
      </c>
      <c r="T1710" s="3" t="n">
        <v>46308.53363425926</v>
      </c>
      <c r="U1710" s="2" t="n"/>
    </row>
    <row r="1711">
      <c r="A1711" s="2" t="inlineStr">
        <is>
          <t>En plazo</t>
        </is>
      </c>
      <c r="B1711" s="3" t="n">
        <v>46328.99930555555</v>
      </c>
      <c r="C1711" s="5" t="n">
        <v>347409.87</v>
      </c>
      <c r="D1711" s="5" t="n">
        <v>347409.87</v>
      </c>
      <c r="E1711" s="2" t="inlineStr">
        <is>
          <t>Comunitat Valenciana</t>
        </is>
      </c>
      <c r="F1711" s="2" t="inlineStr">
        <is>
          <t>Castellón</t>
        </is>
      </c>
      <c r="G1711" s="2" t="inlineStr">
        <is>
          <t>LA SALZADELLA</t>
        </is>
      </c>
      <c r="H1711" s="2" t="inlineStr">
        <is>
          <t>Pleno del Ayuntamiento de La Salzadella</t>
        </is>
      </c>
      <c r="I1711" s="2" t="inlineStr">
        <is>
          <t>Reforma y ampliación del Centro de Salud de La Salzadella</t>
        </is>
      </c>
      <c r="J1711" s="2" t="inlineStr">
        <is>
          <t>475/2026</t>
        </is>
      </c>
      <c r="K1711" s="2" t="inlineStr">
        <is>
          <t>Abierto simplificado</t>
        </is>
      </c>
      <c r="L1711" s="6" t="n">
        <v>13</v>
      </c>
      <c r="M1711" s="2" t="n"/>
      <c r="N1711" s="7" t="n">
        <v>0.24</v>
      </c>
      <c r="O1711" s="4" t="n"/>
      <c r="P1711" s="2" t="inlineStr">
        <is>
          <t>45210000; 45454000</t>
        </is>
      </c>
      <c r="Q1711" s="8" t="inlineStr">
        <is>
          <t>Ver</t>
        </is>
      </c>
      <c r="R1711" s="8" t="inlineStr">
        <is>
          <t>PCAP</t>
        </is>
      </c>
      <c r="S1711" s="9" t="n">
        <v>46310</v>
      </c>
      <c r="T1711" s="3" t="n">
        <v>46308.52773148148</v>
      </c>
      <c r="U1711" s="2" t="n"/>
    </row>
    <row r="1712">
      <c r="A1712" s="2" t="inlineStr">
        <is>
          <t>En plazo</t>
        </is>
      </c>
      <c r="B1712" s="3" t="n">
        <v>46329.99930555555</v>
      </c>
      <c r="C1712" s="5" t="n">
        <v>66115.7</v>
      </c>
      <c r="D1712" s="5" t="n">
        <v>66115.7</v>
      </c>
      <c r="E1712" s="2" t="inlineStr">
        <is>
          <t>Andalucía</t>
        </is>
      </c>
      <c r="F1712" s="2" t="inlineStr">
        <is>
          <t>Almería</t>
        </is>
      </c>
      <c r="G1712" s="2" t="n"/>
      <c r="H1712" s="2" t="inlineStr">
        <is>
          <t>Junta de Gobierno de la Diputación Provincial de Almería</t>
        </is>
      </c>
      <c r="I1712" s="2" t="inlineStr">
        <is>
          <t>Pavimentación Caminos Municipales. Velefique 86PCAM24-27BII</t>
        </is>
      </c>
      <c r="J1712" s="2" t="inlineStr">
        <is>
          <t>2025/D31000/006-013/00301</t>
        </is>
      </c>
      <c r="K1712" s="2" t="inlineStr">
        <is>
          <t>Abierto simplificado</t>
        </is>
      </c>
      <c r="L1712" s="6" t="n">
        <v>2</v>
      </c>
      <c r="M1712" s="2" t="n"/>
      <c r="N1712" s="7" t="n">
        <v>0.25</v>
      </c>
      <c r="O1712" s="4" t="n"/>
      <c r="P1712" s="2" t="inlineStr">
        <is>
          <t>45233222</t>
        </is>
      </c>
      <c r="Q1712" s="8" t="inlineStr">
        <is>
          <t>Ver</t>
        </is>
      </c>
      <c r="R1712" s="8" t="inlineStr">
        <is>
          <t>PCAP</t>
        </is>
      </c>
      <c r="S1712" s="9" t="n">
        <v>46310</v>
      </c>
      <c r="T1712" s="3" t="n">
        <v>46308.52186342593</v>
      </c>
      <c r="U1712" s="2" t="n"/>
    </row>
    <row r="1713">
      <c r="A1713" s="2" t="inlineStr">
        <is>
          <t>Resuelta</t>
        </is>
      </c>
      <c r="B1713" s="3" t="n">
        <v>46230.99930555555</v>
      </c>
      <c r="C1713" s="5" t="n">
        <v>33866.49</v>
      </c>
      <c r="D1713" s="5" t="n">
        <v>33866.49</v>
      </c>
      <c r="E1713" s="2" t="inlineStr">
        <is>
          <t>Andalucía</t>
        </is>
      </c>
      <c r="F1713" s="2" t="inlineStr">
        <is>
          <t>Granada</t>
        </is>
      </c>
      <c r="G1713" s="2" t="n"/>
      <c r="H1713" s="2" t="inlineStr">
        <is>
          <t>Alcaldía del Ayuntamiento de Las Gabias</t>
        </is>
      </c>
      <c r="I1713" s="2" t="inlineStr">
        <is>
          <t>Suministro, desmontaje, instalación y puesta en marcha de caldera y acumuladores de ACS en la piscina municipal.</t>
        </is>
      </c>
      <c r="J1713" s="2" t="inlineStr">
        <is>
          <t>113/2026</t>
        </is>
      </c>
      <c r="K1713" s="2" t="inlineStr">
        <is>
          <t>Abierto simplificado</t>
        </is>
      </c>
      <c r="L1713" s="6" t="n">
        <v>3</v>
      </c>
      <c r="M1713" s="2" t="n"/>
      <c r="N1713" s="7" t="n">
        <v>0</v>
      </c>
      <c r="O1713" s="4" t="n"/>
      <c r="P1713" s="2" t="inlineStr">
        <is>
          <t>45331100; 45232150; 45331110; 50511000</t>
        </is>
      </c>
      <c r="Q1713" s="8" t="inlineStr">
        <is>
          <t>Ver</t>
        </is>
      </c>
      <c r="R1713" s="8" t="inlineStr">
        <is>
          <t>PCAP</t>
        </is>
      </c>
      <c r="S1713" s="9" t="n">
        <v>46310</v>
      </c>
      <c r="T1713" s="3" t="n">
        <v>46308.52038194444</v>
      </c>
      <c r="U1713" s="2" t="n"/>
    </row>
    <row r="1714">
      <c r="A1714" s="2" t="inlineStr">
        <is>
          <t>Pendiente de adjudicación</t>
        </is>
      </c>
      <c r="B1714" s="3" t="n">
        <v>46217.54166666666</v>
      </c>
      <c r="C1714" s="5" t="n">
        <v>2746158.14</v>
      </c>
      <c r="D1714" s="5" t="n">
        <v>2746158.14</v>
      </c>
      <c r="E1714" s="2" t="inlineStr">
        <is>
          <t>Andalucía</t>
        </is>
      </c>
      <c r="F1714" s="2" t="n"/>
      <c r="G1714" s="2" t="n"/>
      <c r="H1714" s="2" t="inlineStr">
        <is>
          <t>ADIF - Presidencia</t>
        </is>
      </c>
      <c r="I1714"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1714" s="2" t="inlineStr">
        <is>
          <t>3.26/27507.0098</t>
        </is>
      </c>
      <c r="K1714" s="2" t="inlineStr">
        <is>
          <t>Abierto</t>
        </is>
      </c>
      <c r="L1714" s="6" t="n">
        <v>12</v>
      </c>
      <c r="M1714" s="2" t="inlineStr">
        <is>
          <t>D5-5</t>
        </is>
      </c>
      <c r="N1714" s="7" t="n">
        <v>0.49</v>
      </c>
      <c r="O1714" s="4" t="n"/>
      <c r="P1714" s="2" t="inlineStr">
        <is>
          <t>45234100</t>
        </is>
      </c>
      <c r="Q1714" s="8" t="inlineStr">
        <is>
          <t>Ver</t>
        </is>
      </c>
      <c r="R1714" s="8" t="inlineStr">
        <is>
          <t>PCAP</t>
        </is>
      </c>
      <c r="S1714" s="9" t="n">
        <v>46310</v>
      </c>
      <c r="T1714" s="3" t="n">
        <v>46308.51822916666</v>
      </c>
      <c r="U1714" s="2" t="n"/>
    </row>
    <row r="1715">
      <c r="A1715" s="2" t="inlineStr">
        <is>
          <t>Plazo vencido</t>
        </is>
      </c>
      <c r="B1715" s="3" t="n">
        <v>46322.5625</v>
      </c>
      <c r="C1715" s="5" t="n">
        <v>112651.35</v>
      </c>
      <c r="D1715" s="5" t="n">
        <v>136308.13</v>
      </c>
      <c r="E1715" s="2" t="inlineStr">
        <is>
          <t>Comunitat Valenciana</t>
        </is>
      </c>
      <c r="F1715" s="2" t="inlineStr">
        <is>
          <t>Alicante</t>
        </is>
      </c>
      <c r="G1715" s="2" t="n"/>
      <c r="H1715" s="2" t="inlineStr">
        <is>
          <t>Alcaldía del Ayuntamiento de Hondón de las Nieves</t>
        </is>
      </c>
      <c r="I1715" s="2" t="inlineStr">
        <is>
          <t>obras construcción carril bici</t>
        </is>
      </c>
      <c r="J1715" s="2" t="inlineStr">
        <is>
          <t>1558/2026</t>
        </is>
      </c>
      <c r="K1715" s="2" t="inlineStr">
        <is>
          <t>Abierto</t>
        </is>
      </c>
      <c r="L1715" s="6" t="n">
        <v>2</v>
      </c>
      <c r="M1715" s="2" t="n"/>
      <c r="N1715" s="7" t="n">
        <v>0</v>
      </c>
      <c r="O1715" s="4" t="n"/>
      <c r="P1715" s="2" t="inlineStr">
        <is>
          <t>45000000</t>
        </is>
      </c>
      <c r="Q1715" s="8" t="inlineStr">
        <is>
          <t>Ver</t>
        </is>
      </c>
      <c r="R1715" s="8" t="inlineStr">
        <is>
          <t>PCAP</t>
        </is>
      </c>
      <c r="S1715" s="9" t="n">
        <v>46310</v>
      </c>
      <c r="T1715" s="3" t="n">
        <v>46308.51814814815</v>
      </c>
      <c r="U1715" s="2" t="n"/>
    </row>
    <row r="1716">
      <c r="A1716" s="2" t="inlineStr">
        <is>
          <t>En plazo</t>
        </is>
      </c>
      <c r="B1716" s="3" t="n">
        <v>46329.99930555555</v>
      </c>
      <c r="C1716" s="5" t="n">
        <v>49245.45</v>
      </c>
      <c r="D1716" s="5" t="n">
        <v>49245.45</v>
      </c>
      <c r="E1716" s="2" t="inlineStr">
        <is>
          <t>Andalucía</t>
        </is>
      </c>
      <c r="F1716" s="2" t="inlineStr">
        <is>
          <t>Cádiz</t>
        </is>
      </c>
      <c r="G1716" s="2" t="n"/>
      <c r="H1716" s="2" t="inlineStr">
        <is>
          <t>Junta de Gobierno del Ayuntamiento de Espera</t>
        </is>
      </c>
      <c r="I1716" s="2" t="inlineStr">
        <is>
          <t>Embellecimiento y puesta en valor del edificio municipal Silo</t>
        </is>
      </c>
      <c r="J1716" s="2" t="inlineStr">
        <is>
          <t>2026/NSP_03/000001</t>
        </is>
      </c>
      <c r="K1716" s="2" t="inlineStr">
        <is>
          <t>Negociado sin publicidad</t>
        </is>
      </c>
      <c r="L1716" s="6" t="n">
        <v>3</v>
      </c>
      <c r="M1716" s="2" t="n"/>
      <c r="N1716" s="7" t="n">
        <v>0</v>
      </c>
      <c r="O1716" s="4" t="n"/>
      <c r="P1716" s="2" t="inlineStr">
        <is>
          <t>45451000</t>
        </is>
      </c>
      <c r="Q1716" s="8" t="inlineStr">
        <is>
          <t>Ver</t>
        </is>
      </c>
      <c r="R1716" s="8" t="inlineStr">
        <is>
          <t>PCAP</t>
        </is>
      </c>
      <c r="S1716" s="9" t="n">
        <v>46310</v>
      </c>
      <c r="T1716" s="3" t="n">
        <v>46308.51125</v>
      </c>
      <c r="U1716" s="2" t="n"/>
    </row>
    <row r="1717">
      <c r="A1717" s="2" t="inlineStr">
        <is>
          <t>En plazo</t>
        </is>
      </c>
      <c r="B1717" s="3" t="n">
        <v>46329.99930555555</v>
      </c>
      <c r="C1717" s="5" t="n">
        <v>66115.7</v>
      </c>
      <c r="D1717" s="5" t="n">
        <v>66115.7</v>
      </c>
      <c r="E1717" s="2" t="inlineStr">
        <is>
          <t>Andalucía</t>
        </is>
      </c>
      <c r="F1717" s="2" t="inlineStr">
        <is>
          <t>Almería</t>
        </is>
      </c>
      <c r="G1717" s="2" t="n"/>
      <c r="H1717" s="2" t="inlineStr">
        <is>
          <t>Junta de Gobierno de la Diputación Provincial de Almería</t>
        </is>
      </c>
      <c r="I1717" s="2" t="inlineStr">
        <is>
          <t>Pavimentación Caminos Municipales. Urrácal 85PCAM24-27BII</t>
        </is>
      </c>
      <c r="J1717" s="2" t="inlineStr">
        <is>
          <t>2026/D31000/006-013/00082</t>
        </is>
      </c>
      <c r="K1717" s="2" t="inlineStr">
        <is>
          <t>Abierto simplificado</t>
        </is>
      </c>
      <c r="L1717" s="6" t="n">
        <v>2</v>
      </c>
      <c r="M1717" s="2" t="n"/>
      <c r="N1717" s="7" t="n">
        <v>0.25</v>
      </c>
      <c r="O1717" s="4" t="n"/>
      <c r="P1717" s="2" t="inlineStr">
        <is>
          <t>45233222</t>
        </is>
      </c>
      <c r="Q1717" s="8" t="inlineStr">
        <is>
          <t>Ver</t>
        </is>
      </c>
      <c r="R1717" s="8" t="inlineStr">
        <is>
          <t>PCAP</t>
        </is>
      </c>
      <c r="S1717" s="9" t="n">
        <v>46310</v>
      </c>
      <c r="T1717" s="3" t="n">
        <v>46308.51040509259</v>
      </c>
      <c r="U1717" s="2" t="n"/>
    </row>
    <row r="1718">
      <c r="A1718" s="2" t="inlineStr">
        <is>
          <t>Resuelta</t>
        </is>
      </c>
      <c r="B1718" s="3" t="n"/>
      <c r="C1718" s="5" t="n">
        <v>97497.39</v>
      </c>
      <c r="D1718" s="5" t="n">
        <v>97497.39</v>
      </c>
      <c r="E1718" s="2" t="inlineStr">
        <is>
          <t>Comunitat Valenciana</t>
        </is>
      </c>
      <c r="F1718" s="2" t="inlineStr">
        <is>
          <t>Valencia</t>
        </is>
      </c>
      <c r="G1718" s="2" t="n"/>
      <c r="H1718" s="2" t="inlineStr">
        <is>
          <t>Alcaldía del Ayuntamiento de Alfafar</t>
        </is>
      </c>
      <c r="I1718" s="2" t="inlineStr">
        <is>
          <t>Reposición del SAC y sótano de la Casa Consistorial, como consecuencia de la DANA 2024</t>
        </is>
      </c>
      <c r="J1718" s="2" t="inlineStr">
        <is>
          <t>111/2025 Emg</t>
        </is>
      </c>
      <c r="K1718" s="2" t="inlineStr">
        <is>
          <t>Negociado sin publicidad</t>
        </is>
      </c>
      <c r="L1718" s="6" t="n">
        <v>1</v>
      </c>
      <c r="M1718" s="2" t="n"/>
      <c r="N1718" s="7" t="n"/>
      <c r="O1718" s="4" t="n"/>
      <c r="P1718" s="2" t="inlineStr">
        <is>
          <t>45210000</t>
        </is>
      </c>
      <c r="Q1718" s="8" t="inlineStr">
        <is>
          <t>Ver</t>
        </is>
      </c>
      <c r="R1718" s="2" t="n"/>
      <c r="S1718" s="9" t="n">
        <v>46310</v>
      </c>
      <c r="T1718" s="3" t="n">
        <v>46308.50802083333</v>
      </c>
      <c r="U1718" s="2" t="n"/>
    </row>
    <row r="1719">
      <c r="A1719" s="2" t="inlineStr">
        <is>
          <t>Pendiente de adjudicación</t>
        </is>
      </c>
      <c r="B1719" s="3" t="n">
        <v>46238.5</v>
      </c>
      <c r="C1719" s="5" t="n">
        <v>343240.95</v>
      </c>
      <c r="D1719" s="5" t="n">
        <v>343240.95</v>
      </c>
      <c r="E1719" s="2" t="inlineStr">
        <is>
          <t>Andalucía</t>
        </is>
      </c>
      <c r="F1719" s="2" t="inlineStr">
        <is>
          <t>Málaga</t>
        </is>
      </c>
      <c r="G1719" s="2" t="n"/>
      <c r="H1719" s="2" t="inlineStr">
        <is>
          <t>Instituto Municipal de la Vivienda de Málaga</t>
        </is>
      </c>
      <c r="I1719"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1719" s="2" t="inlineStr">
        <is>
          <t>2026/05</t>
        </is>
      </c>
      <c r="K1719" s="2" t="inlineStr">
        <is>
          <t>Abierto</t>
        </is>
      </c>
      <c r="L1719" s="6" t="n">
        <v>9</v>
      </c>
      <c r="M1719" s="2" t="inlineStr">
        <is>
          <t>C4-2; C6-2</t>
        </is>
      </c>
      <c r="N1719" s="7" t="n">
        <v>0.4</v>
      </c>
      <c r="O1719" s="4" t="n"/>
      <c r="P1719" s="2" t="inlineStr">
        <is>
          <t>45200000; 42416100; 45111100</t>
        </is>
      </c>
      <c r="Q1719" s="8" t="inlineStr">
        <is>
          <t>Ver</t>
        </is>
      </c>
      <c r="R1719" s="8" t="inlineStr">
        <is>
          <t>PCAP</t>
        </is>
      </c>
      <c r="S1719" s="9" t="n">
        <v>46310</v>
      </c>
      <c r="T1719" s="3" t="n">
        <v>46308.50767361111</v>
      </c>
      <c r="U1719" s="2" t="n"/>
    </row>
    <row r="1720">
      <c r="A1720" s="2" t="inlineStr">
        <is>
          <t>Anulada</t>
        </is>
      </c>
      <c r="B1720" s="3" t="n">
        <v>46329.99930555555</v>
      </c>
      <c r="C1720" s="5" t="n">
        <v>223895.1</v>
      </c>
      <c r="D1720" s="5" t="n">
        <v>223895.1</v>
      </c>
      <c r="E1720" s="2" t="inlineStr">
        <is>
          <t>Andalucía</t>
        </is>
      </c>
      <c r="F1720" s="2" t="inlineStr">
        <is>
          <t>Jaén</t>
        </is>
      </c>
      <c r="G1720" s="2" t="inlineStr">
        <is>
          <t>JAÉN</t>
        </is>
      </c>
      <c r="H1720" s="2" t="inlineStr">
        <is>
          <t>Presidencia del Servicio Provincial de Gestión y Recaudación</t>
        </is>
      </c>
      <c r="I1720" s="2" t="inlineStr">
        <is>
          <t>Contrato de obras de renovación instalación eléctrica y obras en edificios del área de Recaudación de Jaén.</t>
        </is>
      </c>
      <c r="J1720" s="2" t="inlineStr">
        <is>
          <t>CO-2026/001163</t>
        </is>
      </c>
      <c r="K1720" s="2" t="inlineStr">
        <is>
          <t>Abierto simplificado</t>
        </is>
      </c>
      <c r="L1720" s="6" t="n">
        <v>5</v>
      </c>
      <c r="M1720" s="2" t="n"/>
      <c r="N1720" s="7" t="n">
        <v>0.25</v>
      </c>
      <c r="O1720" s="4" t="n"/>
      <c r="P1720" s="2" t="inlineStr">
        <is>
          <t>45453100</t>
        </is>
      </c>
      <c r="Q1720" s="8" t="inlineStr">
        <is>
          <t>Ver</t>
        </is>
      </c>
      <c r="R1720" s="8" t="inlineStr">
        <is>
          <t>PCAP</t>
        </is>
      </c>
      <c r="S1720" s="9" t="n">
        <v>46310</v>
      </c>
      <c r="T1720" s="3" t="n">
        <v>46308.50734953704</v>
      </c>
      <c r="U1720" s="2" t="inlineStr">
        <is>
          <t>2026-10-28: anulada en la Plataforma</t>
        </is>
      </c>
    </row>
    <row r="1721">
      <c r="A1721" s="2" t="inlineStr">
        <is>
          <t>Pendiente de adjudicación</t>
        </is>
      </c>
      <c r="B1721" s="3" t="n">
        <v>46283.99930555555</v>
      </c>
      <c r="C1721" s="5" t="n">
        <v>375755.51</v>
      </c>
      <c r="D1721" s="5" t="n">
        <v>375755.51</v>
      </c>
      <c r="E1721" s="2" t="inlineStr">
        <is>
          <t>Andalucía</t>
        </is>
      </c>
      <c r="F1721" s="2" t="inlineStr">
        <is>
          <t>Sevilla</t>
        </is>
      </c>
      <c r="G1721" s="2" t="inlineStr">
        <is>
          <t>Alcalá de Guadaíra</t>
        </is>
      </c>
      <c r="H1721" s="2" t="inlineStr">
        <is>
          <t>Junta de Gobierno Local del Ayuntamiento de Alcalá de Guadaíra</t>
        </is>
      </c>
      <c r="I1721" s="2" t="inlineStr">
        <is>
          <t>obras de construcción de vestuarios en pista cubierta de polideportivo Pablo VI (C-2025/083)</t>
        </is>
      </c>
      <c r="J1721" s="2" t="inlineStr">
        <is>
          <t>14221/2025</t>
        </is>
      </c>
      <c r="K1721" s="2" t="inlineStr">
        <is>
          <t>Abierto simplificado</t>
        </is>
      </c>
      <c r="L1721" s="6" t="n">
        <v>11</v>
      </c>
      <c r="M1721" s="2" t="n"/>
      <c r="N1721" s="7" t="n">
        <v>0.2</v>
      </c>
      <c r="O1721" s="4" t="n"/>
      <c r="P1721" s="2" t="inlineStr">
        <is>
          <t>45212222; 45212230; 45212225</t>
        </is>
      </c>
      <c r="Q1721" s="8" t="inlineStr">
        <is>
          <t>Ver</t>
        </is>
      </c>
      <c r="R1721" s="8" t="inlineStr">
        <is>
          <t>PCAP</t>
        </is>
      </c>
      <c r="S1721" s="9" t="n">
        <v>46310</v>
      </c>
      <c r="T1721" s="3" t="n">
        <v>46308.50402777778</v>
      </c>
      <c r="U1721" s="2" t="n"/>
    </row>
    <row r="1722">
      <c r="A1722" s="2" t="inlineStr">
        <is>
          <t>En plazo</t>
        </is>
      </c>
      <c r="B1722" s="3" t="n">
        <v>46329.99930555555</v>
      </c>
      <c r="C1722" s="5" t="n">
        <v>74380.17</v>
      </c>
      <c r="D1722" s="5" t="n">
        <v>74380.17</v>
      </c>
      <c r="E1722" s="2" t="inlineStr">
        <is>
          <t>Andalucía</t>
        </is>
      </c>
      <c r="F1722" s="2" t="inlineStr">
        <is>
          <t>Almería</t>
        </is>
      </c>
      <c r="G1722" s="2" t="n"/>
      <c r="H1722" s="2" t="inlineStr">
        <is>
          <t>Junta de Gobierno de la Diputación Provincial de Almería</t>
        </is>
      </c>
      <c r="I1722" s="2" t="inlineStr">
        <is>
          <t>Pavimentación Caminos Municipales. Turre 82PCAM24-27BII</t>
        </is>
      </c>
      <c r="J1722" s="2" t="inlineStr">
        <is>
          <t>2025/D31000/006-013/00300</t>
        </is>
      </c>
      <c r="K1722" s="2" t="inlineStr">
        <is>
          <t>Abierto simplificado</t>
        </is>
      </c>
      <c r="L1722" s="6" t="n">
        <v>1</v>
      </c>
      <c r="M1722" s="2" t="n"/>
      <c r="N1722" s="7" t="n">
        <v>0.25</v>
      </c>
      <c r="O1722" s="4" t="n"/>
      <c r="P1722" s="2" t="inlineStr">
        <is>
          <t>45233222</t>
        </is>
      </c>
      <c r="Q1722" s="8" t="inlineStr">
        <is>
          <t>Ver</t>
        </is>
      </c>
      <c r="R1722" s="8" t="inlineStr">
        <is>
          <t>PCAP</t>
        </is>
      </c>
      <c r="S1722" s="9" t="n">
        <v>46310</v>
      </c>
      <c r="T1722" s="3" t="n">
        <v>46308.5034837963</v>
      </c>
      <c r="U1722" s="2" t="n"/>
    </row>
    <row r="1723">
      <c r="A1723" s="2" t="inlineStr">
        <is>
          <t>Adjudicada</t>
        </is>
      </c>
      <c r="B1723" s="3" t="n">
        <v>46170.5</v>
      </c>
      <c r="C1723" s="5" t="n">
        <v>5104082.6</v>
      </c>
      <c r="D1723" s="5" t="n">
        <v>5308245.9</v>
      </c>
      <c r="E1723" s="2" t="inlineStr">
        <is>
          <t>Comunitat Valenciana</t>
        </is>
      </c>
      <c r="F1723" s="2" t="inlineStr">
        <is>
          <t>Alicante</t>
        </is>
      </c>
      <c r="G1723" s="2" t="inlineStr">
        <is>
          <t>Alicante / Alacant</t>
        </is>
      </c>
      <c r="H1723" s="2" t="inlineStr">
        <is>
          <t>Aena. Presidencia. Consejero Delegado</t>
        </is>
      </c>
      <c r="I1723" s="2" t="inlineStr">
        <is>
          <t>Nuevas Oficinas De Aena En P30 De La Nat. Aeropuerto De Alicante-Elche</t>
        </is>
      </c>
      <c r="J1723" s="2" t="inlineStr">
        <is>
          <t>DIN-564/2025</t>
        </is>
      </c>
      <c r="K1723" s="2" t="inlineStr">
        <is>
          <t>Normas internas</t>
        </is>
      </c>
      <c r="L1723" s="6" t="n">
        <v>15</v>
      </c>
      <c r="M1723" s="2" t="n"/>
      <c r="N1723" s="7" t="n">
        <v>0</v>
      </c>
      <c r="O1723" s="4" t="n"/>
      <c r="P1723" s="2" t="inlineStr">
        <is>
          <t>45200000</t>
        </is>
      </c>
      <c r="Q1723" s="8" t="inlineStr">
        <is>
          <t>Ver</t>
        </is>
      </c>
      <c r="R1723" s="8" t="inlineStr">
        <is>
          <t>PCAP</t>
        </is>
      </c>
      <c r="S1723" s="9" t="n">
        <v>46310</v>
      </c>
      <c r="T1723" s="3" t="n">
        <v>46308.50247685185</v>
      </c>
      <c r="U1723" s="2" t="n"/>
    </row>
    <row r="1724">
      <c r="A1724" s="2" t="inlineStr">
        <is>
          <t>En plazo</t>
        </is>
      </c>
      <c r="B1724" s="3" t="n">
        <v>46335.58333333334</v>
      </c>
      <c r="C1724" s="5" t="n">
        <v>266270.79</v>
      </c>
      <c r="D1724" s="5" t="n">
        <v>266270.79</v>
      </c>
      <c r="E1724" s="2" t="inlineStr">
        <is>
          <t>Andalucía</t>
        </is>
      </c>
      <c r="F1724" s="2" t="inlineStr">
        <is>
          <t>Almería</t>
        </is>
      </c>
      <c r="G1724" s="2" t="inlineStr">
        <is>
          <t>Adra</t>
        </is>
      </c>
      <c r="H1724" s="2" t="inlineStr">
        <is>
          <t>Junta de Gobierno Local del Ayuntamiento de Adra</t>
        </is>
      </c>
      <c r="I1724" s="2" t="inlineStr">
        <is>
          <t>Obras de Reforma y Conservación de la Guardería Municipal de Adra</t>
        </is>
      </c>
      <c r="J1724" s="2" t="inlineStr">
        <is>
          <t>9459/2026</t>
        </is>
      </c>
      <c r="K1724" s="2" t="inlineStr">
        <is>
          <t>Abierto</t>
        </is>
      </c>
      <c r="L1724" s="6" t="n">
        <v>4</v>
      </c>
      <c r="M1724" s="2" t="n"/>
      <c r="N1724" s="7" t="n">
        <v>0.4</v>
      </c>
      <c r="O1724" s="4" t="n"/>
      <c r="P1724" s="2" t="inlineStr">
        <is>
          <t>45453000</t>
        </is>
      </c>
      <c r="Q1724" s="8" t="inlineStr">
        <is>
          <t>Ver</t>
        </is>
      </c>
      <c r="R1724" s="8" t="inlineStr">
        <is>
          <t>PCAP</t>
        </is>
      </c>
      <c r="S1724" s="9" t="n">
        <v>46310</v>
      </c>
      <c r="T1724" s="3" t="n">
        <v>46308.50241898148</v>
      </c>
      <c r="U1724" s="2" t="n"/>
    </row>
    <row r="1725">
      <c r="A1725" s="2" t="inlineStr">
        <is>
          <t>En plazo</t>
        </is>
      </c>
      <c r="B1725" s="3" t="n">
        <v>46329.99930555555</v>
      </c>
      <c r="C1725" s="5" t="n">
        <v>98900.02</v>
      </c>
      <c r="D1725" s="5" t="n">
        <v>98900.02</v>
      </c>
      <c r="E1725" s="2" t="inlineStr">
        <is>
          <t>Andalucía</t>
        </is>
      </c>
      <c r="F1725" s="2" t="inlineStr">
        <is>
          <t>Jaén</t>
        </is>
      </c>
      <c r="G1725" s="2" t="inlineStr">
        <is>
          <t>Puente de Génave</t>
        </is>
      </c>
      <c r="H1725" s="2" t="inlineStr">
        <is>
          <t>Alcaldía del Ayuntamiento de Puente de Génave</t>
        </is>
      </c>
      <c r="I1725" s="2" t="inlineStr">
        <is>
          <t>Reparación de firme en Avenida de Andalucía y acceso a Peñolite en el municipio de Puente de Génave (Jaén).</t>
        </is>
      </c>
      <c r="J1725" s="2" t="inlineStr">
        <is>
          <t>462/2026</t>
        </is>
      </c>
      <c r="K1725" s="2" t="inlineStr">
        <is>
          <t>Abierto simplificado</t>
        </is>
      </c>
      <c r="L1725" s="6" t="n">
        <v>5</v>
      </c>
      <c r="M1725" s="2" t="inlineStr">
        <is>
          <t>G4-1</t>
        </is>
      </c>
      <c r="N1725" s="7" t="n">
        <v>0</v>
      </c>
      <c r="O1725" s="4" t="n"/>
      <c r="P1725" s="2" t="inlineStr">
        <is>
          <t>45233252; 45233222</t>
        </is>
      </c>
      <c r="Q1725" s="8" t="inlineStr">
        <is>
          <t>Ver</t>
        </is>
      </c>
      <c r="R1725" s="8" t="inlineStr">
        <is>
          <t>PCAP</t>
        </is>
      </c>
      <c r="S1725" s="9" t="n">
        <v>46310</v>
      </c>
      <c r="T1725" s="3" t="n">
        <v>46308.50174768519</v>
      </c>
      <c r="U1725" s="2" t="n"/>
    </row>
    <row r="1726">
      <c r="A1726" s="2" t="inlineStr">
        <is>
          <t>Plazo vencido</t>
        </is>
      </c>
      <c r="B1726" s="3" t="n">
        <v>46316.54166666666</v>
      </c>
      <c r="C1726" s="5" t="n">
        <v>38364304.82</v>
      </c>
      <c r="D1726" s="5" t="n">
        <v>46037165.78</v>
      </c>
      <c r="E1726" s="2" t="inlineStr">
        <is>
          <t>Comunitat Valenciana</t>
        </is>
      </c>
      <c r="F1726" s="2" t="inlineStr">
        <is>
          <t>Valencia</t>
        </is>
      </c>
      <c r="G1726" s="2" t="inlineStr">
        <is>
          <t>Valencia</t>
        </is>
      </c>
      <c r="H1726" s="2" t="inlineStr">
        <is>
          <t>Consejo de Administración de la Autoridad Portuaria de Valencia</t>
        </is>
      </c>
      <c r="I1726" s="2" t="inlineStr">
        <is>
          <t>Adaptación del espigón del Turia para mejora del área de pasaje en el Puerto de Valencia</t>
        </is>
      </c>
      <c r="J1726" s="2" t="inlineStr">
        <is>
          <t>EC26-C02-01510</t>
        </is>
      </c>
      <c r="K1726" s="2" t="inlineStr">
        <is>
          <t>Abierto</t>
        </is>
      </c>
      <c r="L1726" s="6" t="n">
        <v>30</v>
      </c>
      <c r="M1726" s="2" t="inlineStr">
        <is>
          <t>F7-6; F5-5; F1-5</t>
        </is>
      </c>
      <c r="N1726" s="7" t="n">
        <v>0.49</v>
      </c>
      <c r="O1726" s="4" t="n"/>
      <c r="P1726" s="2" t="inlineStr">
        <is>
          <t>45241100</t>
        </is>
      </c>
      <c r="Q1726" s="8" t="inlineStr">
        <is>
          <t>Ver</t>
        </is>
      </c>
      <c r="R1726" s="8" t="inlineStr">
        <is>
          <t>PCAP</t>
        </is>
      </c>
      <c r="S1726" s="9" t="n">
        <v>46310</v>
      </c>
      <c r="T1726" s="3" t="n">
        <v>46308.49501157407</v>
      </c>
      <c r="U1726" s="2" t="n"/>
    </row>
    <row r="1727">
      <c r="A1727" s="2" t="inlineStr">
        <is>
          <t>Pendiente de adjudicación</t>
        </is>
      </c>
      <c r="B1727" s="3" t="n">
        <v>46032.99930555555</v>
      </c>
      <c r="C1727" s="5" t="n">
        <v>578512.4</v>
      </c>
      <c r="D1727" s="5" t="n">
        <v>578512.4</v>
      </c>
      <c r="E1727" s="2" t="inlineStr">
        <is>
          <t>Andalucía</t>
        </is>
      </c>
      <c r="F1727" s="2" t="inlineStr">
        <is>
          <t>Málaga</t>
        </is>
      </c>
      <c r="G1727" s="2" t="n"/>
      <c r="H1727" s="2" t="inlineStr">
        <is>
          <t>Junta de Gobierno del Ayuntamiento de Istán</t>
        </is>
      </c>
      <c r="I1727"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1727" s="2" t="inlineStr">
        <is>
          <t>H441/2025 CUBRICIÓN PISTA DEPORTIVA</t>
        </is>
      </c>
      <c r="K1727" s="2" t="inlineStr">
        <is>
          <t>Abierto</t>
        </is>
      </c>
      <c r="L1727" s="6" t="n">
        <v>6</v>
      </c>
      <c r="M1727" s="2" t="inlineStr">
        <is>
          <t>C3-1</t>
        </is>
      </c>
      <c r="N1727" s="7" t="n">
        <v>0.49</v>
      </c>
      <c r="O1727" s="4" t="n"/>
      <c r="P1727" s="2" t="inlineStr">
        <is>
          <t>45200000; 45261000; 45212200</t>
        </is>
      </c>
      <c r="Q1727" s="8" t="inlineStr">
        <is>
          <t>Ver</t>
        </is>
      </c>
      <c r="R1727" s="8" t="inlineStr">
        <is>
          <t>PCAP</t>
        </is>
      </c>
      <c r="S1727" s="9" t="n">
        <v>46310</v>
      </c>
      <c r="T1727" s="3" t="n">
        <v>46308.49230324074</v>
      </c>
      <c r="U1727" s="2" t="n"/>
    </row>
    <row r="1728">
      <c r="A1728" s="2" t="inlineStr">
        <is>
          <t>Resuelta</t>
        </is>
      </c>
      <c r="B1728" s="3" t="n">
        <v>45588.99930555555</v>
      </c>
      <c r="C1728" s="5" t="n">
        <v>3221354.75</v>
      </c>
      <c r="D1728" s="5" t="n">
        <v>3221354.75</v>
      </c>
      <c r="E1728" s="2" t="inlineStr">
        <is>
          <t>Andalucía</t>
        </is>
      </c>
      <c r="F1728" s="2" t="inlineStr">
        <is>
          <t>Sevilla</t>
        </is>
      </c>
      <c r="G1728" s="2" t="inlineStr">
        <is>
          <t>Sevilla</t>
        </is>
      </c>
      <c r="H1728" s="2" t="inlineStr">
        <is>
          <t>Rectorado de la Universidad Pablo de Olavide</t>
        </is>
      </c>
      <c r="I1728"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1728" s="2" t="inlineStr">
        <is>
          <t>OB.02/24</t>
        </is>
      </c>
      <c r="K1728" s="2" t="inlineStr">
        <is>
          <t>Abierto</t>
        </is>
      </c>
      <c r="L1728" s="6" t="n">
        <v>12</v>
      </c>
      <c r="M1728" s="2" t="inlineStr">
        <is>
          <t>C*-5</t>
        </is>
      </c>
      <c r="N1728" s="7" t="n">
        <v>0.47</v>
      </c>
      <c r="O1728" s="4" t="n"/>
      <c r="P1728" s="2" t="inlineStr">
        <is>
          <t>45210000</t>
        </is>
      </c>
      <c r="Q1728" s="8" t="inlineStr">
        <is>
          <t>Ver</t>
        </is>
      </c>
      <c r="R1728" s="8" t="inlineStr">
        <is>
          <t>PCAP</t>
        </is>
      </c>
      <c r="S1728" s="9" t="n">
        <v>46310</v>
      </c>
      <c r="T1728" s="3" t="n">
        <v>46308.48670138889</v>
      </c>
      <c r="U1728" s="2" t="n"/>
    </row>
    <row r="1729">
      <c r="A1729" s="2" t="inlineStr">
        <is>
          <t>Resuelta</t>
        </is>
      </c>
      <c r="B1729" s="3" t="n">
        <v>46188.79166666666</v>
      </c>
      <c r="C1729" s="5" t="n">
        <v>964890.92</v>
      </c>
      <c r="D1729" s="5" t="n">
        <v>1157869.1</v>
      </c>
      <c r="E1729" s="2" t="inlineStr">
        <is>
          <t>Andalucía</t>
        </is>
      </c>
      <c r="F1729" s="2" t="inlineStr">
        <is>
          <t>Sevilla</t>
        </is>
      </c>
      <c r="G1729" s="2" t="inlineStr">
        <is>
          <t>Gines</t>
        </is>
      </c>
      <c r="H1729" s="2" t="inlineStr">
        <is>
          <t>Consejo de Administración de la Empresa Mancomunada del Aljarafe, S.A. (ALJARAFESA)</t>
        </is>
      </c>
      <c r="I1729" s="2" t="inlineStr">
        <is>
          <t>Proyecto Constructivo: Mejora y sectorización de la Infraestructura de Abastecimiento de la Zona Sur del municipio de Gines (Sevilla)</t>
        </is>
      </c>
      <c r="J1729" s="2" t="inlineStr">
        <is>
          <t>PAA/104/2026</t>
        </is>
      </c>
      <c r="K1729" s="2" t="inlineStr">
        <is>
          <t>Abierto</t>
        </is>
      </c>
      <c r="L1729" s="6" t="n">
        <v>8</v>
      </c>
      <c r="M1729" s="2" t="inlineStr">
        <is>
          <t>G6-2; E1-4</t>
        </is>
      </c>
      <c r="N1729" s="7" t="n">
        <v>0</v>
      </c>
      <c r="O1729" s="4" t="n"/>
      <c r="P1729" s="2" t="inlineStr">
        <is>
          <t>45231300; 45233251</t>
        </is>
      </c>
      <c r="Q1729" s="8" t="inlineStr">
        <is>
          <t>Ver</t>
        </is>
      </c>
      <c r="R1729" s="8" t="inlineStr">
        <is>
          <t>PCAP</t>
        </is>
      </c>
      <c r="S1729" s="9" t="n">
        <v>46310</v>
      </c>
      <c r="T1729" s="3" t="n">
        <v>46308.48290509259</v>
      </c>
      <c r="U1729" s="2" t="n"/>
    </row>
    <row r="1730">
      <c r="A1730" s="2" t="inlineStr">
        <is>
          <t>Plazo vencido</t>
        </is>
      </c>
      <c r="B1730" s="3" t="n">
        <v>46322.99930555555</v>
      </c>
      <c r="C1730" s="5" t="n">
        <v>40891.41</v>
      </c>
      <c r="D1730" s="5" t="n">
        <v>40891.41</v>
      </c>
      <c r="E1730" s="2" t="inlineStr">
        <is>
          <t>Andalucía</t>
        </is>
      </c>
      <c r="F1730" s="2" t="inlineStr">
        <is>
          <t>Sevilla</t>
        </is>
      </c>
      <c r="G1730" s="2" t="n"/>
      <c r="H1730" s="2" t="inlineStr">
        <is>
          <t>Alcaldía del Ayuntamiento de La Roda de Andalucía</t>
        </is>
      </c>
      <c r="I1730" s="2" t="inlineStr">
        <is>
          <t>Contrato mixto de obras y suministro por procedimiento abierto simplificado sumario para la ejecución de las actuaciones previstas en el "Proyecto básico y de ejecución de mejora y modernización de Casa de la Cultura". Más Sevilla. Terminación</t>
        </is>
      </c>
      <c r="J1730" s="2" t="inlineStr">
        <is>
          <t>P4108200I-2026/000012-PAAB</t>
        </is>
      </c>
      <c r="K1730" s="2" t="inlineStr">
        <is>
          <t>Abierto simplificado</t>
        </is>
      </c>
      <c r="L1730" s="6" t="n">
        <v>1</v>
      </c>
      <c r="M1730" s="2" t="n"/>
      <c r="N1730" s="7" t="n">
        <v>0</v>
      </c>
      <c r="O1730" s="4" t="n">
        <v>4</v>
      </c>
      <c r="P1730" s="2" t="inlineStr">
        <is>
          <t>45400000; 42520000; 42510000; 42500000</t>
        </is>
      </c>
      <c r="Q1730" s="8" t="inlineStr">
        <is>
          <t>Ver</t>
        </is>
      </c>
      <c r="R1730" s="8" t="inlineStr">
        <is>
          <t>PCAP</t>
        </is>
      </c>
      <c r="S1730" s="9" t="n">
        <v>46310</v>
      </c>
      <c r="T1730" s="3" t="n">
        <v>46308.48239583334</v>
      </c>
      <c r="U1730" s="2" t="n"/>
    </row>
    <row r="1731">
      <c r="A1731" s="2" t="inlineStr">
        <is>
          <t>Plazo vencido</t>
        </is>
      </c>
      <c r="B1731" s="3" t="n">
        <v>46323.99930555555</v>
      </c>
      <c r="C1731" s="5" t="n">
        <v>734951.3100000001</v>
      </c>
      <c r="D1731" s="5" t="n">
        <v>734951.3100000001</v>
      </c>
      <c r="E1731" s="2" t="inlineStr">
        <is>
          <t>Comunitat Valenciana</t>
        </is>
      </c>
      <c r="F1731" s="2" t="inlineStr">
        <is>
          <t>Valencia</t>
        </is>
      </c>
      <c r="G1731" s="2" t="n"/>
      <c r="H1731" s="2" t="inlineStr">
        <is>
          <t>Alcaldía del Ayuntamiento de Manises</t>
        </is>
      </c>
      <c r="I1731" s="2" t="inlineStr">
        <is>
          <t>Reasfaltado de la travesia de Manises de la CV-370 desde Avenida dels Tranvies hasta la V-11 de acceso al aeropuerto y sustitución del alumbrado del puente de la CV-371 en el término de Manises</t>
        </is>
      </c>
      <c r="J1731" s="2" t="inlineStr">
        <is>
          <t>3034000P</t>
        </is>
      </c>
      <c r="K1731" s="2" t="inlineStr">
        <is>
          <t>Abierto simplificado</t>
        </is>
      </c>
      <c r="L1731" s="6" t="n">
        <v>2</v>
      </c>
      <c r="M1731" s="2" t="inlineStr">
        <is>
          <t>G4-3</t>
        </is>
      </c>
      <c r="N1731" s="7" t="n">
        <v>0</v>
      </c>
      <c r="O1731" s="4" t="n"/>
      <c r="P1731" s="2" t="inlineStr">
        <is>
          <t>45233222; 45233252; 45233223; 45233251; 34928530; 34991000; 50232100</t>
        </is>
      </c>
      <c r="Q1731" s="8" t="inlineStr">
        <is>
          <t>Ver</t>
        </is>
      </c>
      <c r="R1731" s="8" t="inlineStr">
        <is>
          <t>PCAP</t>
        </is>
      </c>
      <c r="S1731" s="9" t="n">
        <v>46310</v>
      </c>
      <c r="T1731" s="3" t="n">
        <v>46308.47482638889</v>
      </c>
      <c r="U1731" s="2" t="n"/>
    </row>
    <row r="1732">
      <c r="A1732" s="2" t="inlineStr">
        <is>
          <t>Resuelta</t>
        </is>
      </c>
      <c r="B1732" s="3" t="n">
        <v>46286.5</v>
      </c>
      <c r="C1732" s="5" t="n">
        <v>141356.5</v>
      </c>
      <c r="D1732" s="5" t="n">
        <v>141356.5</v>
      </c>
      <c r="E1732" s="2" t="inlineStr">
        <is>
          <t>Andalucía</t>
        </is>
      </c>
      <c r="F1732" s="2" t="inlineStr">
        <is>
          <t>Málaga</t>
        </is>
      </c>
      <c r="G1732" s="2" t="n"/>
      <c r="H1732" s="2" t="inlineStr">
        <is>
          <t>Jefatura de Intendencia de Asuntos Económicos Sur</t>
        </is>
      </c>
      <c r="I1732" s="2" t="inlineStr">
        <is>
          <t>OBRA TC 208-12/24 de reasfaltado parking zona barracones, Acuartelamiento Montejaque, Ronda (Málaga)</t>
        </is>
      </c>
      <c r="J1732" s="2" t="inlineStr">
        <is>
          <t>2026/ETSAE0226/00006059E</t>
        </is>
      </c>
      <c r="K1732" s="2" t="inlineStr">
        <is>
          <t>Abierto</t>
        </is>
      </c>
      <c r="L1732" s="6" t="n">
        <v>2</v>
      </c>
      <c r="M1732" s="2" t="n"/>
      <c r="N1732" s="7" t="n">
        <v>0</v>
      </c>
      <c r="O1732" s="4" t="n"/>
      <c r="P1732" s="2" t="inlineStr">
        <is>
          <t>45216200</t>
        </is>
      </c>
      <c r="Q1732" s="8" t="inlineStr">
        <is>
          <t>Ver</t>
        </is>
      </c>
      <c r="R1732" s="8" t="inlineStr">
        <is>
          <t>PCAP</t>
        </is>
      </c>
      <c r="S1732" s="9" t="n">
        <v>46310</v>
      </c>
      <c r="T1732" s="3" t="n">
        <v>46308.47252314815</v>
      </c>
      <c r="U1732" s="2" t="n"/>
    </row>
    <row r="1733">
      <c r="A1733" s="2" t="inlineStr">
        <is>
          <t>En plazo</t>
        </is>
      </c>
      <c r="B1733" s="3" t="n">
        <v>46329.99930555555</v>
      </c>
      <c r="C1733" s="5" t="n">
        <v>66115.7</v>
      </c>
      <c r="D1733" s="5" t="n">
        <v>66115.7</v>
      </c>
      <c r="E1733" s="2" t="inlineStr">
        <is>
          <t>Andalucía</t>
        </is>
      </c>
      <c r="F1733" s="2" t="inlineStr">
        <is>
          <t>Almería</t>
        </is>
      </c>
      <c r="G1733" s="2" t="n"/>
      <c r="H1733" s="2" t="inlineStr">
        <is>
          <t>Junta de Gobierno de la Diputación Provincial de Almería</t>
        </is>
      </c>
      <c r="I1733" s="2" t="inlineStr">
        <is>
          <t>Pavimentación Caminos Municipales. Sierro 72PCAM24-27BII</t>
        </is>
      </c>
      <c r="J1733" s="2" t="inlineStr">
        <is>
          <t>2025/D31000/006-013/00178</t>
        </is>
      </c>
      <c r="K1733" s="2" t="inlineStr">
        <is>
          <t>Abierto simplificado</t>
        </is>
      </c>
      <c r="L1733" s="6" t="n">
        <v>2</v>
      </c>
      <c r="M1733" s="2" t="n"/>
      <c r="N1733" s="7" t="n">
        <v>0.25</v>
      </c>
      <c r="O1733" s="4" t="n"/>
      <c r="P1733" s="2" t="inlineStr">
        <is>
          <t>45233222</t>
        </is>
      </c>
      <c r="Q1733" s="8" t="inlineStr">
        <is>
          <t>Ver</t>
        </is>
      </c>
      <c r="R1733" s="8" t="inlineStr">
        <is>
          <t>PCAP</t>
        </is>
      </c>
      <c r="S1733" s="9" t="n">
        <v>46310</v>
      </c>
      <c r="T1733" s="3" t="n">
        <v>46308.47114583333</v>
      </c>
      <c r="U1733" s="2" t="n"/>
    </row>
    <row r="1734">
      <c r="A1734" s="2" t="inlineStr">
        <is>
          <t>En plazo</t>
        </is>
      </c>
      <c r="B1734" s="3" t="n">
        <v>46337.99930555555</v>
      </c>
      <c r="C1734" s="5" t="n">
        <v>137097.1</v>
      </c>
      <c r="D1734" s="5" t="n">
        <v>137097.1</v>
      </c>
      <c r="E1734" s="2" t="inlineStr">
        <is>
          <t>Andalucía</t>
        </is>
      </c>
      <c r="F1734" s="2" t="inlineStr">
        <is>
          <t>Cádiz</t>
        </is>
      </c>
      <c r="G1734" s="2" t="inlineStr">
        <is>
          <t>SAN JOSE DEL VALLE</t>
        </is>
      </c>
      <c r="H1734" s="2" t="inlineStr">
        <is>
          <t>Alcaldía del Ayuntamiento de San José del Valle</t>
        </is>
      </c>
      <c r="I1734" s="2" t="inlineStr">
        <is>
          <t>Reparación de la cubierta de la Iglesia Parroquial San José, Plaza de Andalucía nº 9 de San José del Valle.</t>
        </is>
      </c>
      <c r="J1734" s="2" t="inlineStr">
        <is>
          <t>2709-2026</t>
        </is>
      </c>
      <c r="K1734" s="2" t="inlineStr">
        <is>
          <t>Abierto simplificado</t>
        </is>
      </c>
      <c r="L1734" s="6" t="n">
        <v>3</v>
      </c>
      <c r="M1734" s="2" t="n"/>
      <c r="N1734" s="7" t="n">
        <v>0</v>
      </c>
      <c r="O1734" s="4" t="n"/>
      <c r="P1734" s="2" t="inlineStr">
        <is>
          <t>45000000; 45200000</t>
        </is>
      </c>
      <c r="Q1734" s="8" t="inlineStr">
        <is>
          <t>Ver</t>
        </is>
      </c>
      <c r="R1734" s="8" t="inlineStr">
        <is>
          <t>PCAP</t>
        </is>
      </c>
      <c r="S1734" s="9" t="n">
        <v>46310</v>
      </c>
      <c r="T1734" s="3" t="n">
        <v>46308.46052083333</v>
      </c>
      <c r="U1734" s="2" t="n"/>
    </row>
    <row r="1735">
      <c r="A1735" s="2" t="inlineStr">
        <is>
          <t>Resuelta</t>
        </is>
      </c>
      <c r="B1735" s="3" t="n">
        <v>45994.99930555555</v>
      </c>
      <c r="C1735" s="5" t="n">
        <v>196665.92</v>
      </c>
      <c r="D1735" s="5" t="n">
        <v>196665.92</v>
      </c>
      <c r="E1735" s="2" t="inlineStr">
        <is>
          <t>Comunitat Valenciana</t>
        </is>
      </c>
      <c r="F1735" s="2" t="inlineStr">
        <is>
          <t>Alicante</t>
        </is>
      </c>
      <c r="G1735" s="2" t="n"/>
      <c r="H1735" s="2" t="inlineStr">
        <is>
          <t>Presidencia de la Diputación Provincial de Alicante</t>
        </is>
      </c>
      <c r="I1735" s="2" t="inlineStr">
        <is>
          <t>Obra de restauración del vallado del Palacio Provincial. sectores de la Avda. de la Estación, en el municipio de Alicante.</t>
        </is>
      </c>
      <c r="J1735" s="2" t="inlineStr">
        <is>
          <t>O4S-236/2025</t>
        </is>
      </c>
      <c r="K1735" s="2" t="inlineStr">
        <is>
          <t>Abierto simplificado</t>
        </is>
      </c>
      <c r="L1735" s="6" t="n">
        <v>6</v>
      </c>
      <c r="M1735" s="2" t="n"/>
      <c r="N1735" s="7" t="n">
        <v>0.25</v>
      </c>
      <c r="O1735" s="4" t="n"/>
      <c r="P1735" s="2" t="inlineStr">
        <is>
          <t>45212350; 45262210; 45262510; 45454100; 45262520</t>
        </is>
      </c>
      <c r="Q1735" s="8" t="inlineStr">
        <is>
          <t>Ver</t>
        </is>
      </c>
      <c r="R1735" s="8" t="inlineStr">
        <is>
          <t>PCAP</t>
        </is>
      </c>
      <c r="S1735" s="9" t="n">
        <v>46310</v>
      </c>
      <c r="T1735" s="3" t="n">
        <v>46308.45729166667</v>
      </c>
      <c r="U1735" s="2" t="n"/>
    </row>
    <row r="1736">
      <c r="A1736" s="2" t="inlineStr">
        <is>
          <t>Resuelta</t>
        </is>
      </c>
      <c r="B1736" s="3" t="n"/>
      <c r="C1736" s="5" t="n">
        <v>7790213.77</v>
      </c>
      <c r="D1736" s="5" t="n">
        <v>9426158.66</v>
      </c>
      <c r="E1736" s="2" t="inlineStr">
        <is>
          <t>Andalucía</t>
        </is>
      </c>
      <c r="F1736" s="2" t="inlineStr">
        <is>
          <t>Granada</t>
        </is>
      </c>
      <c r="G1736" s="2" t="n"/>
      <c r="H1736" s="2" t="inlineStr">
        <is>
          <t>Demarcación de Carreteras del Estado en Andalucía Oriental</t>
        </is>
      </c>
      <c r="I1736" s="2" t="inlineStr">
        <is>
          <t>Reparación del Viaducto de Rules en el P.K. 171+400 de la autovía A-44, provincia de Granada, subsanando la situación de grave peligro existente.</t>
        </is>
      </c>
      <c r="J1736" s="2" t="inlineStr">
        <is>
          <t>EM23-GR-02.L1</t>
        </is>
      </c>
      <c r="K1736" s="2" t="inlineStr">
        <is>
          <t>Negociado sin publicidad</t>
        </is>
      </c>
      <c r="L1736" s="6" t="n">
        <v>12</v>
      </c>
      <c r="M1736" s="2" t="n"/>
      <c r="N1736" s="7" t="n"/>
      <c r="O1736" s="4" t="n"/>
      <c r="P1736" s="2" t="inlineStr">
        <is>
          <t>45000000</t>
        </is>
      </c>
      <c r="Q1736" s="8" t="inlineStr">
        <is>
          <t>Ver</t>
        </is>
      </c>
      <c r="R1736" s="2" t="n"/>
      <c r="S1736" s="9" t="n">
        <v>46310</v>
      </c>
      <c r="T1736" s="3" t="n">
        <v>46308.45436342592</v>
      </c>
      <c r="U1736" s="2" t="n"/>
    </row>
    <row r="1737">
      <c r="A1737" s="2" t="inlineStr">
        <is>
          <t>En plazo</t>
        </is>
      </c>
      <c r="B1737" s="3" t="n">
        <v>46337.99930555555</v>
      </c>
      <c r="C1737" s="5" t="n">
        <v>481367.76</v>
      </c>
      <c r="D1737" s="5" t="n">
        <v>481367.76</v>
      </c>
      <c r="E1737" s="2" t="inlineStr">
        <is>
          <t>Andalucía</t>
        </is>
      </c>
      <c r="F1737" s="2" t="inlineStr">
        <is>
          <t>Cádiz</t>
        </is>
      </c>
      <c r="G1737" s="2" t="inlineStr">
        <is>
          <t>SAN JOSE DEL VALLE</t>
        </is>
      </c>
      <c r="H1737" s="2" t="inlineStr">
        <is>
          <t>Alcaldía del Ayuntamiento de San José del Valle</t>
        </is>
      </c>
      <c r="I1737" s="2" t="inlineStr">
        <is>
          <t>Ejecución de Caseta de Eventos en Recinto Ferial. Plan Marcha Cádiz + 2026</t>
        </is>
      </c>
      <c r="J1737" s="2" t="inlineStr">
        <is>
          <t>2711-2026</t>
        </is>
      </c>
      <c r="K1737" s="2" t="inlineStr">
        <is>
          <t>Abierto simplificado</t>
        </is>
      </c>
      <c r="L1737" s="6" t="n">
        <v>12</v>
      </c>
      <c r="M1737" s="2" t="n"/>
      <c r="N1737" s="7" t="n">
        <v>0</v>
      </c>
      <c r="O1737" s="4" t="n"/>
      <c r="P1737" s="2" t="inlineStr">
        <is>
          <t>45000000; 45200000</t>
        </is>
      </c>
      <c r="Q1737" s="8" t="inlineStr">
        <is>
          <t>Ver</t>
        </is>
      </c>
      <c r="R1737" s="8" t="inlineStr">
        <is>
          <t>PCAP</t>
        </is>
      </c>
      <c r="S1737" s="9" t="n">
        <v>46310</v>
      </c>
      <c r="T1737" s="3" t="n">
        <v>46308.4490162037</v>
      </c>
      <c r="U1737" s="2" t="n"/>
    </row>
    <row r="1738">
      <c r="A1738" s="2" t="inlineStr">
        <is>
          <t>En plazo</t>
        </is>
      </c>
      <c r="B1738" s="3" t="n">
        <v>46329.99930555555</v>
      </c>
      <c r="C1738" s="5" t="n">
        <v>66115.7</v>
      </c>
      <c r="D1738" s="5" t="n">
        <v>66115.7</v>
      </c>
      <c r="E1738" s="2" t="inlineStr">
        <is>
          <t>Andalucía</t>
        </is>
      </c>
      <c r="F1738" s="2" t="inlineStr">
        <is>
          <t>Almería</t>
        </is>
      </c>
      <c r="G1738" s="2" t="n"/>
      <c r="H1738" s="2" t="inlineStr">
        <is>
          <t>Junta de Gobierno de la Diputación Provincial de Almería</t>
        </is>
      </c>
      <c r="I1738" s="2" t="inlineStr">
        <is>
          <t>Pavimentación Caminos Municipales. Santa Fe De Mondújar 69PCAM24-27BII</t>
        </is>
      </c>
      <c r="J1738" s="2" t="inlineStr">
        <is>
          <t>2025/D31000/006-013/00171</t>
        </is>
      </c>
      <c r="K1738" s="2" t="inlineStr">
        <is>
          <t>Abierto simplificado</t>
        </is>
      </c>
      <c r="L1738" s="6" t="n">
        <v>1</v>
      </c>
      <c r="M1738" s="2" t="n"/>
      <c r="N1738" s="7" t="n">
        <v>0.25</v>
      </c>
      <c r="O1738" s="4" t="n"/>
      <c r="P1738" s="2" t="inlineStr">
        <is>
          <t>45233222</t>
        </is>
      </c>
      <c r="Q1738" s="8" t="inlineStr">
        <is>
          <t>Ver</t>
        </is>
      </c>
      <c r="R1738" s="8" t="inlineStr">
        <is>
          <t>PCAP</t>
        </is>
      </c>
      <c r="S1738" s="9" t="n">
        <v>46310</v>
      </c>
      <c r="T1738" s="3" t="n">
        <v>46308.44577546296</v>
      </c>
      <c r="U1738" s="2" t="n"/>
    </row>
    <row r="1739">
      <c r="A1739" s="2" t="inlineStr">
        <is>
          <t>Resuelta</t>
        </is>
      </c>
      <c r="B1739" s="3" t="n">
        <v>46288.99930555555</v>
      </c>
      <c r="C1739" s="5" t="n">
        <v>6704.4</v>
      </c>
      <c r="D1739" s="5" t="n">
        <v>6704.4</v>
      </c>
      <c r="E1739" s="2" t="inlineStr">
        <is>
          <t>Comunitat Valenciana</t>
        </is>
      </c>
      <c r="F1739" s="2" t="inlineStr">
        <is>
          <t>Valencia</t>
        </is>
      </c>
      <c r="G1739" s="2" t="n"/>
      <c r="H1739" s="2" t="inlineStr">
        <is>
          <t>Sexta Zona de la Guardia Civil en la Comunidad Valenciana</t>
        </is>
      </c>
      <c r="I1739" s="2" t="inlineStr">
        <is>
          <t>Adecuación de las dependencias para despachos y zona administrativa Policía Judicial</t>
        </is>
      </c>
      <c r="J1739" s="2" t="inlineStr">
        <is>
          <t>P/0179/Y/26/6</t>
        </is>
      </c>
      <c r="K1739" s="2" t="inlineStr">
        <is>
          <t>Abierto simplificado</t>
        </is>
      </c>
      <c r="L1739" s="6" t="n">
        <v>1</v>
      </c>
      <c r="M1739" s="2" t="n"/>
      <c r="N1739" s="7" t="n">
        <v>0</v>
      </c>
      <c r="O1739" s="4" t="n"/>
      <c r="P1739" s="2" t="inlineStr">
        <is>
          <t>45000000</t>
        </is>
      </c>
      <c r="Q1739" s="8" t="inlineStr">
        <is>
          <t>Ver</t>
        </is>
      </c>
      <c r="R1739" s="8" t="inlineStr">
        <is>
          <t>PCAP</t>
        </is>
      </c>
      <c r="S1739" s="9" t="n">
        <v>46310</v>
      </c>
      <c r="T1739" s="3" t="n">
        <v>46308.4412037037</v>
      </c>
      <c r="U1739" s="2" t="n"/>
    </row>
    <row r="1740">
      <c r="A1740" s="2" t="inlineStr">
        <is>
          <t>En plazo</t>
        </is>
      </c>
      <c r="B1740" s="3" t="n">
        <v>46329.99930555555</v>
      </c>
      <c r="C1740" s="5" t="n">
        <v>66115.7</v>
      </c>
      <c r="D1740" s="5" t="n">
        <v>66115.7</v>
      </c>
      <c r="E1740" s="2" t="inlineStr">
        <is>
          <t>Andalucía</t>
        </is>
      </c>
      <c r="F1740" s="2" t="inlineStr">
        <is>
          <t>Almería</t>
        </is>
      </c>
      <c r="G1740" s="2" t="n"/>
      <c r="H1740" s="2" t="inlineStr">
        <is>
          <t>Junta de Gobierno de la Diputación Provincial de Almería</t>
        </is>
      </c>
      <c r="I1740" s="2" t="inlineStr">
        <is>
          <t>Caminos Municipales, Ohanes 57PCAM24-27BII</t>
        </is>
      </c>
      <c r="J1740" s="2" t="inlineStr">
        <is>
          <t>2025/D31000/006-013/00259</t>
        </is>
      </c>
      <c r="K1740" s="2" t="inlineStr">
        <is>
          <t>Abierto simplificado</t>
        </is>
      </c>
      <c r="L1740" s="6" t="n">
        <v>1</v>
      </c>
      <c r="M1740" s="2" t="n"/>
      <c r="N1740" s="7" t="n">
        <v>0.25</v>
      </c>
      <c r="O1740" s="4" t="n"/>
      <c r="P1740" s="2" t="inlineStr">
        <is>
          <t>45233222</t>
        </is>
      </c>
      <c r="Q1740" s="8" t="inlineStr">
        <is>
          <t>Ver</t>
        </is>
      </c>
      <c r="R1740" s="8" t="inlineStr">
        <is>
          <t>PCAP</t>
        </is>
      </c>
      <c r="S1740" s="9" t="n">
        <v>46310</v>
      </c>
      <c r="T1740" s="3" t="n">
        <v>46308.43667824074</v>
      </c>
      <c r="U1740" s="2" t="n"/>
    </row>
    <row r="1741">
      <c r="A1741" s="2" t="inlineStr">
        <is>
          <t>Resuelta</t>
        </is>
      </c>
      <c r="B1741" s="3" t="n">
        <v>45929.99930555555</v>
      </c>
      <c r="C1741" s="5" t="n">
        <v>248688.39</v>
      </c>
      <c r="D1741" s="5" t="n">
        <v>248688.39</v>
      </c>
      <c r="E1741" s="2" t="inlineStr">
        <is>
          <t>Comunitat Valenciana</t>
        </is>
      </c>
      <c r="F1741" s="2" t="inlineStr">
        <is>
          <t>Valencia</t>
        </is>
      </c>
      <c r="G1741" s="2" t="inlineStr">
        <is>
          <t>Sedaví</t>
        </is>
      </c>
      <c r="H1741" s="2" t="inlineStr">
        <is>
          <t>Junta de Gobierno del Ayuntamiento de Sedaví</t>
        </is>
      </c>
      <c r="I1741" s="2" t="inlineStr">
        <is>
          <t>Obra de reforma interior del Ayuntamiento por daños DANA</t>
        </is>
      </c>
      <c r="J1741" s="2" t="inlineStr">
        <is>
          <t>2025/11</t>
        </is>
      </c>
      <c r="K1741" s="2" t="inlineStr">
        <is>
          <t>Abierto simplificado</t>
        </is>
      </c>
      <c r="L1741" s="6" t="n">
        <v>5</v>
      </c>
      <c r="M1741" s="2" t="n"/>
      <c r="N1741" s="7" t="n">
        <v>0</v>
      </c>
      <c r="O1741" s="4" t="n"/>
      <c r="P1741" s="2" t="inlineStr">
        <is>
          <t>45000000</t>
        </is>
      </c>
      <c r="Q1741" s="8" t="inlineStr">
        <is>
          <t>Ver</t>
        </is>
      </c>
      <c r="R1741" s="8" t="inlineStr">
        <is>
          <t>PCAP</t>
        </is>
      </c>
      <c r="S1741" s="9" t="n">
        <v>46310</v>
      </c>
      <c r="T1741" s="3" t="n">
        <v>46308.43458333334</v>
      </c>
      <c r="U1741" s="2" t="n"/>
    </row>
    <row r="1742">
      <c r="A1742" s="2" t="inlineStr">
        <is>
          <t>Pendiente de adjudicación</t>
        </is>
      </c>
      <c r="B1742" s="3" t="n">
        <v>46301.99930555555</v>
      </c>
      <c r="C1742" s="5" t="n">
        <v>49198.24</v>
      </c>
      <c r="D1742" s="5" t="n">
        <v>49198.24</v>
      </c>
      <c r="E1742" s="2" t="inlineStr">
        <is>
          <t>Comunitat Valenciana</t>
        </is>
      </c>
      <c r="F1742" s="2" t="inlineStr">
        <is>
          <t>Alicante</t>
        </is>
      </c>
      <c r="G1742" s="2" t="inlineStr">
        <is>
          <t>Pego</t>
        </is>
      </c>
      <c r="H1742" s="2" t="inlineStr">
        <is>
          <t>Alcaldía del Ayuntamiento de Pego</t>
        </is>
      </c>
      <c r="I1742" s="2" t="inlineStr">
        <is>
          <t>Remodelación de la calle Ramón y Cajal a plataforma única.</t>
        </is>
      </c>
      <c r="J1742" s="2" t="inlineStr">
        <is>
          <t>2052/2026</t>
        </is>
      </c>
      <c r="K1742" s="2" t="inlineStr">
        <is>
          <t>Abierto simplificado</t>
        </is>
      </c>
      <c r="L1742" s="6" t="n">
        <v>2</v>
      </c>
      <c r="M1742" s="2" t="inlineStr">
        <is>
          <t>G6-1</t>
        </is>
      </c>
      <c r="N1742" s="7" t="n">
        <v>0</v>
      </c>
      <c r="O1742" s="4" t="n"/>
      <c r="P1742" s="2" t="inlineStr">
        <is>
          <t>45233251</t>
        </is>
      </c>
      <c r="Q1742" s="8" t="inlineStr">
        <is>
          <t>Ver</t>
        </is>
      </c>
      <c r="R1742" s="8" t="inlineStr">
        <is>
          <t>PCAP</t>
        </is>
      </c>
      <c r="S1742" s="9" t="n">
        <v>46310</v>
      </c>
      <c r="T1742" s="3" t="n">
        <v>46308.43315972222</v>
      </c>
      <c r="U1742" s="2" t="n"/>
    </row>
    <row r="1743">
      <c r="A1743" s="2" t="inlineStr">
        <is>
          <t>Resuelta</t>
        </is>
      </c>
      <c r="B1743" s="3" t="n">
        <v>46288.99930555555</v>
      </c>
      <c r="C1743" s="5" t="n">
        <v>13970</v>
      </c>
      <c r="D1743" s="5" t="n">
        <v>13970</v>
      </c>
      <c r="E1743" s="2" t="inlineStr">
        <is>
          <t>Comunitat Valenciana</t>
        </is>
      </c>
      <c r="F1743" s="2" t="inlineStr">
        <is>
          <t>Valencia</t>
        </is>
      </c>
      <c r="G1743" s="2" t="n"/>
      <c r="H1743" s="2" t="inlineStr">
        <is>
          <t>Sexta Zona de la Guardia Civil en la Comunidad Valenciana</t>
        </is>
      </c>
      <c r="I1743" s="2" t="inlineStr">
        <is>
          <t>Obra de rehabilitación y adecuación de las instalaciones y el vallado del Grupo Cinológico de la 6ª Zona de la Guardia civil en la Comunidad Valenciana, ubicado en el recinto del Acuartelamiento de Almussafes (Valencia).</t>
        </is>
      </c>
      <c r="J1743" s="2" t="inlineStr">
        <is>
          <t>P/0180/Y/26/2</t>
        </is>
      </c>
      <c r="K1743" s="2" t="inlineStr">
        <is>
          <t>Abierto simplificado</t>
        </is>
      </c>
      <c r="L1743" s="6" t="n">
        <v>2</v>
      </c>
      <c r="M1743" s="2" t="n"/>
      <c r="N1743" s="7" t="n">
        <v>0</v>
      </c>
      <c r="O1743" s="4" t="n"/>
      <c r="P1743" s="2" t="inlineStr">
        <is>
          <t>45000000</t>
        </is>
      </c>
      <c r="Q1743" s="8" t="inlineStr">
        <is>
          <t>Ver</t>
        </is>
      </c>
      <c r="R1743" s="8" t="inlineStr">
        <is>
          <t>PCAP</t>
        </is>
      </c>
      <c r="S1743" s="9" t="n">
        <v>46310</v>
      </c>
      <c r="T1743" s="3" t="n">
        <v>46308.43181712963</v>
      </c>
      <c r="U1743" s="2" t="n"/>
    </row>
    <row r="1744">
      <c r="A1744" s="2" t="inlineStr">
        <is>
          <t>En plazo</t>
        </is>
      </c>
      <c r="B1744" s="3" t="n">
        <v>46328.58333333334</v>
      </c>
      <c r="C1744" s="5" t="n">
        <v>283254.39</v>
      </c>
      <c r="D1744" s="5" t="n">
        <v>283254.39</v>
      </c>
      <c r="E1744" s="2" t="inlineStr">
        <is>
          <t>Comunitat Valenciana</t>
        </is>
      </c>
      <c r="F1744" s="2" t="inlineStr">
        <is>
          <t>Valencia</t>
        </is>
      </c>
      <c r="G1744" s="2" t="inlineStr">
        <is>
          <t>REQUENA</t>
        </is>
      </c>
      <c r="H1744" s="2" t="inlineStr">
        <is>
          <t>Junta de Gobierno Local del Ayuntamiento de Requena</t>
        </is>
      </c>
      <c r="I1744" s="2" t="inlineStr">
        <is>
          <t>Ejecucion de Dos pistas de Padel y cubierta</t>
        </is>
      </c>
      <c r="J1744" s="2" t="inlineStr">
        <is>
          <t>2984184A</t>
        </is>
      </c>
      <c r="K1744" s="2" t="inlineStr">
        <is>
          <t>Abierto simplificado</t>
        </is>
      </c>
      <c r="L1744" s="6" t="n">
        <v>3</v>
      </c>
      <c r="M1744" s="2" t="n"/>
      <c r="N1744" s="7" t="n">
        <v>0</v>
      </c>
      <c r="O1744" s="4" t="n"/>
      <c r="P1744" s="2" t="inlineStr">
        <is>
          <t>45212200</t>
        </is>
      </c>
      <c r="Q1744" s="8" t="inlineStr">
        <is>
          <t>Ver</t>
        </is>
      </c>
      <c r="R1744" s="8" t="inlineStr">
        <is>
          <t>PCAP</t>
        </is>
      </c>
      <c r="S1744" s="9" t="n">
        <v>46310</v>
      </c>
      <c r="T1744" s="3" t="n">
        <v>46308.4302662037</v>
      </c>
      <c r="U1744" s="2" t="n"/>
    </row>
    <row r="1745">
      <c r="A1745" s="2" t="inlineStr">
        <is>
          <t>Resuelta</t>
        </is>
      </c>
      <c r="B1745" s="3" t="n">
        <v>46262.75</v>
      </c>
      <c r="C1745" s="5" t="n">
        <v>56000</v>
      </c>
      <c r="D1745" s="5" t="n">
        <v>56000</v>
      </c>
      <c r="E1745" s="2" t="inlineStr">
        <is>
          <t>Comunitat Valenciana</t>
        </is>
      </c>
      <c r="F1745" s="2" t="inlineStr">
        <is>
          <t>Valencia</t>
        </is>
      </c>
      <c r="G1745" s="2" t="n"/>
      <c r="H1745" s="2" t="inlineStr">
        <is>
          <t>Empresa de Transformación Agraria S.A.,S.M.E., M.P., (TRAGSA)</t>
        </is>
      </c>
      <c r="I1745"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1745" s="2" t="inlineStr">
        <is>
          <t>TSA0081958-007</t>
        </is>
      </c>
      <c r="K1745" s="2" t="inlineStr">
        <is>
          <t>Abierto</t>
        </is>
      </c>
      <c r="L1745" s="6" t="n">
        <v>12</v>
      </c>
      <c r="M1745" s="2" t="n"/>
      <c r="N1745" s="7" t="n">
        <v>0</v>
      </c>
      <c r="O1745" s="4" t="n"/>
      <c r="P1745" s="2" t="inlineStr">
        <is>
          <t>45500000</t>
        </is>
      </c>
      <c r="Q1745" s="8" t="inlineStr">
        <is>
          <t>Ver</t>
        </is>
      </c>
      <c r="R1745" s="8" t="inlineStr">
        <is>
          <t>PCAP</t>
        </is>
      </c>
      <c r="S1745" s="9" t="n">
        <v>46310</v>
      </c>
      <c r="T1745" s="3" t="n">
        <v>46308.42991898148</v>
      </c>
      <c r="U1745" s="2" t="n"/>
    </row>
    <row r="1746">
      <c r="A1746" s="2" t="inlineStr">
        <is>
          <t>En plazo</t>
        </is>
      </c>
      <c r="B1746" s="3" t="n">
        <v>46328.58333333334</v>
      </c>
      <c r="C1746" s="5" t="n">
        <v>557102.23</v>
      </c>
      <c r="D1746" s="5" t="n">
        <v>557102.23</v>
      </c>
      <c r="E1746" s="2" t="inlineStr">
        <is>
          <t>Comunitat Valenciana</t>
        </is>
      </c>
      <c r="F1746" s="2" t="inlineStr">
        <is>
          <t>Valencia</t>
        </is>
      </c>
      <c r="G1746" s="2" t="inlineStr">
        <is>
          <t>REQUENA</t>
        </is>
      </c>
      <c r="H1746" s="2" t="inlineStr">
        <is>
          <t>Junta de Gobierno Local del Ayuntamiento de Requena</t>
        </is>
      </c>
      <c r="I1746" s="2" t="inlineStr">
        <is>
          <t>Demolicion y construccion Centro Social de Campo Arcís</t>
        </is>
      </c>
      <c r="J1746" s="2" t="inlineStr">
        <is>
          <t>2896352M</t>
        </is>
      </c>
      <c r="K1746" s="2" t="inlineStr">
        <is>
          <t>Abierto simplificado</t>
        </is>
      </c>
      <c r="L1746" s="6" t="n">
        <v>24</v>
      </c>
      <c r="M1746" s="2" t="n"/>
      <c r="N1746" s="7" t="n">
        <v>0</v>
      </c>
      <c r="O1746" s="4" t="n"/>
      <c r="P1746" s="2" t="inlineStr">
        <is>
          <t>45211350; 45111100</t>
        </is>
      </c>
      <c r="Q1746" s="8" t="inlineStr">
        <is>
          <t>Ver</t>
        </is>
      </c>
      <c r="R1746" s="8" t="inlineStr">
        <is>
          <t>PCAP</t>
        </is>
      </c>
      <c r="S1746" s="9" t="n">
        <v>46310</v>
      </c>
      <c r="T1746" s="3" t="n">
        <v>46308.42965277778</v>
      </c>
      <c r="U1746" s="2" t="n"/>
    </row>
    <row r="1747">
      <c r="A1747" s="2" t="inlineStr">
        <is>
          <t>En plazo</t>
        </is>
      </c>
      <c r="B1747" s="3" t="n">
        <v>46329.99930555555</v>
      </c>
      <c r="C1747" s="5" t="n">
        <v>74380.17</v>
      </c>
      <c r="D1747" s="5" t="n">
        <v>74380.17</v>
      </c>
      <c r="E1747" s="2" t="inlineStr">
        <is>
          <t>Andalucía</t>
        </is>
      </c>
      <c r="F1747" s="2" t="inlineStr">
        <is>
          <t>Almería</t>
        </is>
      </c>
      <c r="G1747" s="2" t="n"/>
      <c r="H1747" s="2" t="inlineStr">
        <is>
          <t>Junta de Gobierno de la Diputación Provincial de Almería</t>
        </is>
      </c>
      <c r="I1747" s="2" t="inlineStr">
        <is>
          <t>Caminos Municipales, Arboleas 15PCAM24-27BII</t>
        </is>
      </c>
      <c r="J1747" s="2" t="inlineStr">
        <is>
          <t>2025/D31000/006-013/00269</t>
        </is>
      </c>
      <c r="K1747" s="2" t="inlineStr">
        <is>
          <t>Abierto simplificado</t>
        </is>
      </c>
      <c r="L1747" s="6" t="n">
        <v>2</v>
      </c>
      <c r="M1747" s="2" t="n"/>
      <c r="N1747" s="7" t="n">
        <v>0.25</v>
      </c>
      <c r="O1747" s="4" t="n"/>
      <c r="P1747" s="2" t="inlineStr">
        <is>
          <t>45233222</t>
        </is>
      </c>
      <c r="Q1747" s="8" t="inlineStr">
        <is>
          <t>Ver</t>
        </is>
      </c>
      <c r="R1747" s="8" t="inlineStr">
        <is>
          <t>PCAP</t>
        </is>
      </c>
      <c r="S1747" s="9" t="n">
        <v>46310</v>
      </c>
      <c r="T1747" s="3" t="n">
        <v>46308.429375</v>
      </c>
      <c r="U1747" s="2" t="n"/>
    </row>
    <row r="1748">
      <c r="A1748" s="2" t="inlineStr">
        <is>
          <t>Pendiente de adjudicación</t>
        </is>
      </c>
      <c r="B1748" s="3" t="n">
        <v>46050.99930555555</v>
      </c>
      <c r="C1748" s="5" t="n">
        <v>40460.01</v>
      </c>
      <c r="D1748" s="5" t="n">
        <v>40460.01</v>
      </c>
      <c r="E1748" s="2" t="inlineStr">
        <is>
          <t>Comunitat Valenciana</t>
        </is>
      </c>
      <c r="F1748" s="2" t="inlineStr">
        <is>
          <t>Alicante</t>
        </is>
      </c>
      <c r="G1748" s="2" t="n"/>
      <c r="H1748" s="2" t="inlineStr">
        <is>
          <t>Presidencia de la Diputación Provincial de Alicante</t>
        </is>
      </c>
      <c r="I1748" s="2" t="inlineStr">
        <is>
          <t>Obras de instalaciones de nuevos elementos de control en Comunidad Regantes Riegos Levante Margen Derecha del Río Segura</t>
        </is>
      </c>
      <c r="J1748" s="2" t="inlineStr">
        <is>
          <t>O4S-259/2025</t>
        </is>
      </c>
      <c r="K1748" s="2" t="inlineStr">
        <is>
          <t>Abierto simplificado</t>
        </is>
      </c>
      <c r="L1748" s="6" t="n">
        <v>2</v>
      </c>
      <c r="M1748" s="2" t="n"/>
      <c r="N1748" s="7" t="n">
        <v>0.2</v>
      </c>
      <c r="O1748" s="4" t="n"/>
      <c r="P1748" s="2" t="inlineStr">
        <is>
          <t>45232121</t>
        </is>
      </c>
      <c r="Q1748" s="8" t="inlineStr">
        <is>
          <t>Ver</t>
        </is>
      </c>
      <c r="R1748" s="8" t="inlineStr">
        <is>
          <t>PCAP</t>
        </is>
      </c>
      <c r="S1748" s="9" t="n">
        <v>46310</v>
      </c>
      <c r="T1748" s="3" t="n">
        <v>46308.42788194444</v>
      </c>
      <c r="U1748" s="2" t="n"/>
    </row>
    <row r="1749">
      <c r="A1749" s="2" t="inlineStr">
        <is>
          <t>Pendiente de adjudicación</t>
        </is>
      </c>
      <c r="B1749" s="3" t="n">
        <v>46218.58333333334</v>
      </c>
      <c r="C1749" s="5" t="n">
        <v>9786106.130000001</v>
      </c>
      <c r="D1749" s="5" t="n">
        <v>10764716.74</v>
      </c>
      <c r="E1749" s="2" t="inlineStr">
        <is>
          <t>Comunitat Valenciana</t>
        </is>
      </c>
      <c r="F1749" s="2" t="inlineStr">
        <is>
          <t>Alicante</t>
        </is>
      </c>
      <c r="G1749" s="2" t="inlineStr">
        <is>
          <t>Alicante</t>
        </is>
      </c>
      <c r="H1749" s="2" t="inlineStr">
        <is>
          <t>Dirección General de Gestión Económica, Contratación e Infraestructuras de la Conselleria de Sanidad</t>
        </is>
      </c>
      <c r="I1749" s="2" t="inlineStr">
        <is>
          <t>obras mediante procedimiento abierto, para la nueva construcción del centro de salud la Condomina de Alacant (Alicante).</t>
        </is>
      </c>
      <c r="J1749" s="2" t="inlineStr">
        <is>
          <t>361/2026</t>
        </is>
      </c>
      <c r="K1749" s="2" t="inlineStr">
        <is>
          <t>Abierto</t>
        </is>
      </c>
      <c r="L1749" s="6" t="n">
        <v>24</v>
      </c>
      <c r="M1749" s="2" t="inlineStr">
        <is>
          <t>C*-6</t>
        </is>
      </c>
      <c r="N1749" s="7" t="n">
        <v>0.1</v>
      </c>
      <c r="O1749" s="4" t="n"/>
      <c r="P1749" s="2" t="inlineStr">
        <is>
          <t>45215100</t>
        </is>
      </c>
      <c r="Q1749" s="8" t="inlineStr">
        <is>
          <t>Ver</t>
        </is>
      </c>
      <c r="R1749" s="8" t="inlineStr">
        <is>
          <t>PCAP</t>
        </is>
      </c>
      <c r="S1749" s="9" t="n">
        <v>46310</v>
      </c>
      <c r="T1749" s="3" t="n">
        <v>46308.4278587963</v>
      </c>
      <c r="U1749" s="2" t="n"/>
    </row>
    <row r="1750">
      <c r="A1750" s="2" t="inlineStr">
        <is>
          <t>Plazo vencido</t>
        </is>
      </c>
      <c r="B1750" s="3" t="n">
        <v>46322.58333333334</v>
      </c>
      <c r="C1750" s="5" t="n">
        <v>52220.57</v>
      </c>
      <c r="D1750" s="5" t="n">
        <v>52220.57</v>
      </c>
      <c r="E1750" s="2" t="inlineStr">
        <is>
          <t>Comunitat Valenciana</t>
        </is>
      </c>
      <c r="F1750" s="2" t="inlineStr">
        <is>
          <t>Valencia</t>
        </is>
      </c>
      <c r="G1750" s="2" t="inlineStr">
        <is>
          <t>SAN ANTONIO DE REQUENA</t>
        </is>
      </c>
      <c r="H1750" s="2" t="inlineStr">
        <is>
          <t>Alcaldía del Ayuntamiento de Requena</t>
        </is>
      </c>
      <c r="I1750" s="2" t="inlineStr">
        <is>
          <t>Reurbanizacion Plaza San Antonio Abad de los Isidros</t>
        </is>
      </c>
      <c r="J1750" s="2" t="inlineStr">
        <is>
          <t>2980642F</t>
        </is>
      </c>
      <c r="K1750" s="2" t="inlineStr">
        <is>
          <t>Abierto simplificado</t>
        </is>
      </c>
      <c r="L1750" s="6" t="n">
        <v>3</v>
      </c>
      <c r="M1750" s="2" t="n"/>
      <c r="N1750" s="7" t="n">
        <v>0</v>
      </c>
      <c r="O1750" s="4" t="n"/>
      <c r="P1750" s="2" t="inlineStr">
        <is>
          <t>45212100</t>
        </is>
      </c>
      <c r="Q1750" s="8" t="inlineStr">
        <is>
          <t>Ver</t>
        </is>
      </c>
      <c r="R1750" s="8" t="inlineStr">
        <is>
          <t>PCAP</t>
        </is>
      </c>
      <c r="S1750" s="9" t="n">
        <v>46310</v>
      </c>
      <c r="T1750" s="3" t="n">
        <v>46308.4252662037</v>
      </c>
      <c r="U1750" s="2" t="n"/>
    </row>
    <row r="1751">
      <c r="A1751" s="2" t="inlineStr">
        <is>
          <t>Resuelta</t>
        </is>
      </c>
      <c r="B1751" s="3" t="n">
        <v>46175.5</v>
      </c>
      <c r="C1751" s="5" t="n">
        <v>4408429.38</v>
      </c>
      <c r="D1751" s="5" t="n">
        <v>4408429.38</v>
      </c>
      <c r="E1751" s="2" t="inlineStr">
        <is>
          <t>Andalucía</t>
        </is>
      </c>
      <c r="F1751" s="2" t="inlineStr">
        <is>
          <t>Sevilla</t>
        </is>
      </c>
      <c r="G1751" s="2" t="inlineStr">
        <is>
          <t>Sevilla</t>
        </is>
      </c>
      <c r="H1751" s="2" t="inlineStr">
        <is>
          <t>Consejería Delegada de la Empresa Metropolitana de Abastecimiento y Saneamiento de Aguas de Sevilla S.A. (EMASESA)</t>
        </is>
      </c>
      <c r="I1751" s="2" t="inlineStr">
        <is>
          <t>Proyecto para la renovación de las redes de abastecimiento y saneamiento en Avda. de la Reina Mercedes. Distrito Bellavista- La Palmera, Sevilla.</t>
        </is>
      </c>
      <c r="J1751" s="2" t="inlineStr">
        <is>
          <t>0552/2026</t>
        </is>
      </c>
      <c r="K1751" s="2" t="inlineStr">
        <is>
          <t>Abierto</t>
        </is>
      </c>
      <c r="L1751" s="6" t="n">
        <v>15.6</v>
      </c>
      <c r="M1751" s="2" t="inlineStr">
        <is>
          <t>E1-4; G6-4</t>
        </is>
      </c>
      <c r="N1751" s="7" t="n">
        <v>0.47</v>
      </c>
      <c r="O1751" s="4" t="n"/>
      <c r="P1751" s="2" t="inlineStr">
        <is>
          <t>45231300</t>
        </is>
      </c>
      <c r="Q1751" s="8" t="inlineStr">
        <is>
          <t>Ver</t>
        </is>
      </c>
      <c r="R1751" s="8" t="inlineStr">
        <is>
          <t>PCAP</t>
        </is>
      </c>
      <c r="S1751" s="9" t="n">
        <v>46310</v>
      </c>
      <c r="T1751" s="3" t="n">
        <v>46308.42040509259</v>
      </c>
      <c r="U1751" s="2" t="n"/>
    </row>
    <row r="1752">
      <c r="A1752" s="2" t="inlineStr">
        <is>
          <t>Resuelta</t>
        </is>
      </c>
      <c r="B1752" s="3" t="n">
        <v>46171.54166666666</v>
      </c>
      <c r="C1752" s="5" t="n">
        <v>7499719.54</v>
      </c>
      <c r="D1752" s="5" t="n">
        <v>7499719.54</v>
      </c>
      <c r="E1752" s="2" t="inlineStr">
        <is>
          <t>Andalucía</t>
        </is>
      </c>
      <c r="F1752" s="2" t="inlineStr">
        <is>
          <t>Huelva</t>
        </is>
      </c>
      <c r="G1752" s="2" t="inlineStr">
        <is>
          <t>MAZAGÓN - HUELVA</t>
        </is>
      </c>
      <c r="H1752" s="2" t="inlineStr">
        <is>
          <t>Consejo de Administración de Sociedad Mercantil Estatal Aguas de las Cuencas de España, S.A. (ACUAES)</t>
        </is>
      </c>
      <c r="I1752" s="2" t="inlineStr">
        <is>
          <t>Ejecución de las obras del proyecto "Nueva EDAR de Mazagón (Huelva). Ampliación de la capacidad de tratamiento". Fase 1, cofinanciado por el Programa Plurirregional de España FEDER 2021 - 2027.</t>
        </is>
      </c>
      <c r="J1752" s="2" t="inlineStr">
        <is>
          <t>ACE/422.01/25/OBRA/01</t>
        </is>
      </c>
      <c r="K1752" s="2" t="inlineStr">
        <is>
          <t>Abierto</t>
        </is>
      </c>
      <c r="L1752" s="6" t="n">
        <v>22</v>
      </c>
      <c r="M1752" s="2" t="inlineStr">
        <is>
          <t>K8-4</t>
        </is>
      </c>
      <c r="N1752" s="7" t="n">
        <v>0.45</v>
      </c>
      <c r="O1752" s="4" t="n"/>
      <c r="P1752" s="2" t="inlineStr">
        <is>
          <t>45232420</t>
        </is>
      </c>
      <c r="Q1752" s="8" t="inlineStr">
        <is>
          <t>Ver</t>
        </is>
      </c>
      <c r="R1752" s="8" t="inlineStr">
        <is>
          <t>PCAP</t>
        </is>
      </c>
      <c r="S1752" s="9" t="n">
        <v>46310</v>
      </c>
      <c r="T1752" s="3" t="n">
        <v>46308.40811342592</v>
      </c>
      <c r="U1752" s="2" t="n"/>
    </row>
    <row r="1753">
      <c r="A1753" s="2" t="inlineStr">
        <is>
          <t>Resuelta</t>
        </is>
      </c>
      <c r="B1753" s="3" t="n">
        <v>46232.99930555555</v>
      </c>
      <c r="C1753" s="5" t="n">
        <v>243762.7</v>
      </c>
      <c r="D1753" s="5" t="n">
        <v>243762.7</v>
      </c>
      <c r="E1753" s="2" t="inlineStr">
        <is>
          <t>Comunitat Valenciana</t>
        </is>
      </c>
      <c r="F1753" s="2" t="inlineStr">
        <is>
          <t>Castellón</t>
        </is>
      </c>
      <c r="G1753" s="2" t="n"/>
      <c r="H1753" s="2" t="inlineStr">
        <is>
          <t>Alcaldía del Ayuntamiento de Oropesa del Mar</t>
        </is>
      </c>
      <c r="I1753" s="2" t="inlineStr">
        <is>
          <t>El objeto del presente contrato es ejecutar las obras correspondientes para la adecuación del solar para CEIP número 3 del municipio de Oropesa del Mar.</t>
        </is>
      </c>
      <c r="J1753" s="2" t="inlineStr">
        <is>
          <t>4-SERV2026</t>
        </is>
      </c>
      <c r="K1753" s="2" t="inlineStr">
        <is>
          <t>Abierto simplificado</t>
        </is>
      </c>
      <c r="L1753" s="6" t="n">
        <v>3</v>
      </c>
      <c r="M1753" s="2" t="n"/>
      <c r="N1753" s="7" t="n">
        <v>0</v>
      </c>
      <c r="O1753" s="4" t="n"/>
      <c r="P1753" s="2" t="inlineStr">
        <is>
          <t>45100000; 45111000; 45231000; 45112500</t>
        </is>
      </c>
      <c r="Q1753" s="8" t="inlineStr">
        <is>
          <t>Ver</t>
        </is>
      </c>
      <c r="R1753" s="8" t="inlineStr">
        <is>
          <t>PCAP</t>
        </is>
      </c>
      <c r="S1753" s="9" t="n">
        <v>46310</v>
      </c>
      <c r="T1753" s="3" t="n">
        <v>46308.40290509259</v>
      </c>
      <c r="U1753" s="2" t="n"/>
    </row>
    <row r="1754">
      <c r="A1754" s="2" t="inlineStr">
        <is>
          <t>En plazo</t>
        </is>
      </c>
      <c r="B1754" s="3" t="n">
        <v>46328.99930555555</v>
      </c>
      <c r="C1754" s="5" t="n">
        <v>90909.09</v>
      </c>
      <c r="D1754" s="5" t="n">
        <v>90909.09</v>
      </c>
      <c r="E1754" s="2" t="inlineStr">
        <is>
          <t>Andalucía</t>
        </is>
      </c>
      <c r="F1754" s="2" t="inlineStr">
        <is>
          <t>Cádiz</t>
        </is>
      </c>
      <c r="G1754" s="2" t="inlineStr">
        <is>
          <t>El Gastor</t>
        </is>
      </c>
      <c r="H1754" s="2" t="inlineStr">
        <is>
          <t>Alcaldía del Ayuntamiento de El Gastor</t>
        </is>
      </c>
      <c r="I1754" s="2" t="inlineStr">
        <is>
          <t>Terminación de la Residencia Municipal de Mayores de El Gastor.</t>
        </is>
      </c>
      <c r="J1754" s="2" t="inlineStr">
        <is>
          <t>796/2026</t>
        </is>
      </c>
      <c r="K1754" s="2" t="inlineStr">
        <is>
          <t>Abierto simplificado</t>
        </is>
      </c>
      <c r="L1754" s="6" t="n">
        <v>6</v>
      </c>
      <c r="M1754" s="2" t="n"/>
      <c r="N1754" s="7" t="n">
        <v>0</v>
      </c>
      <c r="O1754" s="4" t="n"/>
      <c r="P1754" s="2" t="inlineStr">
        <is>
          <t>45200000</t>
        </is>
      </c>
      <c r="Q1754" s="8" t="inlineStr">
        <is>
          <t>Ver</t>
        </is>
      </c>
      <c r="R1754" s="8" t="inlineStr">
        <is>
          <t>PCAP</t>
        </is>
      </c>
      <c r="S1754" s="9" t="n">
        <v>46310</v>
      </c>
      <c r="T1754" s="3" t="n">
        <v>46308.39884259259</v>
      </c>
      <c r="U1754" s="2" t="n"/>
    </row>
    <row r="1755">
      <c r="A1755" s="2" t="inlineStr">
        <is>
          <t>En plazo</t>
        </is>
      </c>
      <c r="B1755" s="3" t="n">
        <v>46335.58333333334</v>
      </c>
      <c r="C1755" s="5" t="n">
        <v>86000</v>
      </c>
      <c r="D1755" s="5" t="n">
        <v>86000</v>
      </c>
      <c r="E1755" s="2" t="inlineStr">
        <is>
          <t>Andalucía</t>
        </is>
      </c>
      <c r="F1755" s="2" t="inlineStr">
        <is>
          <t>Huelva</t>
        </is>
      </c>
      <c r="G1755" s="2" t="inlineStr">
        <is>
          <t>Palos de la Frontera.</t>
        </is>
      </c>
      <c r="H1755" s="2" t="inlineStr">
        <is>
          <t>Alcaldia del Ayuntamiento de Palos de la Frontera</t>
        </is>
      </c>
      <c r="I1755" s="2" t="inlineStr">
        <is>
          <t>Contratación de las obras de ejecución de revestimiento cerámico del muro y los edificios anexos de la Plaza de la Cruz de Palos de la Frontera.</t>
        </is>
      </c>
      <c r="J1755" s="2" t="inlineStr">
        <is>
          <t>Contrato de Obras 11/2026</t>
        </is>
      </c>
      <c r="K1755" s="2" t="inlineStr">
        <is>
          <t>Abierto</t>
        </is>
      </c>
      <c r="L1755" s="6" t="n">
        <v>4</v>
      </c>
      <c r="M1755" s="2" t="n"/>
      <c r="N1755" s="7" t="n">
        <v>0.4</v>
      </c>
      <c r="O1755" s="4" t="n"/>
      <c r="P1755" s="2" t="inlineStr">
        <is>
          <t>45432210; 44111300</t>
        </is>
      </c>
      <c r="Q1755" s="8" t="inlineStr">
        <is>
          <t>Ver</t>
        </is>
      </c>
      <c r="R1755" s="8" t="inlineStr">
        <is>
          <t>PCAP</t>
        </is>
      </c>
      <c r="S1755" s="9" t="n">
        <v>46310</v>
      </c>
      <c r="T1755" s="3" t="n">
        <v>46308.39758101852</v>
      </c>
      <c r="U1755" s="2" t="n"/>
    </row>
    <row r="1756">
      <c r="A1756" s="2" t="inlineStr">
        <is>
          <t>Resuelta</t>
        </is>
      </c>
      <c r="B1756" s="3" t="n">
        <v>46245.375</v>
      </c>
      <c r="C1756" s="5" t="n">
        <v>99878.75</v>
      </c>
      <c r="D1756" s="5" t="n">
        <v>99878.75</v>
      </c>
      <c r="E1756" s="2" t="inlineStr">
        <is>
          <t>Andalucía</t>
        </is>
      </c>
      <c r="F1756" s="2" t="inlineStr">
        <is>
          <t>Cádiz</t>
        </is>
      </c>
      <c r="G1756" s="2" t="n"/>
      <c r="H1756" s="2" t="inlineStr">
        <is>
          <t>Intendente de San Fernando</t>
        </is>
      </c>
      <c r="I1756" s="2" t="inlineStr">
        <is>
          <t>Obras de conservación en impermeabilización de la Iglesia "Nª Sª del Rosario"</t>
        </is>
      </c>
      <c r="J1756" s="2" t="inlineStr">
        <is>
          <t>2026/AR43U/00001765E</t>
        </is>
      </c>
      <c r="K1756" s="2" t="inlineStr">
        <is>
          <t>Abierto simplificado</t>
        </is>
      </c>
      <c r="L1756" s="6" t="n">
        <v>2.3</v>
      </c>
      <c r="M1756" s="2" t="n"/>
      <c r="N1756" s="7" t="n">
        <v>0</v>
      </c>
      <c r="O1756" s="4" t="n"/>
      <c r="P1756" s="2" t="inlineStr">
        <is>
          <t>45261214</t>
        </is>
      </c>
      <c r="Q1756" s="8" t="inlineStr">
        <is>
          <t>Ver</t>
        </is>
      </c>
      <c r="R1756" s="8" t="inlineStr">
        <is>
          <t>PCAP</t>
        </is>
      </c>
      <c r="S1756" s="9" t="n">
        <v>46310</v>
      </c>
      <c r="T1756" s="3" t="n">
        <v>46308.38732638889</v>
      </c>
      <c r="U1756" s="2" t="n"/>
    </row>
    <row r="1757">
      <c r="A1757" s="2" t="inlineStr">
        <is>
          <t>Resuelta</t>
        </is>
      </c>
      <c r="B1757" s="3" t="n">
        <v>46213.54166666666</v>
      </c>
      <c r="C1757" s="5" t="n">
        <v>393281.94</v>
      </c>
      <c r="D1757" s="5" t="n">
        <v>393281.94</v>
      </c>
      <c r="E1757" s="2" t="inlineStr">
        <is>
          <t>Andalucía</t>
        </is>
      </c>
      <c r="F1757" s="2" t="inlineStr">
        <is>
          <t>Almería</t>
        </is>
      </c>
      <c r="G1757" s="2" t="inlineStr">
        <is>
          <t>Almeria</t>
        </is>
      </c>
      <c r="H1757" s="2" t="inlineStr">
        <is>
          <t>Rectorado de la Universidad de Almería</t>
        </is>
      </c>
      <c r="I1757" s="2" t="inlineStr">
        <is>
          <t>obra la adaptación de las Aulas a Docencia Avanzada de la Universidad de Almería</t>
        </is>
      </c>
      <c r="J1757" s="2" t="inlineStr">
        <is>
          <t>1094</t>
        </is>
      </c>
      <c r="K1757" s="2" t="inlineStr">
        <is>
          <t>Abierto simplificado</t>
        </is>
      </c>
      <c r="L1757" s="6" t="n">
        <v>5</v>
      </c>
      <c r="M1757" s="2" t="n"/>
      <c r="N1757" s="7" t="n">
        <v>0.2</v>
      </c>
      <c r="O1757" s="4" t="n"/>
      <c r="P1757" s="2" t="inlineStr">
        <is>
          <t>45210000; 45214400; 45214000</t>
        </is>
      </c>
      <c r="Q1757" s="8" t="inlineStr">
        <is>
          <t>Ver</t>
        </is>
      </c>
      <c r="R1757" s="8" t="inlineStr">
        <is>
          <t>PCAP</t>
        </is>
      </c>
      <c r="S1757" s="9" t="n">
        <v>46310</v>
      </c>
      <c r="T1757" s="3" t="n">
        <v>46308.38399305556</v>
      </c>
      <c r="U1757" s="2" t="n"/>
    </row>
    <row r="1758">
      <c r="A1758" s="2" t="inlineStr">
        <is>
          <t>Pendiente de adjudicación</t>
        </is>
      </c>
      <c r="B1758" s="3" t="n">
        <v>46300.99930555555</v>
      </c>
      <c r="C1758" s="5" t="n">
        <v>1561590.24</v>
      </c>
      <c r="D1758" s="5" t="n">
        <v>1561590.24</v>
      </c>
      <c r="E1758" s="2" t="inlineStr">
        <is>
          <t>Andalucía</t>
        </is>
      </c>
      <c r="F1758" s="2" t="inlineStr">
        <is>
          <t>Granada</t>
        </is>
      </c>
      <c r="G1758" s="2" t="n"/>
      <c r="H1758" s="2" t="inlineStr">
        <is>
          <t>Alcaldía del Ayuntamiento de Atarfe</t>
        </is>
      </c>
      <c r="I1758" s="2" t="inlineStr">
        <is>
          <t>Obra para la reforma integral y puesta en valor del Parque Los Olivares de Elvira como refugio climático</t>
        </is>
      </c>
      <c r="J1758" s="2" t="inlineStr">
        <is>
          <t>5782/2026</t>
        </is>
      </c>
      <c r="K1758" s="2" t="inlineStr">
        <is>
          <t>Abierto</t>
        </is>
      </c>
      <c r="L1758" s="6" t="n">
        <v>21</v>
      </c>
      <c r="M1758" s="2" t="n"/>
      <c r="N1758" s="7" t="n">
        <v>0</v>
      </c>
      <c r="O1758" s="4" t="n"/>
      <c r="P1758" s="2" t="inlineStr">
        <is>
          <t>45000000; 45112700; 45210000; 45100000</t>
        </is>
      </c>
      <c r="Q1758" s="8" t="inlineStr">
        <is>
          <t>Ver</t>
        </is>
      </c>
      <c r="R1758" s="8" t="inlineStr">
        <is>
          <t>PCAP</t>
        </is>
      </c>
      <c r="S1758" s="9" t="n">
        <v>46310</v>
      </c>
      <c r="T1758" s="3" t="n">
        <v>46308.38209490741</v>
      </c>
      <c r="U1758" s="2" t="n"/>
    </row>
    <row r="1759">
      <c r="A1759" s="2" t="inlineStr">
        <is>
          <t>Resuelta</t>
        </is>
      </c>
      <c r="B1759" s="3" t="n">
        <v>46302.58333333334</v>
      </c>
      <c r="C1759" s="5" t="n">
        <v>74703.53</v>
      </c>
      <c r="D1759" s="5" t="n">
        <v>74703.53</v>
      </c>
      <c r="E1759" s="2" t="inlineStr">
        <is>
          <t>Andalucía</t>
        </is>
      </c>
      <c r="F1759" s="2" t="inlineStr">
        <is>
          <t>Cádiz</t>
        </is>
      </c>
      <c r="G1759" s="2" t="inlineStr">
        <is>
          <t>Algeciras</t>
        </is>
      </c>
      <c r="H1759" s="2" t="inlineStr">
        <is>
          <t>TGSS-Dirección provincial de Cádiz</t>
        </is>
      </c>
      <c r="I1759"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1759" s="2" t="inlineStr">
        <is>
          <t>2026/110260</t>
        </is>
      </c>
      <c r="K1759" s="2" t="inlineStr">
        <is>
          <t>Abierto simplificado</t>
        </is>
      </c>
      <c r="L1759" s="6" t="n">
        <v>3</v>
      </c>
      <c r="M1759" s="2" t="n"/>
      <c r="N1759" s="7" t="n">
        <v>0</v>
      </c>
      <c r="O1759" s="4" t="n"/>
      <c r="P1759" s="2" t="inlineStr">
        <is>
          <t>45261420; 45442300; 45246400</t>
        </is>
      </c>
      <c r="Q1759" s="8" t="inlineStr">
        <is>
          <t>Ver</t>
        </is>
      </c>
      <c r="R1759" s="8" t="inlineStr">
        <is>
          <t>PCAP</t>
        </is>
      </c>
      <c r="S1759" s="9" t="n">
        <v>46310</v>
      </c>
      <c r="T1759" s="3" t="n">
        <v>46308.37878472222</v>
      </c>
      <c r="U1759" s="2" t="n"/>
    </row>
    <row r="1760">
      <c r="A1760" s="2" t="inlineStr">
        <is>
          <t>Resuelta</t>
        </is>
      </c>
      <c r="B1760" s="3" t="n">
        <v>46224.99930555555</v>
      </c>
      <c r="C1760" s="5" t="n">
        <v>627891.59</v>
      </c>
      <c r="D1760" s="5" t="n">
        <v>627891.59</v>
      </c>
      <c r="E1760" s="2" t="inlineStr">
        <is>
          <t>Andalucía</t>
        </is>
      </c>
      <c r="F1760" s="2" t="inlineStr">
        <is>
          <t>Granada</t>
        </is>
      </c>
      <c r="G1760" s="2" t="inlineStr">
        <is>
          <t>Gójar</t>
        </is>
      </c>
      <c r="H1760" s="2" t="inlineStr">
        <is>
          <t>Junta de Gobierno Local del Ayuntamiento de Gójar</t>
        </is>
      </c>
      <c r="I1760" s="2" t="inlineStr">
        <is>
          <t>Obras de demolición de los vestuarios existentes y construcción de un nuevo edificio destinado a vestuarios deportivos y cafetería en el Polideportivo Municipal de Gójar, situado en Camino de la Sierra n.º 26, Gójar (Granada).</t>
        </is>
      </c>
      <c r="J1760" s="2" t="inlineStr">
        <is>
          <t>156/2026</t>
        </is>
      </c>
      <c r="K1760" s="2" t="inlineStr">
        <is>
          <t>Abierto simplificado</t>
        </is>
      </c>
      <c r="L1760" s="6" t="n">
        <v>8</v>
      </c>
      <c r="M1760" s="2" t="n"/>
      <c r="N1760" s="7" t="n">
        <v>0</v>
      </c>
      <c r="O1760" s="4" t="n"/>
      <c r="P1760" s="2" t="inlineStr">
        <is>
          <t>45212200; 45212000; 45111100; 45210000</t>
        </is>
      </c>
      <c r="Q1760" s="8" t="inlineStr">
        <is>
          <t>Ver</t>
        </is>
      </c>
      <c r="R1760" s="8" t="inlineStr">
        <is>
          <t>PCAP</t>
        </is>
      </c>
      <c r="S1760" s="9" t="n">
        <v>46310</v>
      </c>
      <c r="T1760" s="3" t="n">
        <v>46308.3785300926</v>
      </c>
      <c r="U1760" s="2" t="n"/>
    </row>
    <row r="1761">
      <c r="A1761" s="2" t="inlineStr">
        <is>
          <t>Resuelta</t>
        </is>
      </c>
      <c r="B1761" s="3" t="n">
        <v>46196.99930555555</v>
      </c>
      <c r="C1761" s="5" t="n">
        <v>244629.29</v>
      </c>
      <c r="D1761" s="5" t="n">
        <v>244629.29</v>
      </c>
      <c r="E1761" s="2" t="inlineStr">
        <is>
          <t>Comunitat Valenciana</t>
        </is>
      </c>
      <c r="F1761" s="2" t="inlineStr">
        <is>
          <t>Valencia</t>
        </is>
      </c>
      <c r="G1761" s="2" t="inlineStr">
        <is>
          <t>Cortes de Pallás</t>
        </is>
      </c>
      <c r="H1761" s="2" t="inlineStr">
        <is>
          <t>Alcaldía del Ayuntamiento de Cortes de Pallás</t>
        </is>
      </c>
      <c r="I1761" s="2" t="inlineStr">
        <is>
          <t>Proyecto de Habilitación local para gimnasio</t>
        </is>
      </c>
      <c r="J1761" s="2" t="inlineStr">
        <is>
          <t>221791K.v2</t>
        </is>
      </c>
      <c r="K1761" s="2" t="inlineStr">
        <is>
          <t>Abierto simplificado</t>
        </is>
      </c>
      <c r="L1761" s="6" t="n">
        <v>6</v>
      </c>
      <c r="M1761" s="2" t="inlineStr">
        <is>
          <t>C*-2</t>
        </is>
      </c>
      <c r="N1761" s="7" t="n">
        <v>0</v>
      </c>
      <c r="O1761" s="4" t="n"/>
      <c r="P1761" s="2" t="inlineStr">
        <is>
          <t>45212222; 45200000</t>
        </is>
      </c>
      <c r="Q1761" s="8" t="inlineStr">
        <is>
          <t>Ver</t>
        </is>
      </c>
      <c r="R1761" s="8" t="inlineStr">
        <is>
          <t>PCAP</t>
        </is>
      </c>
      <c r="S1761" s="9" t="n">
        <v>46310</v>
      </c>
      <c r="T1761" s="3" t="n">
        <v>46308.37706018519</v>
      </c>
      <c r="U1761" s="2" t="n"/>
    </row>
    <row r="1762">
      <c r="A1762" s="2" t="inlineStr">
        <is>
          <t>Pendiente de adjudicación</t>
        </is>
      </c>
      <c r="B1762" s="3" t="n">
        <v>46248.54166666666</v>
      </c>
      <c r="C1762" s="5" t="n">
        <v>135136.69</v>
      </c>
      <c r="D1762" s="5" t="n">
        <v>162164.03</v>
      </c>
      <c r="E1762" s="2" t="inlineStr">
        <is>
          <t>Andalucía</t>
        </is>
      </c>
      <c r="F1762" s="2" t="inlineStr">
        <is>
          <t>Málaga</t>
        </is>
      </c>
      <c r="G1762" s="2" t="n"/>
      <c r="H1762" s="2" t="inlineStr">
        <is>
          <t>Junta de Gobierno del Ayuntamiento de Málaga</t>
        </is>
      </c>
      <c r="I1762" s="2" t="inlineStr">
        <is>
          <t>Obras de Construcción de Depósito de Regulación de Agua para Riego en Cl Alcalde Tomás Domínguez</t>
        </is>
      </c>
      <c r="J1762" s="2" t="inlineStr">
        <is>
          <t>60/26</t>
        </is>
      </c>
      <c r="K1762" s="2" t="inlineStr">
        <is>
          <t>Abierto simplificado</t>
        </is>
      </c>
      <c r="L1762" s="6" t="n">
        <v>7</v>
      </c>
      <c r="M1762" s="2" t="n"/>
      <c r="N1762" s="7" t="n">
        <v>0</v>
      </c>
      <c r="O1762" s="4" t="n"/>
      <c r="P1762" s="2" t="inlineStr">
        <is>
          <t>45232152</t>
        </is>
      </c>
      <c r="Q1762" s="8" t="inlineStr">
        <is>
          <t>Ver</t>
        </is>
      </c>
      <c r="R1762" s="8" t="inlineStr">
        <is>
          <t>PCAP</t>
        </is>
      </c>
      <c r="S1762" s="9" t="n">
        <v>46310</v>
      </c>
      <c r="T1762" s="3" t="n">
        <v>46308.36747685185</v>
      </c>
      <c r="U1762" s="2" t="n"/>
    </row>
    <row r="1763">
      <c r="A1763" s="2" t="inlineStr">
        <is>
          <t>Pendiente de adjudicación</t>
        </is>
      </c>
      <c r="B1763" s="3" t="n">
        <v>46294.99930555555</v>
      </c>
      <c r="C1763" s="5" t="n">
        <v>66115.7</v>
      </c>
      <c r="D1763" s="5" t="n">
        <v>66115.7</v>
      </c>
      <c r="E1763" s="2" t="inlineStr">
        <is>
          <t>Andalucía</t>
        </is>
      </c>
      <c r="F1763" s="2" t="inlineStr">
        <is>
          <t>Almería</t>
        </is>
      </c>
      <c r="G1763" s="2" t="n"/>
      <c r="H1763" s="2" t="inlineStr">
        <is>
          <t>Junta de Gobierno de la Diputación Provincial de Almería</t>
        </is>
      </c>
      <c r="I1763" s="2" t="inlineStr">
        <is>
          <t>Caminos Municipales, Alhabia 9PCAM24-27BII</t>
        </is>
      </c>
      <c r="J1763" s="2" t="inlineStr">
        <is>
          <t>2025/D31000/006-013/00263</t>
        </is>
      </c>
      <c r="K1763" s="2" t="inlineStr">
        <is>
          <t>Abierto simplificado</t>
        </is>
      </c>
      <c r="L1763" s="6" t="n">
        <v>2</v>
      </c>
      <c r="M1763" s="2" t="n"/>
      <c r="N1763" s="7" t="n">
        <v>0.25</v>
      </c>
      <c r="O1763" s="4" t="n"/>
      <c r="P1763" s="2" t="inlineStr">
        <is>
          <t>45233222</t>
        </is>
      </c>
      <c r="Q1763" s="8" t="inlineStr">
        <is>
          <t>Ver</t>
        </is>
      </c>
      <c r="R1763" s="8" t="inlineStr">
        <is>
          <t>PCAP</t>
        </is>
      </c>
      <c r="S1763" s="9" t="n">
        <v>46310</v>
      </c>
      <c r="T1763" s="3" t="n">
        <v>46308.36564814814</v>
      </c>
      <c r="U1763" s="2" t="n"/>
    </row>
    <row r="1764">
      <c r="A1764" s="2" t="inlineStr">
        <is>
          <t>Pendiente de adjudicación</t>
        </is>
      </c>
      <c r="B1764" s="3" t="n">
        <v>46294.99930555555</v>
      </c>
      <c r="C1764" s="5" t="n">
        <v>74380.17</v>
      </c>
      <c r="D1764" s="5" t="n">
        <v>74380.17</v>
      </c>
      <c r="E1764" s="2" t="inlineStr">
        <is>
          <t>Andalucía</t>
        </is>
      </c>
      <c r="F1764" s="2" t="inlineStr">
        <is>
          <t>Almería</t>
        </is>
      </c>
      <c r="G1764" s="2" t="n"/>
      <c r="H1764" s="2" t="inlineStr">
        <is>
          <t>Junta de Gobierno de la Diputación Provincial de Almería</t>
        </is>
      </c>
      <c r="I1764" s="2" t="inlineStr">
        <is>
          <t>Pavimentación Caminos Municipales. Vera 89PCAM24-27BII</t>
        </is>
      </c>
      <c r="J1764" s="2" t="inlineStr">
        <is>
          <t>2025/D31000/006-013/00299</t>
        </is>
      </c>
      <c r="K1764" s="2" t="inlineStr">
        <is>
          <t>Abierto simplificado</t>
        </is>
      </c>
      <c r="L1764" s="6" t="n">
        <v>2</v>
      </c>
      <c r="M1764" s="2" t="n"/>
      <c r="N1764" s="7" t="n">
        <v>0.25</v>
      </c>
      <c r="O1764" s="4" t="n"/>
      <c r="P1764" s="2" t="inlineStr">
        <is>
          <t>45233222</t>
        </is>
      </c>
      <c r="Q1764" s="8" t="inlineStr">
        <is>
          <t>Ver</t>
        </is>
      </c>
      <c r="R1764" s="8" t="inlineStr">
        <is>
          <t>PCAP</t>
        </is>
      </c>
      <c r="S1764" s="9" t="n">
        <v>46310</v>
      </c>
      <c r="T1764" s="3" t="n">
        <v>46308.36511574074</v>
      </c>
      <c r="U1764" s="2" t="n"/>
    </row>
    <row r="1765">
      <c r="A1765" s="2" t="inlineStr">
        <is>
          <t>Pendiente de adjudicación</t>
        </is>
      </c>
      <c r="B1765" s="3" t="n">
        <v>46293.99930555555</v>
      </c>
      <c r="C1765" s="5" t="n">
        <v>185950.41</v>
      </c>
      <c r="D1765" s="5" t="n">
        <v>185950.41</v>
      </c>
      <c r="E1765" s="2" t="inlineStr">
        <is>
          <t>Andalucía</t>
        </is>
      </c>
      <c r="F1765" s="2" t="inlineStr">
        <is>
          <t>Almería</t>
        </is>
      </c>
      <c r="G1765" s="2" t="n"/>
      <c r="H1765" s="2" t="inlineStr">
        <is>
          <t>Junta de Gobierno de la Diputación Provincial de Almería</t>
        </is>
      </c>
      <c r="I1765" s="2" t="inlineStr">
        <is>
          <t>Construcción De Local Para Farmacia En Benizalón 48PPOS24-27BII</t>
        </is>
      </c>
      <c r="J1765" s="2" t="inlineStr">
        <is>
          <t>2025/D31000/006-013/00219</t>
        </is>
      </c>
      <c r="K1765" s="2" t="inlineStr">
        <is>
          <t>Abierto simplificado</t>
        </is>
      </c>
      <c r="L1765" s="6" t="n">
        <v>12.2</v>
      </c>
      <c r="M1765" s="2" t="n"/>
      <c r="N1765" s="7" t="n">
        <v>0.25</v>
      </c>
      <c r="O1765" s="4" t="n"/>
      <c r="P1765" s="2" t="inlineStr">
        <is>
          <t>45210000</t>
        </is>
      </c>
      <c r="Q1765" s="8" t="inlineStr">
        <is>
          <t>Ver</t>
        </is>
      </c>
      <c r="R1765" s="8" t="inlineStr">
        <is>
          <t>PCAP</t>
        </is>
      </c>
      <c r="S1765" s="9" t="n">
        <v>46310</v>
      </c>
      <c r="T1765" s="3" t="n">
        <v>46308.36445601852</v>
      </c>
      <c r="U1765" s="2" t="n"/>
    </row>
    <row r="1766">
      <c r="A1766" s="2" t="inlineStr">
        <is>
          <t>Pendiente de adjudicación</t>
        </is>
      </c>
      <c r="B1766" s="3" t="n">
        <v>46295.99930555555</v>
      </c>
      <c r="C1766" s="5" t="n">
        <v>57851.24</v>
      </c>
      <c r="D1766" s="5" t="n">
        <v>57851.24</v>
      </c>
      <c r="E1766" s="2" t="inlineStr">
        <is>
          <t>Andalucía</t>
        </is>
      </c>
      <c r="F1766" s="2" t="inlineStr">
        <is>
          <t>Almería</t>
        </is>
      </c>
      <c r="G1766" s="2" t="n"/>
      <c r="H1766" s="2" t="inlineStr">
        <is>
          <t>Junta de Gobierno de la Diputación Provincial de Almería</t>
        </is>
      </c>
      <c r="I1766" s="2" t="inlineStr">
        <is>
          <t>Reparación De Daños En Puente Sobre El Río Andarax. T.m. De Rioja. 6PG2026</t>
        </is>
      </c>
      <c r="J1766" s="2" t="inlineStr">
        <is>
          <t>2026/D31000/006-013/00016</t>
        </is>
      </c>
      <c r="K1766" s="2" t="inlineStr">
        <is>
          <t>Abierto simplificado</t>
        </is>
      </c>
      <c r="L1766" s="6" t="n">
        <v>3</v>
      </c>
      <c r="M1766" s="2" t="n"/>
      <c r="N1766" s="7" t="n">
        <v>0</v>
      </c>
      <c r="O1766" s="4" t="n"/>
      <c r="P1766" s="2" t="inlineStr">
        <is>
          <t>45233220</t>
        </is>
      </c>
      <c r="Q1766" s="8" t="inlineStr">
        <is>
          <t>Ver</t>
        </is>
      </c>
      <c r="R1766" s="8" t="inlineStr">
        <is>
          <t>PCAP</t>
        </is>
      </c>
      <c r="S1766" s="9" t="n">
        <v>46310</v>
      </c>
      <c r="T1766" s="3" t="n">
        <v>46308.36280092593</v>
      </c>
      <c r="U1766" s="2" t="n"/>
    </row>
    <row r="1767">
      <c r="A1767" s="2" t="inlineStr">
        <is>
          <t>Resuelta</t>
        </is>
      </c>
      <c r="B1767" s="3" t="n">
        <v>45905.75</v>
      </c>
      <c r="C1767" s="5" t="n">
        <v>1306985.35</v>
      </c>
      <c r="D1767" s="5" t="n">
        <v>1568382.42</v>
      </c>
      <c r="E1767" s="2" t="inlineStr">
        <is>
          <t>Andalucía</t>
        </is>
      </c>
      <c r="F1767" s="2" t="inlineStr">
        <is>
          <t>Málaga</t>
        </is>
      </c>
      <c r="G1767" s="2" t="n"/>
      <c r="H1767" s="2" t="inlineStr">
        <is>
          <t>Consejero Delegado de la Empresa Municipal de Aguas de Málaga S.A.</t>
        </is>
      </c>
      <c r="I1767" s="2" t="inlineStr">
        <is>
          <t>Obras de Separación de redes en la calle Abogado Federico Orellana Toledano (Málaga) (Expdte Ingeniería: 108/2020)</t>
        </is>
      </c>
      <c r="J1767" s="2" t="inlineStr">
        <is>
          <t>25-522-4</t>
        </is>
      </c>
      <c r="K1767" s="2" t="inlineStr">
        <is>
          <t>Abierto</t>
        </is>
      </c>
      <c r="L1767" s="6" t="n">
        <v>11</v>
      </c>
      <c r="M1767" s="2" t="n"/>
      <c r="N1767" s="7" t="n">
        <v>0</v>
      </c>
      <c r="O1767" s="4" t="n"/>
      <c r="P1767" s="2" t="inlineStr">
        <is>
          <t>45000000</t>
        </is>
      </c>
      <c r="Q1767" s="8" t="inlineStr">
        <is>
          <t>Ver</t>
        </is>
      </c>
      <c r="R1767" s="8" t="inlineStr">
        <is>
          <t>PCAP</t>
        </is>
      </c>
      <c r="S1767" s="9" t="n">
        <v>46310</v>
      </c>
      <c r="T1767" s="3" t="n">
        <v>46308.35751157408</v>
      </c>
      <c r="U1767" s="2" t="n"/>
    </row>
    <row r="1768">
      <c r="A1768" s="2" t="inlineStr">
        <is>
          <t>Resuelta</t>
        </is>
      </c>
      <c r="B1768" s="3" t="n">
        <v>46037.99930555555</v>
      </c>
      <c r="C1768" s="5" t="n">
        <v>49586.78</v>
      </c>
      <c r="D1768" s="5" t="n">
        <v>49586.78</v>
      </c>
      <c r="E1768" s="2" t="inlineStr">
        <is>
          <t>Comunitat Valenciana</t>
        </is>
      </c>
      <c r="F1768" s="2" t="inlineStr">
        <is>
          <t>Alicante</t>
        </is>
      </c>
      <c r="G1768" s="2" t="n"/>
      <c r="H1768" s="2" t="inlineStr">
        <is>
          <t>Presidencia de la Diputación Provincial de Alicante</t>
        </is>
      </c>
      <c r="I1768" s="2" t="inlineStr">
        <is>
          <t>Obras de adecuación y mejora de área infantil en la plaza Juan Pablo II, en el municipio de Daya Vieja.</t>
        </is>
      </c>
      <c r="J1768" s="2" t="inlineStr">
        <is>
          <t>O4S-249/2025</t>
        </is>
      </c>
      <c r="K1768" s="2" t="inlineStr">
        <is>
          <t>Abierto simplificado</t>
        </is>
      </c>
      <c r="L1768" s="6" t="n">
        <v>2</v>
      </c>
      <c r="M1768" s="2" t="n"/>
      <c r="N1768" s="7" t="n">
        <v>0</v>
      </c>
      <c r="O1768" s="4" t="n"/>
      <c r="P1768" s="2" t="inlineStr">
        <is>
          <t>45112700</t>
        </is>
      </c>
      <c r="Q1768" s="8" t="inlineStr">
        <is>
          <t>Ver</t>
        </is>
      </c>
      <c r="R1768" s="8" t="inlineStr">
        <is>
          <t>PCAP</t>
        </is>
      </c>
      <c r="S1768" s="9" t="n">
        <v>46310</v>
      </c>
      <c r="T1768" s="3" t="n">
        <v>46308.35675925926</v>
      </c>
      <c r="U1768" s="2" t="n"/>
    </row>
    <row r="1769">
      <c r="A1769" s="2" t="inlineStr">
        <is>
          <t>Pendiente de adjudicación</t>
        </is>
      </c>
      <c r="B1769" s="3" t="n">
        <v>46286.72916666666</v>
      </c>
      <c r="C1769" s="5" t="n">
        <v>3300525.62</v>
      </c>
      <c r="D1769" s="5" t="n">
        <v>3300525.62</v>
      </c>
      <c r="E1769" s="2" t="inlineStr">
        <is>
          <t>Andalucía</t>
        </is>
      </c>
      <c r="F1769" s="2" t="inlineStr">
        <is>
          <t>Granada</t>
        </is>
      </c>
      <c r="G1769" s="2" t="n"/>
      <c r="H1769" s="2" t="inlineStr">
        <is>
          <t>Junta de Gobierno del Ayuntamiento de Granada</t>
        </is>
      </c>
      <c r="I1769" s="2" t="inlineStr">
        <is>
          <t>Contrato de obras de elaboración de proyecto y ejecución de las obras de adaptación climática de espacios exteriores (Plan de Actuación Integrado Granada Cohesión Conexión 2030)</t>
        </is>
      </c>
      <c r="J1769" s="2" t="inlineStr">
        <is>
          <t>OBR-2026000100</t>
        </is>
      </c>
      <c r="K1769" s="2" t="inlineStr">
        <is>
          <t>Abierto</t>
        </is>
      </c>
      <c r="L1769" s="6" t="n">
        <v>10</v>
      </c>
      <c r="M1769" s="2" t="n"/>
      <c r="N1769" s="7" t="n">
        <v>0.27</v>
      </c>
      <c r="O1769" s="4" t="n">
        <v>2</v>
      </c>
      <c r="P1769" s="2" t="inlineStr">
        <is>
          <t>45223210; 45223110; 45212190; 45233250; 45233251; 45330000; 45232120; 71242000; 71240000; 45112710; 45223100</t>
        </is>
      </c>
      <c r="Q1769" s="8" t="inlineStr">
        <is>
          <t>Ver</t>
        </is>
      </c>
      <c r="R1769" s="8" t="inlineStr">
        <is>
          <t>PCAP</t>
        </is>
      </c>
      <c r="S1769" s="9" t="n">
        <v>46310</v>
      </c>
      <c r="T1769" s="3" t="n">
        <v>46308.35216435185</v>
      </c>
      <c r="U1769" s="2" t="n"/>
    </row>
    <row r="1770">
      <c r="A1770" s="2" t="inlineStr">
        <is>
          <t>Resuelta</t>
        </is>
      </c>
      <c r="B1770" s="3" t="n">
        <v>45950.99930555555</v>
      </c>
      <c r="C1770" s="5" t="n">
        <v>349637.49</v>
      </c>
      <c r="D1770" s="5" t="n">
        <v>349637.49</v>
      </c>
      <c r="E1770" s="2" t="inlineStr">
        <is>
          <t>Andalucía</t>
        </is>
      </c>
      <c r="F1770" s="2" t="inlineStr">
        <is>
          <t>Málaga</t>
        </is>
      </c>
      <c r="G1770" s="2" t="inlineStr">
        <is>
          <t>Villanueva de Algaidas (Málaga)</t>
        </is>
      </c>
      <c r="H1770" s="2" t="inlineStr">
        <is>
          <t>Alcaldía del Ayuntamiento de Villanueva de Algaidas</t>
        </is>
      </c>
      <c r="I1770" s="2" t="inlineStr">
        <is>
          <t>Remodelación calle Archidona. Tramo 5</t>
        </is>
      </c>
      <c r="J1770" s="2" t="inlineStr">
        <is>
          <t>937/2024</t>
        </is>
      </c>
      <c r="K1770" s="2" t="inlineStr">
        <is>
          <t>Abierto simplificado</t>
        </is>
      </c>
      <c r="L1770" s="6" t="n">
        <v>5</v>
      </c>
      <c r="M1770" s="2" t="n"/>
      <c r="N1770" s="7" t="n">
        <v>0</v>
      </c>
      <c r="O1770" s="4" t="n"/>
      <c r="P1770" s="2" t="inlineStr">
        <is>
          <t>45232410; 45233200</t>
        </is>
      </c>
      <c r="Q1770" s="8" t="inlineStr">
        <is>
          <t>Ver</t>
        </is>
      </c>
      <c r="R1770" s="8" t="inlineStr">
        <is>
          <t>PCAP</t>
        </is>
      </c>
      <c r="S1770" s="9" t="n">
        <v>46310</v>
      </c>
      <c r="T1770" s="3" t="n">
        <v>46308.35211805555</v>
      </c>
      <c r="U1770" s="2" t="n"/>
    </row>
    <row r="1771">
      <c r="A1771" s="2" t="inlineStr">
        <is>
          <t>Resuelta</t>
        </is>
      </c>
      <c r="B1771" s="3" t="n">
        <v>46247.99930555555</v>
      </c>
      <c r="C1771" s="5" t="n">
        <v>82639.3</v>
      </c>
      <c r="D1771" s="5" t="n">
        <v>82639.3</v>
      </c>
      <c r="E1771" s="2" t="inlineStr">
        <is>
          <t>Andalucía</t>
        </is>
      </c>
      <c r="F1771" s="2" t="inlineStr">
        <is>
          <t>Jaén</t>
        </is>
      </c>
      <c r="G1771" s="2" t="inlineStr">
        <is>
          <t>Canena</t>
        </is>
      </c>
      <c r="H1771" s="2" t="inlineStr">
        <is>
          <t>Alcaldía del Ayuntamiento de Canena</t>
        </is>
      </c>
      <c r="I1771" s="2" t="inlineStr">
        <is>
          <t>Actuación de emergencia en la red de saneamiento en esquina calle Altozano y calle Iglesia, Canena (Jaén)</t>
        </is>
      </c>
      <c r="J1771" s="2" t="inlineStr">
        <is>
          <t>190/2026</t>
        </is>
      </c>
      <c r="K1771" s="2" t="inlineStr">
        <is>
          <t>Abierto simplificado</t>
        </is>
      </c>
      <c r="L1771" s="6" t="n">
        <v>3</v>
      </c>
      <c r="M1771" s="2" t="n"/>
      <c r="N1771" s="7" t="n">
        <v>0</v>
      </c>
      <c r="O1771" s="4" t="n"/>
      <c r="P1771" s="2" t="inlineStr">
        <is>
          <t>45231300</t>
        </is>
      </c>
      <c r="Q1771" s="8" t="inlineStr">
        <is>
          <t>Ver</t>
        </is>
      </c>
      <c r="R1771" s="8" t="inlineStr">
        <is>
          <t>PCAP</t>
        </is>
      </c>
      <c r="S1771" s="9" t="n">
        <v>46310</v>
      </c>
      <c r="T1771" s="3" t="n">
        <v>46308.34502314815</v>
      </c>
      <c r="U1771" s="2" t="n"/>
    </row>
    <row r="1772">
      <c r="A1772" s="2" t="inlineStr">
        <is>
          <t>Plazo vencido</t>
        </is>
      </c>
      <c r="B1772" s="3" t="n">
        <v>46321.99930555555</v>
      </c>
      <c r="C1772" s="5" t="n">
        <v>425420.9</v>
      </c>
      <c r="D1772" s="5" t="n">
        <v>425420.9</v>
      </c>
      <c r="E1772" s="2" t="inlineStr">
        <is>
          <t>Comunitat Valenciana</t>
        </is>
      </c>
      <c r="F1772" s="2" t="inlineStr">
        <is>
          <t>Valencia</t>
        </is>
      </c>
      <c r="G1772" s="2" t="inlineStr">
        <is>
          <t>Bétera</t>
        </is>
      </c>
      <c r="H1772" s="2" t="inlineStr">
        <is>
          <t>Junta de Gobierno del Ayuntamiento de Bétera</t>
        </is>
      </c>
      <c r="I1772" s="2" t="inlineStr">
        <is>
          <t>Construcción y puesta en servicio de una planta de carbón activo en uno de los pozos de abastecimiento de agua de consumo de Bétera</t>
        </is>
      </c>
      <c r="J1772" s="2" t="inlineStr">
        <is>
          <t>495/2026</t>
        </is>
      </c>
      <c r="K1772" s="2" t="inlineStr">
        <is>
          <t>Abierto simplificado</t>
        </is>
      </c>
      <c r="L1772" s="6" t="n">
        <v>4</v>
      </c>
      <c r="M1772" s="2" t="inlineStr">
        <is>
          <t>K8-3</t>
        </is>
      </c>
      <c r="N1772" s="7" t="n">
        <v>0.25</v>
      </c>
      <c r="O1772" s="4" t="n"/>
      <c r="P1772" s="2" t="inlineStr">
        <is>
          <t>45252126</t>
        </is>
      </c>
      <c r="Q1772" s="8" t="inlineStr">
        <is>
          <t>Ver</t>
        </is>
      </c>
      <c r="R1772" s="8" t="inlineStr">
        <is>
          <t>PCAP</t>
        </is>
      </c>
      <c r="S1772" s="9" t="n">
        <v>46310</v>
      </c>
      <c r="T1772" s="3" t="n">
        <v>46308.32517361111</v>
      </c>
      <c r="U1772" s="2" t="n"/>
    </row>
    <row r="1773">
      <c r="A1773" s="2" t="inlineStr">
        <is>
          <t>Resuelta</t>
        </is>
      </c>
      <c r="B1773" s="3" t="n">
        <v>46269.99930555555</v>
      </c>
      <c r="C1773" s="5" t="n">
        <v>99153.17999999999</v>
      </c>
      <c r="D1773" s="5" t="n">
        <v>99153.17999999999</v>
      </c>
      <c r="E1773" s="2" t="inlineStr">
        <is>
          <t>Comunitat Valenciana</t>
        </is>
      </c>
      <c r="F1773" s="2" t="inlineStr">
        <is>
          <t>Valencia</t>
        </is>
      </c>
      <c r="G1773" s="2" t="n"/>
      <c r="H1773" s="2" t="inlineStr">
        <is>
          <t>Alcaldía del Ayuntamiento de Alginet</t>
        </is>
      </c>
      <c r="I1773" s="2" t="inlineStr">
        <is>
          <t>Obras para la creación de espacios lúdicos en parque Sant Josep, Parque Hort de Feliu y Ronda Pintor José Espert - calle de la Belenguera.</t>
        </is>
      </c>
      <c r="J1773" s="2" t="inlineStr">
        <is>
          <t>2885075Z</t>
        </is>
      </c>
      <c r="K1773" s="2" t="inlineStr">
        <is>
          <t>Abierto simplificado</t>
        </is>
      </c>
      <c r="L1773" s="6" t="n">
        <v>6</v>
      </c>
      <c r="M1773" s="2" t="n"/>
      <c r="N1773" s="7" t="n">
        <v>0</v>
      </c>
      <c r="O1773" s="4" t="n"/>
      <c r="P1773" s="2" t="inlineStr">
        <is>
          <t>45236210; 45112723; 43325000</t>
        </is>
      </c>
      <c r="Q1773" s="8" t="inlineStr">
        <is>
          <t>Ver</t>
        </is>
      </c>
      <c r="R1773" s="8" t="inlineStr">
        <is>
          <t>PCAP</t>
        </is>
      </c>
      <c r="S1773" s="9" t="n">
        <v>46310</v>
      </c>
      <c r="T1773" s="3" t="n">
        <v>46308.29914351852</v>
      </c>
      <c r="U1773" s="2" t="n"/>
    </row>
    <row r="1774">
      <c r="A1774" s="2" t="inlineStr">
        <is>
          <t>Resuelta</t>
        </is>
      </c>
      <c r="B1774" s="3" t="n">
        <v>46237.79166666666</v>
      </c>
      <c r="C1774" s="5" t="n">
        <v>493301.67</v>
      </c>
      <c r="D1774" s="5" t="n">
        <v>493301.67</v>
      </c>
      <c r="E1774" s="2" t="inlineStr">
        <is>
          <t>Andalucía</t>
        </is>
      </c>
      <c r="F1774" s="2" t="inlineStr">
        <is>
          <t>Jaén</t>
        </is>
      </c>
      <c r="G1774" s="2" t="n"/>
      <c r="H1774" s="2" t="inlineStr">
        <is>
          <t>Alcaldía del Ayuntamiento de Jaén</t>
        </is>
      </c>
      <c r="I1774" s="2" t="inlineStr">
        <is>
          <t>Contratación de las obras de reparación de cubiertas del pabellón principal de la Salobreja</t>
        </is>
      </c>
      <c r="J1774" s="2" t="inlineStr">
        <is>
          <t>2026000050</t>
        </is>
      </c>
      <c r="K1774" s="2" t="inlineStr">
        <is>
          <t>Abierto</t>
        </is>
      </c>
      <c r="L1774" s="6" t="n">
        <v>3</v>
      </c>
      <c r="M1774" s="2" t="n"/>
      <c r="N1774" s="7" t="n">
        <v>0.4</v>
      </c>
      <c r="O1774" s="4" t="n"/>
      <c r="P1774" s="2" t="inlineStr">
        <is>
          <t>45261900</t>
        </is>
      </c>
      <c r="Q1774" s="8" t="inlineStr">
        <is>
          <t>Ver</t>
        </is>
      </c>
      <c r="R1774" s="8" t="inlineStr">
        <is>
          <t>PCAP</t>
        </is>
      </c>
      <c r="S1774" s="9" t="n">
        <v>46310</v>
      </c>
      <c r="T1774" s="3" t="n">
        <v>46306.48440972222</v>
      </c>
      <c r="U1774" s="2" t="n"/>
    </row>
    <row r="1775">
      <c r="A1775" s="2" t="inlineStr">
        <is>
          <t>Plazo vencido</t>
        </is>
      </c>
      <c r="B1775" s="3" t="n">
        <v>46311.75</v>
      </c>
      <c r="C1775" s="5" t="n">
        <v>20042739.4</v>
      </c>
      <c r="D1775" s="5" t="n">
        <v>20042739.4</v>
      </c>
      <c r="E1775" s="2" t="inlineStr">
        <is>
          <t>Andalucía</t>
        </is>
      </c>
      <c r="F1775" s="2" t="inlineStr">
        <is>
          <t>Almería</t>
        </is>
      </c>
      <c r="G1775" s="2" t="inlineStr">
        <is>
          <t>Almería</t>
        </is>
      </c>
      <c r="H1775" s="2" t="inlineStr">
        <is>
          <t>Presidencia de la Autoridad Portuaria de Almería</t>
        </is>
      </c>
      <c r="I1775" s="2" t="inlineStr">
        <is>
          <t>Actuaciones en el frente litoral en espacios Puerto-Ciudad de Almería</t>
        </is>
      </c>
      <c r="J1775" s="2" t="inlineStr">
        <is>
          <t>15/O/A/AL26</t>
        </is>
      </c>
      <c r="K1775" s="2" t="inlineStr">
        <is>
          <t>Abierto</t>
        </is>
      </c>
      <c r="L1775" s="6" t="n">
        <v>24</v>
      </c>
      <c r="M1775" s="2" t="inlineStr">
        <is>
          <t>G6-5</t>
        </is>
      </c>
      <c r="N1775" s="7" t="n">
        <v>0.45</v>
      </c>
      <c r="O1775" s="4" t="n"/>
      <c r="P1775" s="2" t="inlineStr">
        <is>
          <t>45233140; 45262311; 71351810; 45233200; 45211360; 45231400; 45231300; 45223810</t>
        </is>
      </c>
      <c r="Q1775" s="8" t="inlineStr">
        <is>
          <t>Ver</t>
        </is>
      </c>
      <c r="R1775" s="8" t="inlineStr">
        <is>
          <t>PCAP</t>
        </is>
      </c>
      <c r="S1775" s="9" t="n">
        <v>46310</v>
      </c>
      <c r="T1775" s="3" t="n">
        <v>46306.44572916667</v>
      </c>
      <c r="U1775" s="2" t="n"/>
    </row>
    <row r="1776">
      <c r="A1776" s="2" t="inlineStr">
        <is>
          <t>Resuelta</t>
        </is>
      </c>
      <c r="B1776" s="3" t="n">
        <v>46265.99930555555</v>
      </c>
      <c r="C1776" s="5" t="n">
        <v>179216.44</v>
      </c>
      <c r="D1776" s="5" t="n">
        <v>215059.73</v>
      </c>
      <c r="E1776" s="2" t="inlineStr">
        <is>
          <t>Andalucía</t>
        </is>
      </c>
      <c r="F1776" s="2" t="inlineStr">
        <is>
          <t>Sevilla</t>
        </is>
      </c>
      <c r="G1776" s="2" t="inlineStr">
        <is>
          <t>Carmona</t>
        </is>
      </c>
      <c r="H1776" s="2" t="inlineStr">
        <is>
          <t>Consejo de Administración de Limpieza y Mantenimiento de Carmona, S.L.U.</t>
        </is>
      </c>
      <c r="I1776" s="2" t="inlineStr">
        <is>
          <t>Obras de demolición de edificaciones en antiguo cine Rialto y adecuación de los espacios para establecimiento de zona de estacionamiento público</t>
        </is>
      </c>
      <c r="J1776" s="2" t="inlineStr">
        <is>
          <t>2026-L32</t>
        </is>
      </c>
      <c r="K1776" s="2" t="inlineStr">
        <is>
          <t>Abierto</t>
        </is>
      </c>
      <c r="L1776" s="6" t="n">
        <v>5</v>
      </c>
      <c r="M1776" s="2" t="n"/>
      <c r="N1776" s="7" t="n">
        <v>0.48</v>
      </c>
      <c r="O1776" s="4" t="n"/>
      <c r="P1776" s="2" t="inlineStr">
        <is>
          <t>45110000; 45111100; 45233120; 45215400</t>
        </is>
      </c>
      <c r="Q1776" s="8" t="inlineStr">
        <is>
          <t>Ver</t>
        </is>
      </c>
      <c r="R1776" s="8" t="inlineStr">
        <is>
          <t>PCAP</t>
        </is>
      </c>
      <c r="S1776" s="9" t="n">
        <v>46310</v>
      </c>
      <c r="T1776" s="3" t="n">
        <v>46305.51399305555</v>
      </c>
      <c r="U1776" s="2" t="n"/>
    </row>
    <row r="1777">
      <c r="A1777" s="2" t="inlineStr">
        <is>
          <t>Pendiente de adjudicación</t>
        </is>
      </c>
      <c r="B1777" s="3" t="n">
        <v>46320.99930555555</v>
      </c>
      <c r="C1777" s="5" t="n">
        <v>71557.14999999999</v>
      </c>
      <c r="D1777" s="5" t="n">
        <v>86584.14999999999</v>
      </c>
      <c r="E1777" s="2" t="inlineStr">
        <is>
          <t>Andalucía</t>
        </is>
      </c>
      <c r="F1777" s="2" t="inlineStr">
        <is>
          <t>Huelva</t>
        </is>
      </c>
      <c r="G1777" s="2" t="inlineStr">
        <is>
          <t>Arroyomolinos de Leon</t>
        </is>
      </c>
      <c r="H1777" s="2" t="inlineStr">
        <is>
          <t>Alcaldía del Ayuntamiento de Arroyomolinos de León</t>
        </is>
      </c>
      <c r="I1777" s="2" t="inlineStr">
        <is>
          <t>Obras de conservación, habitabilidad, mejora en materia de accesibilidad y eficiencia energética en edificio de tipología tradicional con uso de almacén para la implantación de casa de la mujer en Arroyomolinos de León</t>
        </is>
      </c>
      <c r="J1777" s="2" t="inlineStr">
        <is>
          <t>1/2026</t>
        </is>
      </c>
      <c r="K1777" s="2" t="inlineStr">
        <is>
          <t>Negociado sin publicidad</t>
        </is>
      </c>
      <c r="L1777" s="6" t="n">
        <v>1.5</v>
      </c>
      <c r="M1777" s="2" t="n"/>
      <c r="N1777" s="7" t="n">
        <v>0</v>
      </c>
      <c r="O1777" s="4" t="n"/>
      <c r="P1777" s="2" t="inlineStr">
        <is>
          <t>45200000</t>
        </is>
      </c>
      <c r="Q1777" s="8" t="inlineStr">
        <is>
          <t>Ver</t>
        </is>
      </c>
      <c r="R1777" s="8" t="inlineStr">
        <is>
          <t>PCAP</t>
        </is>
      </c>
      <c r="S1777" s="9" t="n">
        <v>46310</v>
      </c>
      <c r="T1777" s="3" t="n">
        <v>46305.42913194445</v>
      </c>
      <c r="U1777" s="2" t="n"/>
    </row>
    <row r="1778">
      <c r="A1778" s="2" t="inlineStr">
        <is>
          <t>En plazo</t>
        </is>
      </c>
      <c r="B1778" s="3" t="n">
        <v>46325.99930555555</v>
      </c>
      <c r="C1778" s="5" t="n">
        <v>220331.08</v>
      </c>
      <c r="D1778" s="5" t="n">
        <v>220331.08</v>
      </c>
      <c r="E1778" s="2" t="inlineStr">
        <is>
          <t>Andalucía</t>
        </is>
      </c>
      <c r="F1778" s="2" t="inlineStr">
        <is>
          <t>Sevilla</t>
        </is>
      </c>
      <c r="G1778" s="2" t="inlineStr">
        <is>
          <t>Alcalá de Guadaíra</t>
        </is>
      </c>
      <c r="H1778" s="2" t="inlineStr">
        <is>
          <t>Junta de Gobierno Local del Ayuntamiento de Alcalá de Guadaíra</t>
        </is>
      </c>
      <c r="I1778" s="2" t="inlineStr">
        <is>
          <t>obras adecuación de la infraestructura eléctrica de comunicaciones del parque empresarial las espaldillas asociada a la plataforma para la gestión de parques empresariales inteligentes de Alcalá de Guadaíra (C-2026/029)</t>
        </is>
      </c>
      <c r="J1778" s="2" t="inlineStr">
        <is>
          <t>694/2026</t>
        </is>
      </c>
      <c r="K1778" s="2" t="inlineStr">
        <is>
          <t>Abierto simplificado</t>
        </is>
      </c>
      <c r="L1778" s="6" t="n">
        <v>4</v>
      </c>
      <c r="M1778" s="2" t="n"/>
      <c r="N1778" s="7" t="n">
        <v>0.25</v>
      </c>
      <c r="O1778" s="4" t="n"/>
      <c r="P1778" s="2" t="inlineStr">
        <is>
          <t>45314000; 45311000; 32400000; 32570000</t>
        </is>
      </c>
      <c r="Q1778" s="8" t="inlineStr">
        <is>
          <t>Ver</t>
        </is>
      </c>
      <c r="R1778" s="8" t="inlineStr">
        <is>
          <t>PCAP</t>
        </is>
      </c>
      <c r="S1778" s="9" t="n">
        <v>46310</v>
      </c>
      <c r="T1778" s="3" t="n">
        <v>46304.89554398148</v>
      </c>
      <c r="U1778" s="2" t="n"/>
    </row>
    <row r="1779">
      <c r="A1779" s="2" t="inlineStr">
        <is>
          <t>En plazo</t>
        </is>
      </c>
      <c r="B1779" s="3" t="n">
        <v>46330.99305555555</v>
      </c>
      <c r="C1779" s="5" t="n">
        <v>67725.88</v>
      </c>
      <c r="D1779" s="5" t="n">
        <v>67725.88</v>
      </c>
      <c r="E1779" s="2" t="inlineStr">
        <is>
          <t>Andalucía</t>
        </is>
      </c>
      <c r="F1779" s="2" t="inlineStr">
        <is>
          <t>Sevilla</t>
        </is>
      </c>
      <c r="G1779" s="2" t="n"/>
      <c r="H1779" s="2" t="inlineStr">
        <is>
          <t>Alcaldía del Ayuntamiento de Almadén de la Plata</t>
        </is>
      </c>
      <c r="I1779" s="2" t="inlineStr">
        <is>
          <t>Licitación "obras de implantación de farolas fotovoltaicas en entornos rurales del término municipal de Almadén de la Plata".</t>
        </is>
      </c>
      <c r="J1779" s="2" t="inlineStr">
        <is>
          <t>P4100900B-2026/000015-PAA</t>
        </is>
      </c>
      <c r="K1779" s="2" t="inlineStr">
        <is>
          <t>Abierto</t>
        </is>
      </c>
      <c r="L1779" s="6" t="n">
        <v>4</v>
      </c>
      <c r="M1779" s="2" t="n"/>
      <c r="N1779" s="7" t="n">
        <v>0.4</v>
      </c>
      <c r="O1779" s="4" t="n"/>
      <c r="P1779" s="2" t="inlineStr">
        <is>
          <t>45316100</t>
        </is>
      </c>
      <c r="Q1779" s="8" t="inlineStr">
        <is>
          <t>Ver</t>
        </is>
      </c>
      <c r="R1779" s="8" t="inlineStr">
        <is>
          <t>PCAP</t>
        </is>
      </c>
      <c r="S1779" s="9" t="n">
        <v>46310</v>
      </c>
      <c r="T1779" s="3" t="n">
        <v>46304.86631944445</v>
      </c>
      <c r="U1779" s="2" t="n"/>
    </row>
    <row r="1780">
      <c r="A1780" s="2" t="inlineStr">
        <is>
          <t>Pendiente de adjudicación</t>
        </is>
      </c>
      <c r="B1780" s="3" t="n">
        <v>46296.99930555555</v>
      </c>
      <c r="C1780" s="5" t="n">
        <v>104297.52</v>
      </c>
      <c r="D1780" s="5" t="n">
        <v>104297.52</v>
      </c>
      <c r="E1780" s="2" t="inlineStr">
        <is>
          <t>Andalucía</t>
        </is>
      </c>
      <c r="F1780" s="2" t="inlineStr">
        <is>
          <t>Granada</t>
        </is>
      </c>
      <c r="G1780" s="2" t="inlineStr">
        <is>
          <t>Acula</t>
        </is>
      </c>
      <c r="H1780" s="2" t="inlineStr">
        <is>
          <t>Alcaldía del Ayuntamiento de Ventas de Huelma</t>
        </is>
      </c>
      <c r="I1780" s="2" t="inlineStr">
        <is>
          <t>Actuaciones de renovación de redes de abastecimiento y saneamiento en viales a Acula (Pz. Constitucion) PPOYS 2026-2027: 2026/4/PPOYS-169/1</t>
        </is>
      </c>
      <c r="J1780" s="2" t="inlineStr">
        <is>
          <t>124/2025 N</t>
        </is>
      </c>
      <c r="K1780" s="2" t="inlineStr">
        <is>
          <t>Abierto simplificado</t>
        </is>
      </c>
      <c r="L1780" s="6" t="n">
        <v>4</v>
      </c>
      <c r="M1780" s="2" t="n"/>
      <c r="N1780" s="7" t="n">
        <v>0</v>
      </c>
      <c r="O1780" s="4" t="n"/>
      <c r="P1780" s="2" t="inlineStr">
        <is>
          <t>45233140; 45232410; 45233222; 45316100; 44162500; 45232200; 45232000</t>
        </is>
      </c>
      <c r="Q1780" s="8" t="inlineStr">
        <is>
          <t>Ver</t>
        </is>
      </c>
      <c r="R1780" s="8" t="inlineStr">
        <is>
          <t>PCAP</t>
        </is>
      </c>
      <c r="S1780" s="9" t="n">
        <v>46310</v>
      </c>
      <c r="T1780" s="3" t="n">
        <v>46304.7459837963</v>
      </c>
      <c r="U1780" s="2" t="n"/>
    </row>
    <row r="1781">
      <c r="A1781" s="2" t="inlineStr">
        <is>
          <t>En plazo</t>
        </is>
      </c>
      <c r="B1781" s="3" t="n">
        <v>46324.99930555555</v>
      </c>
      <c r="C1781" s="5" t="n">
        <v>122183.25</v>
      </c>
      <c r="D1781" s="5" t="n">
        <v>122183.25</v>
      </c>
      <c r="E1781" s="2" t="inlineStr">
        <is>
          <t>Andalucía</t>
        </is>
      </c>
      <c r="F1781" s="2" t="inlineStr">
        <is>
          <t>Huelva</t>
        </is>
      </c>
      <c r="G1781" s="2" t="inlineStr">
        <is>
          <t>BONARES</t>
        </is>
      </c>
      <c r="H1781" s="2" t="inlineStr">
        <is>
          <t>Alcaldia del Ayuntamiento de Bonares</t>
        </is>
      </c>
      <c r="I1781" s="2" t="inlineStr">
        <is>
          <t>Obras de asfaltado y triple tratamiento de caminos rurales. Año 2026.</t>
        </is>
      </c>
      <c r="J1781" s="2" t="inlineStr">
        <is>
          <t>4259/2026</t>
        </is>
      </c>
      <c r="K1781" s="2" t="inlineStr">
        <is>
          <t>Abierto simplificado</t>
        </is>
      </c>
      <c r="L1781" s="6" t="n">
        <v>6</v>
      </c>
      <c r="M1781" s="2" t="n"/>
      <c r="N1781" s="7" t="n">
        <v>0</v>
      </c>
      <c r="O1781" s="4" t="n"/>
      <c r="P1781" s="2" t="inlineStr">
        <is>
          <t>45233222</t>
        </is>
      </c>
      <c r="Q1781" s="8" t="inlineStr">
        <is>
          <t>Ver</t>
        </is>
      </c>
      <c r="R1781" s="8" t="inlineStr">
        <is>
          <t>PCAP</t>
        </is>
      </c>
      <c r="S1781" s="9" t="n">
        <v>46310</v>
      </c>
      <c r="T1781" s="3" t="n">
        <v>46304.7455787037</v>
      </c>
      <c r="U1781" s="2" t="n"/>
    </row>
    <row r="1782">
      <c r="A1782" s="2" t="inlineStr">
        <is>
          <t>En plazo</t>
        </is>
      </c>
      <c r="B1782" s="3" t="n">
        <v>46337.58333333334</v>
      </c>
      <c r="C1782" s="5" t="n">
        <v>238677.73</v>
      </c>
      <c r="D1782" s="5" t="n">
        <v>238677.73</v>
      </c>
      <c r="E1782" s="2" t="inlineStr">
        <is>
          <t>Andalucía</t>
        </is>
      </c>
      <c r="F1782" s="2" t="inlineStr">
        <is>
          <t>Sevilla</t>
        </is>
      </c>
      <c r="G1782" s="2" t="inlineStr">
        <is>
          <t>Sevilla</t>
        </is>
      </c>
      <c r="H1782" s="2" t="inlineStr">
        <is>
          <t>Compras de la Corporación de Radio y Televisión Española S.A.</t>
        </is>
      </c>
      <c r="I1782" s="2" t="inlineStr">
        <is>
          <t>Sustitución ascensores CPP RTVE Andalucía en Sevilla</t>
        </is>
      </c>
      <c r="J1782" s="2" t="inlineStr">
        <is>
          <t>S-04054-2026</t>
        </is>
      </c>
      <c r="K1782" s="2" t="inlineStr">
        <is>
          <t>Abierto</t>
        </is>
      </c>
      <c r="L1782" s="6" t="n">
        <v>5</v>
      </c>
      <c r="M1782" s="2" t="n"/>
      <c r="N1782" s="7" t="n">
        <v>0.4</v>
      </c>
      <c r="O1782" s="4" t="n"/>
      <c r="P1782" s="2" t="inlineStr">
        <is>
          <t>45313100; 45313000</t>
        </is>
      </c>
      <c r="Q1782" s="8" t="inlineStr">
        <is>
          <t>Ver</t>
        </is>
      </c>
      <c r="R1782" s="8" t="inlineStr">
        <is>
          <t>PCAP</t>
        </is>
      </c>
      <c r="S1782" s="9" t="n">
        <v>46310</v>
      </c>
      <c r="T1782" s="3" t="n">
        <v>46304.70791666667</v>
      </c>
      <c r="U1782" s="2" t="n"/>
    </row>
    <row r="1783">
      <c r="A1783" s="2" t="inlineStr">
        <is>
          <t>Pendiente de adjudicación</t>
        </is>
      </c>
      <c r="B1783" s="3" t="n">
        <v>46268.45833333334</v>
      </c>
      <c r="C1783" s="5" t="n">
        <v>948799.2</v>
      </c>
      <c r="D1783" s="5" t="n">
        <v>948799.2</v>
      </c>
      <c r="E1783" s="2" t="inlineStr">
        <is>
          <t>Andalucía</t>
        </is>
      </c>
      <c r="F1783" s="2" t="inlineStr">
        <is>
          <t>Granada</t>
        </is>
      </c>
      <c r="G1783" s="2" t="n"/>
      <c r="H1783" s="2" t="inlineStr">
        <is>
          <t>ADIF Alta Velocidad - Presidencia</t>
        </is>
      </c>
      <c r="I1783" s="2" t="inlineStr">
        <is>
          <t>Obras de ejecución del proyecto de estabilización de taludes mediante colocación de malla en terraplenes del entorno de la subestación electrica de Íllora de la L.A.V Antequera-Granada sin afecciones a la circulación</t>
        </is>
      </c>
      <c r="J1783" s="2" t="inlineStr">
        <is>
          <t>3.26/20810.0067</t>
        </is>
      </c>
      <c r="K1783" s="2" t="inlineStr">
        <is>
          <t>Abierto</t>
        </is>
      </c>
      <c r="L1783" s="6" t="n">
        <v>6</v>
      </c>
      <c r="M1783" s="2" t="inlineStr">
        <is>
          <t>A2-4</t>
        </is>
      </c>
      <c r="N1783" s="7" t="n">
        <v>0</v>
      </c>
      <c r="O1783" s="4" t="n"/>
      <c r="P1783" s="2" t="inlineStr">
        <is>
          <t>45111200</t>
        </is>
      </c>
      <c r="Q1783" s="8" t="inlineStr">
        <is>
          <t>Ver</t>
        </is>
      </c>
      <c r="R1783" s="8" t="inlineStr">
        <is>
          <t>PCAP</t>
        </is>
      </c>
      <c r="S1783" s="9" t="n">
        <v>46310</v>
      </c>
      <c r="T1783" s="3" t="n">
        <v>46304.61934027778</v>
      </c>
      <c r="U1783" s="2" t="n"/>
    </row>
    <row r="1784">
      <c r="A1784" s="2" t="inlineStr">
        <is>
          <t>En plazo</t>
        </is>
      </c>
      <c r="B1784" s="3" t="n">
        <v>46324.99930555555</v>
      </c>
      <c r="C1784" s="5" t="n">
        <v>60942.13</v>
      </c>
      <c r="D1784" s="5" t="n">
        <v>60942.13</v>
      </c>
      <c r="E1784" s="2" t="inlineStr">
        <is>
          <t>Andalucía</t>
        </is>
      </c>
      <c r="F1784" s="2" t="inlineStr">
        <is>
          <t>Jaén</t>
        </is>
      </c>
      <c r="G1784" s="2" t="inlineStr">
        <is>
          <t>QUESADA</t>
        </is>
      </c>
      <c r="H1784" s="2" t="inlineStr">
        <is>
          <t>Alcaldia del Ayuntamiento de Quesada</t>
        </is>
      </c>
      <c r="I1784" s="2" t="inlineStr">
        <is>
          <t>Contratación obra: Reparación camino del Santo (Quesada)</t>
        </is>
      </c>
      <c r="J1784" s="2" t="inlineStr">
        <is>
          <t>1549/2026</t>
        </is>
      </c>
      <c r="K1784" s="2" t="inlineStr">
        <is>
          <t>Abierto</t>
        </is>
      </c>
      <c r="L1784" s="6" t="n">
        <v>2</v>
      </c>
      <c r="M1784" s="2" t="n"/>
      <c r="N1784" s="7" t="n">
        <v>0</v>
      </c>
      <c r="O1784" s="4" t="n"/>
      <c r="P1784" s="2" t="inlineStr">
        <is>
          <t>45233222; 45233160</t>
        </is>
      </c>
      <c r="Q1784" s="8" t="inlineStr">
        <is>
          <t>Ver</t>
        </is>
      </c>
      <c r="R1784" s="8" t="inlineStr">
        <is>
          <t>PCAP</t>
        </is>
      </c>
      <c r="S1784" s="9" t="n">
        <v>46310</v>
      </c>
      <c r="T1784" s="3" t="n">
        <v>46304.61648148148</v>
      </c>
      <c r="U1784" s="2" t="n"/>
    </row>
    <row r="1785">
      <c r="A1785" s="2" t="inlineStr">
        <is>
          <t>Pendiente de adjudicación</t>
        </is>
      </c>
      <c r="B1785" s="3" t="n">
        <v>46279.99930555555</v>
      </c>
      <c r="C1785" s="5" t="n">
        <v>495867.77</v>
      </c>
      <c r="D1785" s="5" t="n">
        <v>495867.77</v>
      </c>
      <c r="E1785" s="2" t="inlineStr">
        <is>
          <t>Andalucía</t>
        </is>
      </c>
      <c r="F1785" s="2" t="inlineStr">
        <is>
          <t>Granada</t>
        </is>
      </c>
      <c r="G1785" s="2" t="n"/>
      <c r="H1785" s="2" t="inlineStr">
        <is>
          <t>Junta de Gobierno del Ayuntamiento de Armilla</t>
        </is>
      </c>
      <c r="I1785" s="2" t="inlineStr">
        <is>
          <t>Ejecución de las obras de renovación e instalación de elementos recreativos infantiles en parques municipales de Armilla.</t>
        </is>
      </c>
      <c r="J1785" s="2" t="inlineStr">
        <is>
          <t>2026-7803</t>
        </is>
      </c>
      <c r="K1785" s="2" t="inlineStr">
        <is>
          <t>Abierto simplificado</t>
        </is>
      </c>
      <c r="L1785" s="6" t="n">
        <v>1</v>
      </c>
      <c r="M1785" s="2" t="n"/>
      <c r="N1785" s="7" t="n">
        <v>0</v>
      </c>
      <c r="O1785" s="4" t="n">
        <v>5</v>
      </c>
      <c r="P1785" s="2" t="inlineStr">
        <is>
          <t>45212140; 45212100</t>
        </is>
      </c>
      <c r="Q1785" s="8" t="inlineStr">
        <is>
          <t>Ver</t>
        </is>
      </c>
      <c r="R1785" s="8" t="inlineStr">
        <is>
          <t>PCAP</t>
        </is>
      </c>
      <c r="S1785" s="9" t="n">
        <v>46310</v>
      </c>
      <c r="T1785" s="3" t="n">
        <v>46304.60900462963</v>
      </c>
      <c r="U1785" s="2" t="n"/>
    </row>
    <row r="1786">
      <c r="A1786" s="2" t="inlineStr">
        <is>
          <t>Adjudicada</t>
        </is>
      </c>
      <c r="B1786" s="3" t="n">
        <v>46244.99930555555</v>
      </c>
      <c r="C1786" s="5" t="n">
        <v>1487603.31</v>
      </c>
      <c r="D1786" s="5" t="n">
        <v>1487603.31</v>
      </c>
      <c r="E1786" s="2" t="inlineStr">
        <is>
          <t>Andalucía</t>
        </is>
      </c>
      <c r="F1786" s="2" t="inlineStr">
        <is>
          <t>Granada</t>
        </is>
      </c>
      <c r="G1786" s="2" t="n"/>
      <c r="H1786" s="2" t="inlineStr">
        <is>
          <t>Alcaldía del Ayuntamiento de Las Gabias</t>
        </is>
      </c>
      <c r="I1786" s="2" t="inlineStr">
        <is>
          <t>Ejecución de la obra definida en el proyecto de ampliación del vial de Carlos Cano.</t>
        </is>
      </c>
      <c r="J1786" s="2" t="inlineStr">
        <is>
          <t>100/2026</t>
        </is>
      </c>
      <c r="K1786" s="2" t="inlineStr">
        <is>
          <t>Abierto simplificado</t>
        </is>
      </c>
      <c r="L1786" s="6" t="n">
        <v>11</v>
      </c>
      <c r="M1786" s="2" t="n"/>
      <c r="N1786" s="7" t="n">
        <v>0</v>
      </c>
      <c r="O1786" s="4" t="n"/>
      <c r="P1786" s="2" t="inlineStr">
        <is>
          <t>45112000; 45233122; 45233253; 45233128</t>
        </is>
      </c>
      <c r="Q1786" s="8" t="inlineStr">
        <is>
          <t>Ver</t>
        </is>
      </c>
      <c r="R1786" s="8" t="inlineStr">
        <is>
          <t>PCAP</t>
        </is>
      </c>
      <c r="S1786" s="9" t="n">
        <v>46310</v>
      </c>
      <c r="T1786" s="3" t="n">
        <v>46304.60699074074</v>
      </c>
      <c r="U1786" s="2" t="n"/>
    </row>
    <row r="1787">
      <c r="A1787" s="2" t="inlineStr">
        <is>
          <t>Plazo vencido</t>
        </is>
      </c>
      <c r="B1787" s="3" t="n">
        <v>46321.625</v>
      </c>
      <c r="C1787" s="5" t="n">
        <v>76946.25999999999</v>
      </c>
      <c r="D1787" s="5" t="n">
        <v>76946.25999999999</v>
      </c>
      <c r="E1787" s="2" t="inlineStr">
        <is>
          <t>Andalucía</t>
        </is>
      </c>
      <c r="F1787" s="2" t="inlineStr">
        <is>
          <t>Córdoba</t>
        </is>
      </c>
      <c r="G1787" s="2" t="n"/>
      <c r="H1787" s="2" t="inlineStr">
        <is>
          <t>TGSS-Dirección provincial de Córdoba</t>
        </is>
      </c>
      <c r="I1787" s="2" t="inlineStr">
        <is>
          <t>Obras de adecuación y mejora de la sala de subastas de la sede de la Dirección Provincial de la Tesorería General de la Seguridad Social de Córdoba, sita en Ronda de los Tejares, 23-25.</t>
        </is>
      </c>
      <c r="J1787" s="2" t="inlineStr">
        <is>
          <t>2026/140155</t>
        </is>
      </c>
      <c r="K1787" s="2" t="inlineStr">
        <is>
          <t>Abierto simplificado</t>
        </is>
      </c>
      <c r="L1787" s="6" t="n">
        <v>2</v>
      </c>
      <c r="M1787" s="2" t="n"/>
      <c r="N1787" s="7" t="n">
        <v>0</v>
      </c>
      <c r="O1787" s="4" t="n"/>
      <c r="P1787" s="2" t="inlineStr">
        <is>
          <t>45453100; 45310000</t>
        </is>
      </c>
      <c r="Q1787" s="8" t="inlineStr">
        <is>
          <t>Ver</t>
        </is>
      </c>
      <c r="R1787" s="8" t="inlineStr">
        <is>
          <t>PCAP</t>
        </is>
      </c>
      <c r="S1787" s="9" t="n">
        <v>46310</v>
      </c>
      <c r="T1787" s="3" t="n">
        <v>46304.59569444445</v>
      </c>
      <c r="U1787" s="2" t="n"/>
    </row>
    <row r="1788">
      <c r="A1788" s="2" t="inlineStr">
        <is>
          <t>Pendiente de adjudicación</t>
        </is>
      </c>
      <c r="B1788" s="3" t="n">
        <v>46211.99930555555</v>
      </c>
      <c r="C1788" s="5" t="n">
        <v>849986.51</v>
      </c>
      <c r="D1788" s="5" t="n">
        <v>849986.51</v>
      </c>
      <c r="E1788" s="2" t="inlineStr">
        <is>
          <t>Andalucía</t>
        </is>
      </c>
      <c r="F1788" s="2" t="inlineStr">
        <is>
          <t>Sevilla</t>
        </is>
      </c>
      <c r="G1788" s="2" t="inlineStr">
        <is>
          <t>Mairena del Aljarafe</t>
        </is>
      </c>
      <c r="H1788" s="2" t="inlineStr">
        <is>
          <t>Consejo de Gobierno de la Gerencia Municipal de Urbanismo del Ayuntamiento de Mairena del Aljarafe</t>
        </is>
      </c>
      <c r="I1788" s="2" t="inlineStr">
        <is>
          <t>Obras de firmes asfálticos 2025 de Mairena del Aljarafe</t>
        </is>
      </c>
      <c r="J1788" s="2" t="inlineStr">
        <is>
          <t>359/2026</t>
        </is>
      </c>
      <c r="K1788" s="2" t="inlineStr">
        <is>
          <t>Abierto simplificado</t>
        </is>
      </c>
      <c r="L1788" s="6" t="n">
        <v>3</v>
      </c>
      <c r="M1788" s="2" t="inlineStr">
        <is>
          <t>A*-4</t>
        </is>
      </c>
      <c r="N1788" s="7" t="n">
        <v>0</v>
      </c>
      <c r="O1788" s="4" t="n"/>
      <c r="P1788" s="2" t="inlineStr">
        <is>
          <t>45233252</t>
        </is>
      </c>
      <c r="Q1788" s="8" t="inlineStr">
        <is>
          <t>Ver</t>
        </is>
      </c>
      <c r="R1788" s="8" t="inlineStr">
        <is>
          <t>PCAP</t>
        </is>
      </c>
      <c r="S1788" s="9" t="n">
        <v>46310</v>
      </c>
      <c r="T1788" s="3" t="n">
        <v>46304.58962962963</v>
      </c>
      <c r="U1788" s="2" t="n"/>
    </row>
    <row r="1789">
      <c r="A1789" s="2" t="inlineStr">
        <is>
          <t>Resuelta</t>
        </is>
      </c>
      <c r="B1789" s="3" t="n"/>
      <c r="C1789" s="5" t="n">
        <v>7789045.65</v>
      </c>
      <c r="D1789" s="5" t="n">
        <v>9424745.24</v>
      </c>
      <c r="E1789" s="2" t="inlineStr">
        <is>
          <t>Andalucía</t>
        </is>
      </c>
      <c r="F1789" s="2" t="inlineStr">
        <is>
          <t>Granada</t>
        </is>
      </c>
      <c r="G1789" s="2" t="n"/>
      <c r="H1789" s="2" t="inlineStr">
        <is>
          <t>Demarcación de Carreteras del Estado en Andalucía Oriental</t>
        </is>
      </c>
      <c r="I1789" s="2" t="inlineStr">
        <is>
          <t>Reparación de daños localizados en el viaducto del barranco del Caballar en el P.K. 441+500 de la A-7, ampliación vanos 1 a 6 de la estructura. LOTE 1-AMPLIACIÓN. provincia de Almería</t>
        </is>
      </c>
      <c r="J1789" s="2" t="inlineStr">
        <is>
          <t>EM22-AL-04.L1. AMPLIACION</t>
        </is>
      </c>
      <c r="K1789" s="2" t="inlineStr">
        <is>
          <t>Negociado sin publicidad</t>
        </is>
      </c>
      <c r="L1789" s="6" t="n">
        <v>12</v>
      </c>
      <c r="M1789" s="2" t="n"/>
      <c r="N1789" s="7" t="n"/>
      <c r="O1789" s="4" t="n"/>
      <c r="P1789" s="2" t="inlineStr">
        <is>
          <t>45000000</t>
        </is>
      </c>
      <c r="Q1789" s="8" t="inlineStr">
        <is>
          <t>Ver</t>
        </is>
      </c>
      <c r="R1789" s="2" t="n"/>
      <c r="S1789" s="9" t="n">
        <v>46310</v>
      </c>
      <c r="T1789" s="3" t="n">
        <v>46304.58797453704</v>
      </c>
      <c r="U1789" s="2" t="n"/>
    </row>
    <row r="1790">
      <c r="A1790" s="2" t="inlineStr">
        <is>
          <t>Resuelta</t>
        </is>
      </c>
      <c r="B1790" s="3" t="n">
        <v>46282.58333333334</v>
      </c>
      <c r="C1790" s="5" t="n">
        <v>172972.66</v>
      </c>
      <c r="D1790" s="5" t="n">
        <v>172972.66</v>
      </c>
      <c r="E1790" s="2" t="inlineStr">
        <is>
          <t>Andalucía</t>
        </is>
      </c>
      <c r="F1790" s="2" t="inlineStr">
        <is>
          <t>Cádiz</t>
        </is>
      </c>
      <c r="G1790" s="2" t="n"/>
      <c r="H1790" s="2" t="inlineStr">
        <is>
          <t>Presidencia de la Autoridad Portuaria de la Bahía de Algeciras</t>
        </is>
      </c>
      <c r="I1790" s="2" t="inlineStr">
        <is>
          <t>Proyecto de construcción de puntos limpios para la recogida de aceites usados de embarcaciones pesqueras y deportivas en las instalaciones de la Autoridad Portuaria de la Bahía de Algeciras</t>
        </is>
      </c>
      <c r="J1790" s="2" t="inlineStr">
        <is>
          <t>2026-068</t>
        </is>
      </c>
      <c r="K1790" s="2" t="inlineStr">
        <is>
          <t>Abierto simplificado</t>
        </is>
      </c>
      <c r="L1790" s="6" t="n">
        <v>5</v>
      </c>
      <c r="M1790" s="2" t="inlineStr">
        <is>
          <t>B2-2</t>
        </is>
      </c>
      <c r="N1790" s="7" t="n">
        <v>0</v>
      </c>
      <c r="O1790" s="4" t="n"/>
      <c r="P1790" s="2" t="inlineStr">
        <is>
          <t>45000000; 44613800; 45223000</t>
        </is>
      </c>
      <c r="Q1790" s="8" t="inlineStr">
        <is>
          <t>Ver</t>
        </is>
      </c>
      <c r="R1790" s="8" t="inlineStr">
        <is>
          <t>PCAP</t>
        </is>
      </c>
      <c r="S1790" s="9" t="n">
        <v>46310</v>
      </c>
      <c r="T1790" s="3" t="n">
        <v>46304.58417824074</v>
      </c>
      <c r="U1790" s="2" t="n"/>
    </row>
    <row r="1791">
      <c r="A1791" s="2" t="inlineStr">
        <is>
          <t>Resuelta</t>
        </is>
      </c>
      <c r="B1791" s="3" t="n">
        <v>46174.99930555555</v>
      </c>
      <c r="C1791" s="5" t="n">
        <v>427251.04</v>
      </c>
      <c r="D1791" s="5" t="n">
        <v>512701.25</v>
      </c>
      <c r="E1791" s="2" t="inlineStr">
        <is>
          <t>Andalucía</t>
        </is>
      </c>
      <c r="F1791" s="2" t="inlineStr">
        <is>
          <t>Málaga</t>
        </is>
      </c>
      <c r="G1791" s="2" t="n"/>
      <c r="H1791" s="2" t="inlineStr">
        <is>
          <t>Concejalía Delegada en Materia de Contratación del Ayuntamiento de Torremolinos</t>
        </is>
      </c>
      <c r="I1791" s="2" t="inlineStr">
        <is>
          <t>Obras del Proyecto de ordinarias de urbanización de C/ Europa Fase 1- PAEM 2023 -2ª FASE</t>
        </is>
      </c>
      <c r="J1791" s="2" t="inlineStr">
        <is>
          <t>219/2026</t>
        </is>
      </c>
      <c r="K1791" s="2" t="inlineStr">
        <is>
          <t>Abierto</t>
        </is>
      </c>
      <c r="L1791" s="6" t="n">
        <v>4</v>
      </c>
      <c r="M1791" s="2" t="n"/>
      <c r="N1791" s="7" t="n">
        <v>0.3</v>
      </c>
      <c r="O1791" s="4" t="n"/>
      <c r="P1791" s="2" t="inlineStr">
        <is>
          <t>45220000</t>
        </is>
      </c>
      <c r="Q1791" s="8" t="inlineStr">
        <is>
          <t>Ver</t>
        </is>
      </c>
      <c r="R1791" s="8" t="inlineStr">
        <is>
          <t>PCAP</t>
        </is>
      </c>
      <c r="S1791" s="9" t="n">
        <v>46310</v>
      </c>
      <c r="T1791" s="3" t="n">
        <v>46304.5670949074</v>
      </c>
      <c r="U1791" s="2" t="n"/>
    </row>
    <row r="1792">
      <c r="A1792" s="2" t="inlineStr">
        <is>
          <t>En plazo</t>
        </is>
      </c>
      <c r="B1792" s="3" t="n">
        <v>46324.58333333334</v>
      </c>
      <c r="C1792" s="5" t="n">
        <v>743801.65</v>
      </c>
      <c r="D1792" s="5" t="n">
        <v>743801.65</v>
      </c>
      <c r="E1792" s="2" t="inlineStr">
        <is>
          <t>Andalucía</t>
        </is>
      </c>
      <c r="F1792" s="2" t="inlineStr">
        <is>
          <t>Sevilla</t>
        </is>
      </c>
      <c r="G1792" s="2" t="n"/>
      <c r="H1792" s="2" t="inlineStr">
        <is>
          <t>Alcaldia del Ayuntamiento de Pilas</t>
        </is>
      </c>
      <c r="I1792" s="2" t="inlineStr">
        <is>
          <t>Ejecución de la obra "Proyecto de reasfaltado 2026, de Pilas (Sevilla).</t>
        </is>
      </c>
      <c r="J1792" s="2" t="inlineStr">
        <is>
          <t>P4107500C-2026/000082-PAAS</t>
        </is>
      </c>
      <c r="K1792" s="2" t="inlineStr">
        <is>
          <t>Abierto simplificado</t>
        </is>
      </c>
      <c r="L1792" s="6" t="n">
        <v>6</v>
      </c>
      <c r="M1792" s="2" t="inlineStr">
        <is>
          <t>G4-3; G*-3</t>
        </is>
      </c>
      <c r="N1792" s="7" t="n">
        <v>0</v>
      </c>
      <c r="O1792" s="4" t="n"/>
      <c r="P1792" s="2" t="inlineStr">
        <is>
          <t>45233222</t>
        </is>
      </c>
      <c r="Q1792" s="8" t="inlineStr">
        <is>
          <t>Ver</t>
        </is>
      </c>
      <c r="R1792" s="8" t="inlineStr">
        <is>
          <t>PCAP</t>
        </is>
      </c>
      <c r="S1792" s="9" t="n">
        <v>46310</v>
      </c>
      <c r="T1792" s="3" t="n">
        <v>46304.56592592593</v>
      </c>
      <c r="U1792" s="2" t="n"/>
    </row>
    <row r="1793">
      <c r="A1793" s="2" t="inlineStr">
        <is>
          <t>Plazo vencido</t>
        </is>
      </c>
      <c r="B1793" s="3" t="n">
        <v>46321.99930555555</v>
      </c>
      <c r="C1793" s="5" t="n">
        <v>56990</v>
      </c>
      <c r="D1793" s="5" t="n">
        <v>56990</v>
      </c>
      <c r="E1793" s="2" t="inlineStr">
        <is>
          <t>Andalucía</t>
        </is>
      </c>
      <c r="F1793" s="2" t="inlineStr">
        <is>
          <t>Sevilla</t>
        </is>
      </c>
      <c r="G1793" s="2" t="n"/>
      <c r="H1793" s="2" t="inlineStr">
        <is>
          <t>Alcaldía del Ayuntamiento de Coria del Río</t>
        </is>
      </c>
      <c r="I1793" s="2" t="inlineStr">
        <is>
          <t>Contrato de obras de ampliación de la sede de la Policía Local de Coria del Río, mediante procedimiento abierto supersimplificado.</t>
        </is>
      </c>
      <c r="J1793" s="2" t="inlineStr">
        <is>
          <t>P4103400J-2026/000387-PAAB</t>
        </is>
      </c>
      <c r="K1793" s="2" t="inlineStr">
        <is>
          <t>Abierto simplificado</t>
        </is>
      </c>
      <c r="L1793" s="6" t="n">
        <v>6</v>
      </c>
      <c r="M1793" s="2" t="n"/>
      <c r="N1793" s="7" t="n">
        <v>0</v>
      </c>
      <c r="O1793" s="4" t="n"/>
      <c r="P1793" s="2" t="inlineStr">
        <is>
          <t>45216111</t>
        </is>
      </c>
      <c r="Q1793" s="8" t="inlineStr">
        <is>
          <t>Ver</t>
        </is>
      </c>
      <c r="R1793" s="8" t="inlineStr">
        <is>
          <t>PCAP</t>
        </is>
      </c>
      <c r="S1793" s="9" t="n">
        <v>46310</v>
      </c>
      <c r="T1793" s="3" t="n">
        <v>46304.55881944444</v>
      </c>
      <c r="U1793" s="2" t="n"/>
    </row>
    <row r="1794">
      <c r="A1794" s="2" t="inlineStr">
        <is>
          <t>Adjudicada</t>
        </is>
      </c>
      <c r="B1794" s="3" t="n">
        <v>46289.99930555555</v>
      </c>
      <c r="C1794" s="5" t="n">
        <v>51436.37</v>
      </c>
      <c r="D1794" s="5" t="n">
        <v>51436.37</v>
      </c>
      <c r="E1794" s="2" t="inlineStr">
        <is>
          <t>Andalucía</t>
        </is>
      </c>
      <c r="F1794" s="2" t="inlineStr">
        <is>
          <t>Granada</t>
        </is>
      </c>
      <c r="G1794" s="2" t="n"/>
      <c r="H1794" s="2" t="inlineStr">
        <is>
          <t>Alcaldía del Ayuntamiento de Cádiar</t>
        </is>
      </c>
      <c r="I1794"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1794" s="2" t="inlineStr">
        <is>
          <t>496/2026</t>
        </is>
      </c>
      <c r="K1794" s="2" t="inlineStr">
        <is>
          <t>Abierto simplificado</t>
        </is>
      </c>
      <c r="L1794" s="6" t="n">
        <v>2</v>
      </c>
      <c r="M1794" s="2" t="n"/>
      <c r="N1794" s="7" t="n">
        <v>0</v>
      </c>
      <c r="O1794" s="4" t="n"/>
      <c r="P1794" s="2" t="inlineStr">
        <is>
          <t>45223810; 45262300; 45000000; 45112000</t>
        </is>
      </c>
      <c r="Q1794" s="8" t="inlineStr">
        <is>
          <t>Ver</t>
        </is>
      </c>
      <c r="R1794" s="2" t="n"/>
      <c r="S1794" s="9" t="n">
        <v>46310</v>
      </c>
      <c r="T1794" s="3" t="n">
        <v>46304.55481481482</v>
      </c>
      <c r="U1794" s="2" t="n"/>
    </row>
    <row r="1795">
      <c r="A1795" s="2" t="inlineStr">
        <is>
          <t>Pendiente de adjudicación</t>
        </is>
      </c>
      <c r="B1795" s="3" t="n">
        <v>46964.60416666666</v>
      </c>
      <c r="C1795" s="5" t="n">
        <v>5775000</v>
      </c>
      <c r="D1795" s="5" t="n">
        <v>7700000</v>
      </c>
      <c r="E1795" s="2" t="inlineStr">
        <is>
          <t>Andalucía</t>
        </is>
      </c>
      <c r="F1795" s="2" t="inlineStr">
        <is>
          <t>Almería</t>
        </is>
      </c>
      <c r="G1795" s="2" t="inlineStr">
        <is>
          <t>Vera</t>
        </is>
      </c>
      <c r="H1795" s="2" t="inlineStr">
        <is>
          <t>Pleno del Ayuntamiento de Vera</t>
        </is>
      </c>
      <c r="I1795" s="2" t="inlineStr">
        <is>
          <t>Ejecución de obras habituales para prestación de los servicios públicos de competencia municipal mediante un sistema dinámico de adquisición.</t>
        </is>
      </c>
      <c r="J1795" s="2" t="inlineStr">
        <is>
          <t>2911/2024</t>
        </is>
      </c>
      <c r="K1795" s="2" t="inlineStr">
        <is>
          <t>Restringido</t>
        </is>
      </c>
      <c r="L1795" s="6" t="n"/>
      <c r="M1795" s="2" t="n"/>
      <c r="N1795" s="7" t="n">
        <v>0.4</v>
      </c>
      <c r="O1795" s="4" t="n">
        <v>8</v>
      </c>
      <c r="P1795" s="2" t="inlineStr">
        <is>
          <t>45000000; 45111200; 45112710; 45233222; 45400000; 45330000; 45233293; 45316000; 45500000</t>
        </is>
      </c>
      <c r="Q1795" s="8" t="inlineStr">
        <is>
          <t>Ver</t>
        </is>
      </c>
      <c r="R1795" s="8" t="inlineStr">
        <is>
          <t>PCAP</t>
        </is>
      </c>
      <c r="S1795" s="9" t="n">
        <v>46310</v>
      </c>
      <c r="T1795" s="3" t="n">
        <v>46304.55150462963</v>
      </c>
      <c r="U1795" s="2" t="n"/>
    </row>
    <row r="1796">
      <c r="A1796" s="2" t="inlineStr">
        <is>
          <t>Resuelta</t>
        </is>
      </c>
      <c r="B1796" s="3" t="n">
        <v>46272.99930555555</v>
      </c>
      <c r="C1796" s="5" t="n">
        <v>80951.97</v>
      </c>
      <c r="D1796" s="5" t="n">
        <v>80951.97</v>
      </c>
      <c r="E1796" s="2" t="inlineStr">
        <is>
          <t>Andalucía</t>
        </is>
      </c>
      <c r="F1796" s="2" t="inlineStr">
        <is>
          <t>Granada</t>
        </is>
      </c>
      <c r="G1796" s="2" t="n"/>
      <c r="H1796" s="2" t="inlineStr">
        <is>
          <t>Alcaldía del Ayuntamiento de Cenes de la Vega</t>
        </is>
      </c>
      <c r="I1796" s="2" t="inlineStr">
        <is>
          <t>Pavimentación de Calle Trébol, Cuesta del Cerrillo y Camino Viejo de Güéjar</t>
        </is>
      </c>
      <c r="J1796" s="2" t="inlineStr">
        <is>
          <t>2354/2026</t>
        </is>
      </c>
      <c r="K1796" s="2" t="inlineStr">
        <is>
          <t>Abierto simplificado</t>
        </is>
      </c>
      <c r="L1796" s="6" t="n">
        <v>1</v>
      </c>
      <c r="M1796" s="2" t="n"/>
      <c r="N1796" s="7" t="n">
        <v>0</v>
      </c>
      <c r="O1796" s="4" t="n"/>
      <c r="P1796" s="2" t="inlineStr">
        <is>
          <t>45233252</t>
        </is>
      </c>
      <c r="Q1796" s="8" t="inlineStr">
        <is>
          <t>Ver</t>
        </is>
      </c>
      <c r="R1796" s="8" t="inlineStr">
        <is>
          <t>PCAP</t>
        </is>
      </c>
      <c r="S1796" s="9" t="n">
        <v>46310</v>
      </c>
      <c r="T1796" s="3" t="n">
        <v>46304.54775462963</v>
      </c>
      <c r="U1796" s="2" t="n"/>
    </row>
    <row r="1797">
      <c r="A1797" s="2" t="inlineStr">
        <is>
          <t>Pendiente de adjudicación</t>
        </is>
      </c>
      <c r="B1797" s="3" t="n">
        <v>46293.99930555555</v>
      </c>
      <c r="C1797" s="5" t="n">
        <v>57851.24</v>
      </c>
      <c r="D1797" s="5" t="n">
        <v>57851.24</v>
      </c>
      <c r="E1797" s="2" t="inlineStr">
        <is>
          <t>Andalucía</t>
        </is>
      </c>
      <c r="F1797" s="2" t="inlineStr">
        <is>
          <t>Granada</t>
        </is>
      </c>
      <c r="G1797" s="2" t="inlineStr">
        <is>
          <t>JUN.</t>
        </is>
      </c>
      <c r="H1797" s="2" t="inlineStr">
        <is>
          <t>Alcaldía del Ayuntamiento de Jun</t>
        </is>
      </c>
      <c r="I1797" s="2" t="inlineStr">
        <is>
          <t>Pavimentación e instalaciones en calle Colonia.</t>
        </is>
      </c>
      <c r="J1797" s="2" t="inlineStr">
        <is>
          <t>270/2026</t>
        </is>
      </c>
      <c r="K1797" s="2" t="inlineStr">
        <is>
          <t>Abierto simplificado</t>
        </is>
      </c>
      <c r="L1797" s="6" t="n">
        <v>1.4</v>
      </c>
      <c r="M1797" s="2" t="n"/>
      <c r="N1797" s="7" t="n">
        <v>0</v>
      </c>
      <c r="O1797" s="4" t="n"/>
      <c r="P1797" s="2" t="inlineStr">
        <is>
          <t>45000000; 45233252; 45316100</t>
        </is>
      </c>
      <c r="Q1797" s="8" t="inlineStr">
        <is>
          <t>Ver</t>
        </is>
      </c>
      <c r="R1797" s="8" t="inlineStr">
        <is>
          <t>PCAP</t>
        </is>
      </c>
      <c r="S1797" s="9" t="n">
        <v>46310</v>
      </c>
      <c r="T1797" s="3" t="n">
        <v>46304.54684027778</v>
      </c>
      <c r="U1797" s="2" t="n"/>
    </row>
    <row r="1798">
      <c r="A1798" s="2" t="inlineStr">
        <is>
          <t>Resuelta</t>
        </is>
      </c>
      <c r="B1798" s="3" t="n">
        <v>46272.99930555555</v>
      </c>
      <c r="C1798" s="5" t="n">
        <v>69080.17</v>
      </c>
      <c r="D1798" s="5" t="n">
        <v>69080.17</v>
      </c>
      <c r="E1798" s="2" t="inlineStr">
        <is>
          <t>Andalucía</t>
        </is>
      </c>
      <c r="F1798" s="2" t="inlineStr">
        <is>
          <t>Granada</t>
        </is>
      </c>
      <c r="G1798" s="2" t="n"/>
      <c r="H1798" s="2" t="inlineStr">
        <is>
          <t>Alcaldía del Ayuntamiento de Cenes de la Vega</t>
        </is>
      </c>
      <c r="I1798" s="2" t="inlineStr">
        <is>
          <t>Llevar a cabo las obras descritas en el PROYECTO de pavimentación de la calle arco y camino viejo de Guejar, suscrito por José Medialdea Cela, arquitecto</t>
        </is>
      </c>
      <c r="J1798" s="2" t="inlineStr">
        <is>
          <t>2352/2026</t>
        </is>
      </c>
      <c r="K1798" s="2" t="inlineStr">
        <is>
          <t>Abierto simplificado</t>
        </is>
      </c>
      <c r="L1798" s="6" t="n">
        <v>2</v>
      </c>
      <c r="M1798" s="2" t="n"/>
      <c r="N1798" s="7" t="n">
        <v>0</v>
      </c>
      <c r="O1798" s="4" t="n"/>
      <c r="P1798" s="2" t="inlineStr">
        <is>
          <t>45233252</t>
        </is>
      </c>
      <c r="Q1798" s="8" t="inlineStr">
        <is>
          <t>Ver</t>
        </is>
      </c>
      <c r="R1798" s="8" t="inlineStr">
        <is>
          <t>PCAP</t>
        </is>
      </c>
      <c r="S1798" s="9" t="n">
        <v>46310</v>
      </c>
      <c r="T1798" s="3" t="n">
        <v>46304.53863425926</v>
      </c>
      <c r="U1798" s="2" t="n"/>
    </row>
    <row r="1799">
      <c r="A1799" s="2" t="inlineStr">
        <is>
          <t>En plazo</t>
        </is>
      </c>
      <c r="B1799" s="3" t="n">
        <v>46324.58333333334</v>
      </c>
      <c r="C1799" s="5" t="n">
        <v>224803.83</v>
      </c>
      <c r="D1799" s="5" t="n">
        <v>224803.83</v>
      </c>
      <c r="E1799" s="2" t="inlineStr">
        <is>
          <t>Andalucía</t>
        </is>
      </c>
      <c r="F1799" s="2" t="inlineStr">
        <is>
          <t>Cádiz</t>
        </is>
      </c>
      <c r="G1799" s="2" t="inlineStr">
        <is>
          <t>La Línea de la Concepción</t>
        </is>
      </c>
      <c r="H1799" s="2" t="inlineStr">
        <is>
          <t>Alcaldía del Ayuntamiento de la Línea de la Concepción</t>
        </is>
      </c>
      <c r="I1799" s="2" t="inlineStr">
        <is>
          <t>Contrato de obra de reparación de cubiertas de edificios municipales o de uso municipal, en La Línea de la Concepción (Cádiz)</t>
        </is>
      </c>
      <c r="J1799" s="2" t="inlineStr">
        <is>
          <t>89/26</t>
        </is>
      </c>
      <c r="K1799" s="2" t="inlineStr">
        <is>
          <t>Abierto</t>
        </is>
      </c>
      <c r="L1799" s="6" t="n">
        <v>4</v>
      </c>
      <c r="M1799" s="2" t="inlineStr">
        <is>
          <t>C7-2</t>
        </is>
      </c>
      <c r="N1799" s="7" t="n">
        <v>0.25</v>
      </c>
      <c r="O1799" s="4" t="n"/>
      <c r="P1799" s="2" t="inlineStr">
        <is>
          <t>45261900; 45260000; 45000000; 45261000; 45200000</t>
        </is>
      </c>
      <c r="Q1799" s="8" t="inlineStr">
        <is>
          <t>Ver</t>
        </is>
      </c>
      <c r="R1799" s="8" t="inlineStr">
        <is>
          <t>PCAP</t>
        </is>
      </c>
      <c r="S1799" s="9" t="n">
        <v>46310</v>
      </c>
      <c r="T1799" s="3" t="n">
        <v>46304.53011574074</v>
      </c>
      <c r="U1799" s="2" t="n"/>
    </row>
    <row r="1800">
      <c r="A1800" s="2" t="inlineStr">
        <is>
          <t>Pendiente de adjudicación</t>
        </is>
      </c>
      <c r="B1800" s="3" t="n">
        <v>46295.99930555555</v>
      </c>
      <c r="C1800" s="5" t="n">
        <v>1608264.46</v>
      </c>
      <c r="D1800" s="5" t="n">
        <v>1608264.46</v>
      </c>
      <c r="E1800" s="2" t="inlineStr">
        <is>
          <t>Andalucía</t>
        </is>
      </c>
      <c r="F1800" s="2" t="inlineStr">
        <is>
          <t>Málaga</t>
        </is>
      </c>
      <c r="G1800" s="2" t="n"/>
      <c r="H1800" s="2" t="inlineStr">
        <is>
          <t>Presidencia de la Diputación Provincial de Málaga</t>
        </is>
      </c>
      <c r="I1800" s="2" t="inlineStr">
        <is>
          <t>PC.-2026/001. Rehabilitación estructural de la plataforma de un tramo de la Crta. MA-4402, de A-343 a la Joya (P.K.3+100 a 5+000).</t>
        </is>
      </c>
      <c r="J1800" s="2" t="inlineStr">
        <is>
          <t>PC.-2026/001</t>
        </is>
      </c>
      <c r="K1800" s="2" t="inlineStr">
        <is>
          <t>Abierto</t>
        </is>
      </c>
      <c r="L1800" s="6" t="n">
        <v>10</v>
      </c>
      <c r="M1800" s="2" t="inlineStr">
        <is>
          <t>G6-4</t>
        </is>
      </c>
      <c r="N1800" s="7" t="n">
        <v>0</v>
      </c>
      <c r="O1800" s="4" t="n"/>
      <c r="P1800" s="2" t="inlineStr">
        <is>
          <t>45233142</t>
        </is>
      </c>
      <c r="Q1800" s="8" t="inlineStr">
        <is>
          <t>Ver</t>
        </is>
      </c>
      <c r="R1800" s="8" t="inlineStr">
        <is>
          <t>PCAP</t>
        </is>
      </c>
      <c r="S1800" s="9" t="n">
        <v>46310</v>
      </c>
      <c r="T1800" s="3" t="n">
        <v>46304.52140046296</v>
      </c>
      <c r="U1800" s="2" t="n"/>
    </row>
    <row r="1801">
      <c r="A1801" s="2" t="inlineStr">
        <is>
          <t>En plazo</t>
        </is>
      </c>
      <c r="B1801" s="3" t="n">
        <v>46332.42986111111</v>
      </c>
      <c r="C1801" s="5" t="n">
        <v>209012.79</v>
      </c>
      <c r="D1801" s="5" t="n">
        <v>252905.48</v>
      </c>
      <c r="E1801" s="2" t="inlineStr">
        <is>
          <t>Andalucía</t>
        </is>
      </c>
      <c r="F1801" s="2" t="inlineStr">
        <is>
          <t>Granada</t>
        </is>
      </c>
      <c r="G1801" s="2" t="inlineStr">
        <is>
          <t>SOPORTUJAR</t>
        </is>
      </c>
      <c r="H1801" s="2" t="inlineStr">
        <is>
          <t>Alcaldía del Ayuntamiento de Soportujar</t>
        </is>
      </c>
      <c r="I1801" s="2" t="inlineStr">
        <is>
          <t>Construcción de circunvalación de acceso al pueblo habilitando una segunda entrada al mismo de la actuación 4 1 del plan de sostenibilidad turística</t>
        </is>
      </c>
      <c r="J1801" s="2" t="inlineStr">
        <is>
          <t>77/2026</t>
        </is>
      </c>
      <c r="K1801" s="2" t="inlineStr">
        <is>
          <t>Abierto</t>
        </is>
      </c>
      <c r="L1801" s="6" t="n">
        <v>9</v>
      </c>
      <c r="M1801" s="2" t="n"/>
      <c r="N1801" s="7" t="n">
        <v>0</v>
      </c>
      <c r="O1801" s="4" t="n"/>
      <c r="P1801" s="2" t="inlineStr">
        <is>
          <t>45233122</t>
        </is>
      </c>
      <c r="Q1801" s="8" t="inlineStr">
        <is>
          <t>Ver</t>
        </is>
      </c>
      <c r="R1801" s="8" t="inlineStr">
        <is>
          <t>PCAP</t>
        </is>
      </c>
      <c r="S1801" s="9" t="n">
        <v>46310</v>
      </c>
      <c r="T1801" s="3" t="n">
        <v>46304.51469907408</v>
      </c>
      <c r="U1801" s="2" t="n"/>
    </row>
    <row r="1802">
      <c r="A1802" s="2" t="inlineStr">
        <is>
          <t>Resuelta</t>
        </is>
      </c>
      <c r="B1802" s="3" t="n">
        <v>46210.99930555555</v>
      </c>
      <c r="C1802" s="5" t="n">
        <v>66115.7</v>
      </c>
      <c r="D1802" s="5" t="n">
        <v>66115.7</v>
      </c>
      <c r="E1802" s="2" t="inlineStr">
        <is>
          <t>Andalucía</t>
        </is>
      </c>
      <c r="F1802" s="2" t="inlineStr">
        <is>
          <t>Almería</t>
        </is>
      </c>
      <c r="G1802" s="2" t="n"/>
      <c r="H1802" s="2" t="inlineStr">
        <is>
          <t>Junta de Gobierno de la Diputación Provincial de Almería</t>
        </is>
      </c>
      <c r="I1802" s="2" t="inlineStr">
        <is>
          <t>Caminos Municipales, Fondón 38PCAM24-27BII</t>
        </is>
      </c>
      <c r="J1802" s="2" t="inlineStr">
        <is>
          <t>2026/D31000/006-013/00064</t>
        </is>
      </c>
      <c r="K1802" s="2" t="inlineStr">
        <is>
          <t>Abierto simplificado</t>
        </is>
      </c>
      <c r="L1802" s="6" t="n">
        <v>2</v>
      </c>
      <c r="M1802" s="2" t="n"/>
      <c r="N1802" s="7" t="n">
        <v>0.25</v>
      </c>
      <c r="O1802" s="4" t="n"/>
      <c r="P1802" s="2" t="inlineStr">
        <is>
          <t>45233222</t>
        </is>
      </c>
      <c r="Q1802" s="8" t="inlineStr">
        <is>
          <t>Ver</t>
        </is>
      </c>
      <c r="R1802" s="8" t="inlineStr">
        <is>
          <t>PCAP</t>
        </is>
      </c>
      <c r="S1802" s="9" t="n">
        <v>46310</v>
      </c>
      <c r="T1802" s="3" t="n">
        <v>46304.51358796296</v>
      </c>
      <c r="U1802" s="2" t="n"/>
    </row>
    <row r="1803">
      <c r="A1803" s="2" t="inlineStr">
        <is>
          <t>Resuelta</t>
        </is>
      </c>
      <c r="B1803" s="3" t="n">
        <v>46279.58333333334</v>
      </c>
      <c r="C1803" s="5" t="n">
        <v>130616.72</v>
      </c>
      <c r="D1803" s="5" t="n">
        <v>130616.72</v>
      </c>
      <c r="E1803" s="2" t="inlineStr">
        <is>
          <t>Andalucía</t>
        </is>
      </c>
      <c r="F1803" s="2" t="inlineStr">
        <is>
          <t>Jaén</t>
        </is>
      </c>
      <c r="G1803" s="2" t="inlineStr">
        <is>
          <t>Alcaudete</t>
        </is>
      </c>
      <c r="H1803" s="2" t="inlineStr">
        <is>
          <t>Alcaldía del Ayuntamiento de Alcaudete</t>
        </is>
      </c>
      <c r="I1803" s="2" t="inlineStr">
        <is>
          <t>Urbanización del vial prolongación Camino Viejo de la Fuensanta de Alcaudete (Jaén).</t>
        </is>
      </c>
      <c r="J1803" s="2" t="inlineStr">
        <is>
          <t>5904/2026</t>
        </is>
      </c>
      <c r="K1803" s="2" t="inlineStr">
        <is>
          <t>Abierto simplificado</t>
        </is>
      </c>
      <c r="L1803" s="6" t="n">
        <v>5</v>
      </c>
      <c r="M1803" s="2" t="n"/>
      <c r="N1803" s="7" t="n">
        <v>0</v>
      </c>
      <c r="O1803" s="4" t="n"/>
      <c r="P1803" s="2" t="inlineStr">
        <is>
          <t>45220000; 45233140; 45233252</t>
        </is>
      </c>
      <c r="Q1803" s="8" t="inlineStr">
        <is>
          <t>Ver</t>
        </is>
      </c>
      <c r="R1803" s="8" t="inlineStr">
        <is>
          <t>PCAP</t>
        </is>
      </c>
      <c r="S1803" s="9" t="n">
        <v>46310</v>
      </c>
      <c r="T1803" s="3" t="n">
        <v>46304.51325231481</v>
      </c>
      <c r="U1803" s="2" t="n"/>
    </row>
    <row r="1804">
      <c r="A1804" s="2" t="inlineStr">
        <is>
          <t>Plazo vencido</t>
        </is>
      </c>
      <c r="B1804" s="3" t="n">
        <v>46322.99930555555</v>
      </c>
      <c r="C1804" s="5" t="n">
        <v>206584.58</v>
      </c>
      <c r="D1804" s="5" t="n">
        <v>206584.58</v>
      </c>
      <c r="E1804" s="2" t="inlineStr">
        <is>
          <t>Andalucía</t>
        </is>
      </c>
      <c r="F1804" s="2" t="inlineStr">
        <is>
          <t>Sevilla</t>
        </is>
      </c>
      <c r="G1804" s="2" t="n"/>
      <c r="H1804" s="2" t="inlineStr">
        <is>
          <t>Alcaldía del Ayuntamiento de Lora del Río</t>
        </is>
      </c>
      <c r="I1804"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1804" s="2" t="inlineStr">
        <is>
          <t>9046/2026</t>
        </is>
      </c>
      <c r="K1804" s="2" t="inlineStr">
        <is>
          <t>Abierto simplificado</t>
        </is>
      </c>
      <c r="L1804" s="6" t="n">
        <v>2</v>
      </c>
      <c r="M1804" s="2" t="n"/>
      <c r="N1804" s="7" t="n">
        <v>0</v>
      </c>
      <c r="O1804" s="4" t="n"/>
      <c r="P1804" s="2" t="inlineStr">
        <is>
          <t>45233222</t>
        </is>
      </c>
      <c r="Q1804" s="8" t="inlineStr">
        <is>
          <t>Ver</t>
        </is>
      </c>
      <c r="R1804" s="8" t="inlineStr">
        <is>
          <t>PCAP</t>
        </is>
      </c>
      <c r="S1804" s="9" t="n">
        <v>46310</v>
      </c>
      <c r="T1804" s="3" t="n">
        <v>46304.50760416667</v>
      </c>
      <c r="U1804" s="2" t="n"/>
    </row>
    <row r="1805">
      <c r="A1805" s="2" t="inlineStr">
        <is>
          <t>Resuelta</t>
        </is>
      </c>
      <c r="B1805" s="3" t="n">
        <v>46230.99930555555</v>
      </c>
      <c r="C1805" s="5" t="n">
        <v>66115.7</v>
      </c>
      <c r="D1805" s="5" t="n">
        <v>66115.7</v>
      </c>
      <c r="E1805" s="2" t="inlineStr">
        <is>
          <t>Andalucía</t>
        </is>
      </c>
      <c r="F1805" s="2" t="inlineStr">
        <is>
          <t>Almería</t>
        </is>
      </c>
      <c r="G1805" s="2" t="n"/>
      <c r="H1805" s="2" t="inlineStr">
        <is>
          <t>Junta de Gobierno de la Diputación Provincial de Almería</t>
        </is>
      </c>
      <c r="I1805" s="2" t="inlineStr">
        <is>
          <t>Caminos Municipales, Alsodux 13PCAM24-27BII</t>
        </is>
      </c>
      <c r="J1805" s="2" t="inlineStr">
        <is>
          <t>2025/D31000/006-013/00266</t>
        </is>
      </c>
      <c r="K1805" s="2" t="inlineStr">
        <is>
          <t>Abierto simplificado</t>
        </is>
      </c>
      <c r="L1805" s="6" t="n">
        <v>2</v>
      </c>
      <c r="M1805" s="2" t="n"/>
      <c r="N1805" s="7" t="n">
        <v>0.25</v>
      </c>
      <c r="O1805" s="4" t="n"/>
      <c r="P1805" s="2" t="inlineStr">
        <is>
          <t>45233222</t>
        </is>
      </c>
      <c r="Q1805" s="8" t="inlineStr">
        <is>
          <t>Ver</t>
        </is>
      </c>
      <c r="R1805" s="8" t="inlineStr">
        <is>
          <t>PCAP</t>
        </is>
      </c>
      <c r="S1805" s="9" t="n">
        <v>46310</v>
      </c>
      <c r="T1805" s="3" t="n">
        <v>46304.50708333333</v>
      </c>
      <c r="U1805" s="2" t="n"/>
    </row>
    <row r="1806">
      <c r="A1806" s="2" t="inlineStr">
        <is>
          <t>Plazo vencido</t>
        </is>
      </c>
      <c r="B1806" s="3" t="n">
        <v>46322.99930555555</v>
      </c>
      <c r="C1806" s="5" t="n">
        <v>264905.5</v>
      </c>
      <c r="D1806" s="5" t="n">
        <v>264905.5</v>
      </c>
      <c r="E1806" s="2" t="inlineStr">
        <is>
          <t>Andalucía</t>
        </is>
      </c>
      <c r="F1806" s="2" t="inlineStr">
        <is>
          <t>Sevilla</t>
        </is>
      </c>
      <c r="G1806" s="2" t="n"/>
      <c r="H1806" s="2" t="inlineStr">
        <is>
          <t>Alcaldía del Ayuntamiento de Lora del Río</t>
        </is>
      </c>
      <c r="I1806"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1806" s="2" t="inlineStr">
        <is>
          <t>9045/2026</t>
        </is>
      </c>
      <c r="K1806" s="2" t="inlineStr">
        <is>
          <t>Abierto simplificado</t>
        </is>
      </c>
      <c r="L1806" s="6" t="n">
        <v>2</v>
      </c>
      <c r="M1806" s="2" t="n"/>
      <c r="N1806" s="7" t="n">
        <v>0</v>
      </c>
      <c r="O1806" s="4" t="n"/>
      <c r="P1806" s="2" t="inlineStr">
        <is>
          <t>45233222</t>
        </is>
      </c>
      <c r="Q1806" s="8" t="inlineStr">
        <is>
          <t>Ver</t>
        </is>
      </c>
      <c r="R1806" s="8" t="inlineStr">
        <is>
          <t>PCAP</t>
        </is>
      </c>
      <c r="S1806" s="9" t="n">
        <v>46310</v>
      </c>
      <c r="T1806" s="3" t="n">
        <v>46304.50619212963</v>
      </c>
      <c r="U1806" s="2" t="n"/>
    </row>
    <row r="1807">
      <c r="A1807" s="2" t="inlineStr">
        <is>
          <t>Resuelta</t>
        </is>
      </c>
      <c r="B1807" s="3" t="n"/>
      <c r="C1807" s="5" t="n">
        <v>250332.59</v>
      </c>
      <c r="D1807" s="5" t="n">
        <v>302902.59</v>
      </c>
      <c r="E1807" s="2" t="inlineStr">
        <is>
          <t>Andalucía</t>
        </is>
      </c>
      <c r="F1807" s="2" t="inlineStr">
        <is>
          <t>Granada</t>
        </is>
      </c>
      <c r="G1807" s="2" t="n"/>
      <c r="H1807" s="2" t="inlineStr">
        <is>
          <t>Demarcación de Carreteras del Estado en Andalucía Oriental</t>
        </is>
      </c>
      <c r="I1807"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1807" s="2" t="inlineStr">
        <is>
          <t>EM22-AL-04.L2</t>
        </is>
      </c>
      <c r="K1807" s="2" t="inlineStr">
        <is>
          <t>Restringido</t>
        </is>
      </c>
      <c r="L1807" s="6" t="n">
        <v>9</v>
      </c>
      <c r="M1807" s="2" t="n"/>
      <c r="N1807" s="7" t="n"/>
      <c r="O1807" s="4" t="n"/>
      <c r="P1807" s="2" t="inlineStr">
        <is>
          <t>45000000</t>
        </is>
      </c>
      <c r="Q1807" s="8" t="inlineStr">
        <is>
          <t>Ver</t>
        </is>
      </c>
      <c r="R1807" s="2" t="n"/>
      <c r="S1807" s="9" t="n">
        <v>46310</v>
      </c>
      <c r="T1807" s="3" t="n">
        <v>46304.50513888889</v>
      </c>
      <c r="U1807" s="2" t="n"/>
    </row>
    <row r="1808">
      <c r="A1808" s="2" t="inlineStr">
        <is>
          <t>Resuelta</t>
        </is>
      </c>
      <c r="B1808" s="3" t="n">
        <v>46218.99930555555</v>
      </c>
      <c r="C1808" s="5" t="n">
        <v>66115.7</v>
      </c>
      <c r="D1808" s="5" t="n">
        <v>66115.7</v>
      </c>
      <c r="E1808" s="2" t="inlineStr">
        <is>
          <t>Andalucía</t>
        </is>
      </c>
      <c r="F1808" s="2" t="inlineStr">
        <is>
          <t>Almería</t>
        </is>
      </c>
      <c r="G1808" s="2" t="n"/>
      <c r="H1808" s="2" t="inlineStr">
        <is>
          <t>Junta de Gobierno de la Diputación Provincial de Almería</t>
        </is>
      </c>
      <c r="I1808" s="2" t="inlineStr">
        <is>
          <t>Caminos Municipales, Fines 36PCAM24-27BII</t>
        </is>
      </c>
      <c r="J1808" s="2" t="inlineStr">
        <is>
          <t>2025/D31000/006-013/00286</t>
        </is>
      </c>
      <c r="K1808" s="2" t="inlineStr">
        <is>
          <t>Abierto simplificado</t>
        </is>
      </c>
      <c r="L1808" s="6" t="n">
        <v>1</v>
      </c>
      <c r="M1808" s="2" t="n"/>
      <c r="N1808" s="7" t="n">
        <v>0.25</v>
      </c>
      <c r="O1808" s="4" t="n"/>
      <c r="P1808" s="2" t="inlineStr">
        <is>
          <t>45233222</t>
        </is>
      </c>
      <c r="Q1808" s="8" t="inlineStr">
        <is>
          <t>Ver</t>
        </is>
      </c>
      <c r="R1808" s="8" t="inlineStr">
        <is>
          <t>PCAP</t>
        </is>
      </c>
      <c r="S1808" s="9" t="n">
        <v>46310</v>
      </c>
      <c r="T1808" s="3" t="n">
        <v>46304.50460648148</v>
      </c>
      <c r="U1808" s="2" t="n"/>
    </row>
    <row r="1809">
      <c r="A1809" s="2" t="inlineStr">
        <is>
          <t>Resuelta</t>
        </is>
      </c>
      <c r="B1809" s="3" t="n">
        <v>46279.99930555555</v>
      </c>
      <c r="C1809" s="5" t="n">
        <v>91342.14999999999</v>
      </c>
      <c r="D1809" s="5" t="n">
        <v>91342.14999999999</v>
      </c>
      <c r="E1809" s="2" t="inlineStr">
        <is>
          <t>Andalucía</t>
        </is>
      </c>
      <c r="F1809" s="2" t="inlineStr">
        <is>
          <t>Granada</t>
        </is>
      </c>
      <c r="G1809" s="2" t="inlineStr">
        <is>
          <t>DEIFONTES</t>
        </is>
      </c>
      <c r="H1809" s="2" t="inlineStr">
        <is>
          <t>Presidencia de la Diputación Provincial de Granada</t>
        </is>
      </c>
      <c r="I1809" s="2" t="inlineStr">
        <is>
          <t>2026/4/PPOYS-61 "Deifontes, rehabilitación estructural de firmes tramo Av. Andalucía y encuentro C/ Marqués de Casablanca"</t>
        </is>
      </c>
      <c r="J1809" s="2" t="inlineStr">
        <is>
          <t>OB-063/26</t>
        </is>
      </c>
      <c r="K1809" s="2" t="inlineStr">
        <is>
          <t>Abierto simplificado</t>
        </is>
      </c>
      <c r="L1809" s="6" t="n">
        <v>5</v>
      </c>
      <c r="M1809" s="2" t="inlineStr">
        <is>
          <t>G6-1; E7-1</t>
        </is>
      </c>
      <c r="N1809" s="7" t="n">
        <v>0</v>
      </c>
      <c r="O1809" s="4" t="n"/>
      <c r="P1809" s="2" t="inlineStr">
        <is>
          <t>45231100; 45233252</t>
        </is>
      </c>
      <c r="Q1809" s="8" t="inlineStr">
        <is>
          <t>Ver</t>
        </is>
      </c>
      <c r="R1809" s="8" t="inlineStr">
        <is>
          <t>PCAP</t>
        </is>
      </c>
      <c r="S1809" s="9" t="n">
        <v>46310</v>
      </c>
      <c r="T1809" s="3" t="n">
        <v>46304.5040162037</v>
      </c>
      <c r="U1809" s="2" t="n"/>
    </row>
    <row r="1810">
      <c r="A1810" s="2" t="inlineStr">
        <is>
          <t>Resuelta</t>
        </is>
      </c>
      <c r="B1810" s="3" t="n"/>
      <c r="C1810" s="5" t="n">
        <v>557740.71</v>
      </c>
      <c r="D1810" s="5" t="n">
        <v>674866.26</v>
      </c>
      <c r="E1810" s="2" t="inlineStr">
        <is>
          <t>Andalucía</t>
        </is>
      </c>
      <c r="F1810" s="2" t="inlineStr">
        <is>
          <t>Granada</t>
        </is>
      </c>
      <c r="G1810" s="2" t="n"/>
      <c r="H1810" s="2" t="inlineStr">
        <is>
          <t>Demarcación de Carreteras del Estado en Andalucía Oriental</t>
        </is>
      </c>
      <c r="I1810" s="2" t="inlineStr">
        <is>
          <t>“Reparación de daños localizados en el viaducto del barranco del Caballar en el P.K. 441+500 de la A-7, provincia de Almería”. LOTE 1</t>
        </is>
      </c>
      <c r="J1810" s="2" t="inlineStr">
        <is>
          <t>EM22-AL-04.L1</t>
        </is>
      </c>
      <c r="K1810" s="2" t="inlineStr">
        <is>
          <t>Restringido</t>
        </is>
      </c>
      <c r="L1810" s="6" t="n">
        <v>9</v>
      </c>
      <c r="M1810" s="2" t="n"/>
      <c r="N1810" s="7" t="n"/>
      <c r="O1810" s="4" t="n"/>
      <c r="P1810" s="2" t="inlineStr">
        <is>
          <t>45000000</t>
        </is>
      </c>
      <c r="Q1810" s="8" t="inlineStr">
        <is>
          <t>Ver</t>
        </is>
      </c>
      <c r="R1810" s="2" t="n"/>
      <c r="S1810" s="9" t="n">
        <v>46310</v>
      </c>
      <c r="T1810" s="3" t="n">
        <v>46304.50293981482</v>
      </c>
      <c r="U1810" s="2" t="n"/>
    </row>
    <row r="1811">
      <c r="A1811" s="2" t="inlineStr">
        <is>
          <t>Resuelta</t>
        </is>
      </c>
      <c r="B1811" s="3" t="n">
        <v>46218.99930555555</v>
      </c>
      <c r="C1811" s="5" t="n">
        <v>66115.7</v>
      </c>
      <c r="D1811" s="5" t="n">
        <v>66115.7</v>
      </c>
      <c r="E1811" s="2" t="inlineStr">
        <is>
          <t>Andalucía</t>
        </is>
      </c>
      <c r="F1811" s="2" t="inlineStr">
        <is>
          <t>Almería</t>
        </is>
      </c>
      <c r="G1811" s="2" t="n"/>
      <c r="H1811" s="2" t="inlineStr">
        <is>
          <t>Junta de Gobierno de la Diputación Provincial de Almería</t>
        </is>
      </c>
      <c r="I1811" s="2" t="inlineStr">
        <is>
          <t>Caminos Municipales, Albanchez 3PCAM24-27BII</t>
        </is>
      </c>
      <c r="J1811" s="2" t="inlineStr">
        <is>
          <t>2025/D31000/006-013/00258</t>
        </is>
      </c>
      <c r="K1811" s="2" t="inlineStr">
        <is>
          <t>Abierto simplificado</t>
        </is>
      </c>
      <c r="L1811" s="6" t="n">
        <v>1</v>
      </c>
      <c r="M1811" s="2" t="n"/>
      <c r="N1811" s="7" t="n">
        <v>0.25</v>
      </c>
      <c r="O1811" s="4" t="n"/>
      <c r="P1811" s="2" t="inlineStr">
        <is>
          <t>45233222</t>
        </is>
      </c>
      <c r="Q1811" s="8" t="inlineStr">
        <is>
          <t>Ver</t>
        </is>
      </c>
      <c r="R1811" s="8" t="inlineStr">
        <is>
          <t>PCAP</t>
        </is>
      </c>
      <c r="S1811" s="9" t="n">
        <v>46310</v>
      </c>
      <c r="T1811" s="3" t="n">
        <v>46304.50086805555</v>
      </c>
      <c r="U1811" s="2" t="n"/>
    </row>
    <row r="1812">
      <c r="A1812" s="2" t="inlineStr">
        <is>
          <t>Pendiente de adjudicación</t>
        </is>
      </c>
      <c r="B1812" s="3" t="n">
        <v>46295.99930555555</v>
      </c>
      <c r="C1812" s="5" t="n">
        <v>1025680.86</v>
      </c>
      <c r="D1812" s="5" t="n">
        <v>1025680.86</v>
      </c>
      <c r="E1812" s="2" t="inlineStr">
        <is>
          <t>Andalucía</t>
        </is>
      </c>
      <c r="F1812" s="2" t="inlineStr">
        <is>
          <t>Cádiz</t>
        </is>
      </c>
      <c r="G1812" s="2" t="inlineStr">
        <is>
          <t>Los Barrios</t>
        </is>
      </c>
      <c r="H1812" s="2" t="inlineStr">
        <is>
          <t>Alcaldía del Ayuntamiento de Los Barrios (Cádiz)</t>
        </is>
      </c>
      <c r="I1812" s="2" t="inlineStr">
        <is>
          <t>Contrato de obras del Proyecto Municipal de nuevas instalaciones náutico-deportivas en el estuario del río Palmones TM de Los Barrios, (Cádiz).</t>
        </is>
      </c>
      <c r="J1812" s="2" t="inlineStr">
        <is>
          <t>67.26</t>
        </is>
      </c>
      <c r="K1812" s="2" t="inlineStr">
        <is>
          <t>Abierto simplificado</t>
        </is>
      </c>
      <c r="L1812" s="6" t="n">
        <v>4</v>
      </c>
      <c r="M1812" s="2" t="inlineStr">
        <is>
          <t>F*-4</t>
        </is>
      </c>
      <c r="N1812" s="7" t="n">
        <v>0</v>
      </c>
      <c r="O1812" s="4" t="n"/>
      <c r="P1812" s="2" t="inlineStr">
        <is>
          <t>45241300; 34515000</t>
        </is>
      </c>
      <c r="Q1812" s="8" t="inlineStr">
        <is>
          <t>Ver</t>
        </is>
      </c>
      <c r="R1812" s="8" t="inlineStr">
        <is>
          <t>PCAP</t>
        </is>
      </c>
      <c r="S1812" s="9" t="n">
        <v>46310</v>
      </c>
      <c r="T1812" s="3" t="n">
        <v>46304.49732638889</v>
      </c>
      <c r="U1812" s="2" t="n"/>
    </row>
    <row r="1813">
      <c r="A1813" s="2" t="inlineStr">
        <is>
          <t>En plazo</t>
        </is>
      </c>
      <c r="B1813" s="3" t="n">
        <v>46324.99930555555</v>
      </c>
      <c r="C1813" s="5" t="n">
        <v>134772.28</v>
      </c>
      <c r="D1813" s="5" t="n">
        <v>134772.28</v>
      </c>
      <c r="E1813" s="2" t="inlineStr">
        <is>
          <t>Andalucía</t>
        </is>
      </c>
      <c r="F1813" s="2" t="inlineStr">
        <is>
          <t>Granada</t>
        </is>
      </c>
      <c r="G1813" s="2" t="n"/>
      <c r="H1813" s="2" t="inlineStr">
        <is>
          <t>Junta de Gobierno del Ayuntamiento de Cájar</t>
        </is>
      </c>
      <c r="I1813" s="2" t="inlineStr">
        <is>
          <t>Contrato de obras para la ejecución del "Proyecto de acerado de la vía de acceso a Cájar en su entrada en la población por Avenida Huétor Vega y que comunica con los municipios colindantes de Huétor Vega y Monachil".</t>
        </is>
      </c>
      <c r="J1813" s="2" t="inlineStr">
        <is>
          <t>133/2026</t>
        </is>
      </c>
      <c r="K1813" s="2" t="inlineStr">
        <is>
          <t>Abierto simplificado</t>
        </is>
      </c>
      <c r="L1813" s="6" t="n">
        <v>6</v>
      </c>
      <c r="M1813" s="2" t="n"/>
      <c r="N1813" s="7" t="n">
        <v>0</v>
      </c>
      <c r="O1813" s="4" t="n"/>
      <c r="P1813" s="2" t="inlineStr">
        <is>
          <t>45233340</t>
        </is>
      </c>
      <c r="Q1813" s="8" t="inlineStr">
        <is>
          <t>Ver</t>
        </is>
      </c>
      <c r="R1813" s="8" t="inlineStr">
        <is>
          <t>PCAP</t>
        </is>
      </c>
      <c r="S1813" s="9" t="n">
        <v>46310</v>
      </c>
      <c r="T1813" s="3" t="n">
        <v>46304.49677083334</v>
      </c>
      <c r="U1813" s="2" t="n"/>
    </row>
    <row r="1814">
      <c r="A1814" s="2" t="inlineStr">
        <is>
          <t>Resuelta</t>
        </is>
      </c>
      <c r="B1814" s="3" t="n">
        <v>46157.41666666666</v>
      </c>
      <c r="C1814" s="5" t="n">
        <v>52000</v>
      </c>
      <c r="D1814" s="5" t="n">
        <v>52000</v>
      </c>
      <c r="E1814" s="2" t="inlineStr">
        <is>
          <t>Andalucía</t>
        </is>
      </c>
      <c r="F1814" s="2" t="inlineStr">
        <is>
          <t>Cádiz</t>
        </is>
      </c>
      <c r="G1814" s="2" t="n"/>
      <c r="H1814" s="2" t="inlineStr">
        <is>
          <t>Comité Central de Compras de Navantia S.A., S.M.E.</t>
        </is>
      </c>
      <c r="I1814" s="2" t="inlineStr">
        <is>
          <t>La presente licitación tiene por objeto la contratación de la obra de sustitución de las puertas de extracción de la cabina de chorro nº2 Navantia San Fernando.</t>
        </is>
      </c>
      <c r="J1814" s="2" t="inlineStr">
        <is>
          <t>5100063547 - Sust de las puertas de extracción</t>
        </is>
      </c>
      <c r="K1814" s="2" t="inlineStr">
        <is>
          <t>Normas internas</t>
        </is>
      </c>
      <c r="L1814" s="6" t="n">
        <v>1.9</v>
      </c>
      <c r="M1814" s="2" t="n"/>
      <c r="N1814" s="7" t="n">
        <v>1</v>
      </c>
      <c r="O1814" s="4" t="n"/>
      <c r="P1814" s="2" t="inlineStr">
        <is>
          <t>45000000; 45421131</t>
        </is>
      </c>
      <c r="Q1814" s="8" t="inlineStr">
        <is>
          <t>Ver</t>
        </is>
      </c>
      <c r="R1814" s="8" t="inlineStr">
        <is>
          <t>PCAP</t>
        </is>
      </c>
      <c r="S1814" s="9" t="n">
        <v>46310</v>
      </c>
      <c r="T1814" s="3" t="n">
        <v>46304.49297453704</v>
      </c>
      <c r="U1814" s="2" t="n"/>
    </row>
    <row r="1815">
      <c r="A1815" s="2" t="inlineStr">
        <is>
          <t>Resuelta</t>
        </is>
      </c>
      <c r="B1815" s="3" t="n">
        <v>46266.41666666666</v>
      </c>
      <c r="C1815" s="5" t="n">
        <v>63000</v>
      </c>
      <c r="D1815" s="5" t="n">
        <v>63000</v>
      </c>
      <c r="E1815" s="2" t="inlineStr">
        <is>
          <t>Andalucía</t>
        </is>
      </c>
      <c r="F1815" s="2" t="inlineStr">
        <is>
          <t>Huelva</t>
        </is>
      </c>
      <c r="G1815" s="2" t="n"/>
      <c r="H1815" s="2" t="inlineStr">
        <is>
          <t>Empresa de Transformación Agraria S.A.,S.M.E., M.P., (TRAGSA)</t>
        </is>
      </c>
      <c r="I181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815" s="2" t="inlineStr">
        <is>
          <t>TSA0080057-240</t>
        </is>
      </c>
      <c r="K1815" s="2" t="inlineStr">
        <is>
          <t>Abierto</t>
        </is>
      </c>
      <c r="L1815" s="6" t="n">
        <v>8</v>
      </c>
      <c r="M1815" s="2" t="n"/>
      <c r="N1815" s="7" t="n">
        <v>0</v>
      </c>
      <c r="O1815" s="4" t="n"/>
      <c r="P1815" s="2" t="inlineStr">
        <is>
          <t>45500000</t>
        </is>
      </c>
      <c r="Q1815" s="8" t="inlineStr">
        <is>
          <t>Ver</t>
        </is>
      </c>
      <c r="R1815" s="8" t="inlineStr">
        <is>
          <t>PCAP</t>
        </is>
      </c>
      <c r="S1815" s="9" t="n">
        <v>46310</v>
      </c>
      <c r="T1815" s="3" t="n">
        <v>46304.49168981481</v>
      </c>
      <c r="U1815" s="2" t="n"/>
    </row>
    <row r="1816">
      <c r="A1816" s="2" t="inlineStr">
        <is>
          <t>Resuelta</t>
        </is>
      </c>
      <c r="B1816" s="3" t="n">
        <v>46266.41666666666</v>
      </c>
      <c r="C1816" s="5" t="n">
        <v>63000</v>
      </c>
      <c r="D1816" s="5" t="n">
        <v>63000</v>
      </c>
      <c r="E1816" s="2" t="inlineStr">
        <is>
          <t>Andalucía</t>
        </is>
      </c>
      <c r="F1816" s="2" t="inlineStr">
        <is>
          <t>Huelva</t>
        </is>
      </c>
      <c r="G1816" s="2" t="n"/>
      <c r="H1816" s="2" t="inlineStr">
        <is>
          <t>Empresa de Transformación Agraria S.A.,S.M.E., M.P., (TRAGSA)</t>
        </is>
      </c>
      <c r="I181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816" s="2" t="inlineStr">
        <is>
          <t>TSA0080057-237</t>
        </is>
      </c>
      <c r="K1816" s="2" t="inlineStr">
        <is>
          <t>Abierto</t>
        </is>
      </c>
      <c r="L1816" s="6" t="n">
        <v>8</v>
      </c>
      <c r="M1816" s="2" t="n"/>
      <c r="N1816" s="7" t="n">
        <v>0</v>
      </c>
      <c r="O1816" s="4" t="n"/>
      <c r="P1816" s="2" t="inlineStr">
        <is>
          <t>45500000</t>
        </is>
      </c>
      <c r="Q1816" s="8" t="inlineStr">
        <is>
          <t>Ver</t>
        </is>
      </c>
      <c r="R1816" s="8" t="inlineStr">
        <is>
          <t>PCAP</t>
        </is>
      </c>
      <c r="S1816" s="9" t="n">
        <v>46310</v>
      </c>
      <c r="T1816" s="3" t="n">
        <v>46304.4897337963</v>
      </c>
      <c r="U1816" s="2" t="n"/>
    </row>
    <row r="1817">
      <c r="A1817" s="2" t="inlineStr">
        <is>
          <t>Resuelta</t>
        </is>
      </c>
      <c r="B1817" s="3" t="n">
        <v>46259.41666666666</v>
      </c>
      <c r="C1817" s="5" t="n">
        <v>63000</v>
      </c>
      <c r="D1817" s="5" t="n">
        <v>63000</v>
      </c>
      <c r="E1817" s="2" t="inlineStr">
        <is>
          <t>Andalucía</t>
        </is>
      </c>
      <c r="F1817" s="2" t="inlineStr">
        <is>
          <t>Huelva</t>
        </is>
      </c>
      <c r="G1817" s="2" t="n"/>
      <c r="H1817" s="2" t="inlineStr">
        <is>
          <t>Empresa de Transformación Agraria S.A.,S.M.E., M.P., (TRAGSA)</t>
        </is>
      </c>
      <c r="I181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817" s="2" t="inlineStr">
        <is>
          <t>TSA0080057-235</t>
        </is>
      </c>
      <c r="K1817" s="2" t="inlineStr">
        <is>
          <t>Abierto</t>
        </is>
      </c>
      <c r="L1817" s="6" t="n">
        <v>8</v>
      </c>
      <c r="M1817" s="2" t="n"/>
      <c r="N1817" s="7" t="n">
        <v>0</v>
      </c>
      <c r="O1817" s="4" t="n"/>
      <c r="P1817" s="2" t="inlineStr">
        <is>
          <t>45500000</t>
        </is>
      </c>
      <c r="Q1817" s="8" t="inlineStr">
        <is>
          <t>Ver</t>
        </is>
      </c>
      <c r="R1817" s="8" t="inlineStr">
        <is>
          <t>PCAP</t>
        </is>
      </c>
      <c r="S1817" s="9" t="n">
        <v>46310</v>
      </c>
      <c r="T1817" s="3" t="n">
        <v>46304.48721064815</v>
      </c>
      <c r="U1817" s="2" t="n"/>
    </row>
    <row r="1818">
      <c r="A1818" s="2" t="inlineStr">
        <is>
          <t>Resuelta</t>
        </is>
      </c>
      <c r="B1818" s="3" t="n">
        <v>46259.41666666666</v>
      </c>
      <c r="C1818" s="5" t="n">
        <v>63000</v>
      </c>
      <c r="D1818" s="5" t="n">
        <v>63000</v>
      </c>
      <c r="E1818" s="2" t="inlineStr">
        <is>
          <t>Andalucía</t>
        </is>
      </c>
      <c r="F1818" s="2" t="inlineStr">
        <is>
          <t>Huelva</t>
        </is>
      </c>
      <c r="G1818" s="2" t="n"/>
      <c r="H1818" s="2" t="inlineStr">
        <is>
          <t>Empresa de Transformación Agraria S.A.,S.M.E., M.P., (TRAGSA)</t>
        </is>
      </c>
      <c r="I181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818" s="2" t="inlineStr">
        <is>
          <t>TSA0080057-232</t>
        </is>
      </c>
      <c r="K1818" s="2" t="inlineStr">
        <is>
          <t>Abierto</t>
        </is>
      </c>
      <c r="L1818" s="6" t="n">
        <v>8</v>
      </c>
      <c r="M1818" s="2" t="n"/>
      <c r="N1818" s="7" t="n">
        <v>0</v>
      </c>
      <c r="O1818" s="4" t="n"/>
      <c r="P1818" s="2" t="inlineStr">
        <is>
          <t>45500000</t>
        </is>
      </c>
      <c r="Q1818" s="8" t="inlineStr">
        <is>
          <t>Ver</t>
        </is>
      </c>
      <c r="R1818" s="8" t="inlineStr">
        <is>
          <t>PCAP</t>
        </is>
      </c>
      <c r="S1818" s="9" t="n">
        <v>46310</v>
      </c>
      <c r="T1818" s="3" t="n">
        <v>46304.48612268519</v>
      </c>
      <c r="U1818" s="2" t="n"/>
    </row>
    <row r="1819">
      <c r="A1819" s="2" t="inlineStr">
        <is>
          <t>Resuelta</t>
        </is>
      </c>
      <c r="B1819" s="3" t="n">
        <v>46252.41666666666</v>
      </c>
      <c r="C1819" s="5" t="n">
        <v>22500</v>
      </c>
      <c r="D1819" s="5" t="n">
        <v>22500</v>
      </c>
      <c r="E1819" s="2" t="inlineStr">
        <is>
          <t>Andalucía</t>
        </is>
      </c>
      <c r="F1819" s="2" t="inlineStr">
        <is>
          <t>Huelva</t>
        </is>
      </c>
      <c r="G1819" s="2" t="n"/>
      <c r="H1819" s="2" t="inlineStr">
        <is>
          <t>Empresa de Transformación Agraria S.A.,S.M.E., M.P., (TRAGSA)</t>
        </is>
      </c>
      <c r="I181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819" s="2" t="inlineStr">
        <is>
          <t>TSA0080057-222</t>
        </is>
      </c>
      <c r="K1819" s="2" t="inlineStr">
        <is>
          <t>Abierto</t>
        </is>
      </c>
      <c r="L1819" s="6" t="n">
        <v>7</v>
      </c>
      <c r="M1819" s="2" t="n"/>
      <c r="N1819" s="7" t="n">
        <v>0</v>
      </c>
      <c r="O1819" s="4" t="n"/>
      <c r="P1819" s="2" t="inlineStr">
        <is>
          <t>45500000</t>
        </is>
      </c>
      <c r="Q1819" s="8" t="inlineStr">
        <is>
          <t>Ver</t>
        </is>
      </c>
      <c r="R1819" s="8" t="inlineStr">
        <is>
          <t>PCAP</t>
        </is>
      </c>
      <c r="S1819" s="9" t="n">
        <v>46310</v>
      </c>
      <c r="T1819" s="3" t="n">
        <v>46304.48461805555</v>
      </c>
      <c r="U1819" s="2" t="n"/>
    </row>
    <row r="1820">
      <c r="A1820" s="2" t="inlineStr">
        <is>
          <t>Adjudicada</t>
        </is>
      </c>
      <c r="B1820" s="3" t="n"/>
      <c r="C1820" s="5" t="n">
        <v>21520.52</v>
      </c>
      <c r="D1820" s="5" t="n">
        <v>21520.52</v>
      </c>
      <c r="E1820" s="2" t="inlineStr">
        <is>
          <t>Andalucía</t>
        </is>
      </c>
      <c r="F1820" s="2" t="inlineStr">
        <is>
          <t>Cádiz</t>
        </is>
      </c>
      <c r="G1820" s="2" t="inlineStr">
        <is>
          <t>Cádiz</t>
        </is>
      </c>
      <c r="H1820" s="2" t="inlineStr">
        <is>
          <t>Aena. Dirección del Aeropuerto de Jerez</t>
        </is>
      </c>
      <c r="I1820" s="2" t="inlineStr">
        <is>
          <t>Reparación Cubierta Superior De Tejas Del Edificio Terminal Del Aeropuerto De Jerez</t>
        </is>
      </c>
      <c r="J1820" s="2" t="inlineStr">
        <is>
          <t>XRY-77/2026</t>
        </is>
      </c>
      <c r="K1820" s="2" t="inlineStr">
        <is>
          <t>Normas internas</t>
        </is>
      </c>
      <c r="L1820" s="6" t="n">
        <v>2</v>
      </c>
      <c r="M1820" s="2" t="n"/>
      <c r="N1820" s="7" t="n"/>
      <c r="O1820" s="4" t="n"/>
      <c r="P1820" s="2" t="inlineStr">
        <is>
          <t>45261420</t>
        </is>
      </c>
      <c r="Q1820" s="8" t="inlineStr">
        <is>
          <t>Ver</t>
        </is>
      </c>
      <c r="R1820" s="2" t="n"/>
      <c r="S1820" s="9" t="n">
        <v>46310</v>
      </c>
      <c r="T1820" s="3" t="n">
        <v>46304.48222222222</v>
      </c>
      <c r="U1820" s="2" t="n"/>
    </row>
    <row r="1821">
      <c r="A1821" s="2" t="inlineStr">
        <is>
          <t>Resuelta</t>
        </is>
      </c>
      <c r="B1821" s="3" t="n">
        <v>46262.99930555555</v>
      </c>
      <c r="C1821" s="5" t="n">
        <v>162688.4</v>
      </c>
      <c r="D1821" s="5" t="n">
        <v>162688.4</v>
      </c>
      <c r="E1821" s="2" t="inlineStr">
        <is>
          <t>Andalucía</t>
        </is>
      </c>
      <c r="F1821" s="2" t="inlineStr">
        <is>
          <t>Cádiz</t>
        </is>
      </c>
      <c r="G1821" s="2" t="inlineStr">
        <is>
          <t>Chipiona</t>
        </is>
      </c>
      <c r="H1821" s="2" t="inlineStr">
        <is>
          <t>Alcaldía del Ayuntamiento de Chipiona</t>
        </is>
      </c>
      <c r="I1821"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1821" s="2" t="inlineStr">
        <is>
          <t>9050 PAS Asfaltado camino Machuelas Alcubilla ...</t>
        </is>
      </c>
      <c r="K1821" s="2" t="inlineStr">
        <is>
          <t>Abierto simplificado</t>
        </is>
      </c>
      <c r="L1821" s="6" t="n">
        <v>1.5</v>
      </c>
      <c r="M1821" s="2" t="n"/>
      <c r="N1821" s="7" t="n">
        <v>0</v>
      </c>
      <c r="O1821" s="4" t="n"/>
      <c r="P1821" s="2" t="inlineStr">
        <is>
          <t>45233160; 45233141; 45233100</t>
        </is>
      </c>
      <c r="Q1821" s="8" t="inlineStr">
        <is>
          <t>Ver</t>
        </is>
      </c>
      <c r="R1821" s="8" t="inlineStr">
        <is>
          <t>PCAP</t>
        </is>
      </c>
      <c r="S1821" s="9" t="n">
        <v>46310</v>
      </c>
      <c r="T1821" s="3" t="n">
        <v>46304.47145833333</v>
      </c>
      <c r="U1821" s="2" t="n"/>
    </row>
    <row r="1822">
      <c r="A1822" s="2" t="inlineStr">
        <is>
          <t>Resuelta</t>
        </is>
      </c>
      <c r="B1822" s="3" t="n">
        <v>46252.99930555555</v>
      </c>
      <c r="C1822" s="5" t="n">
        <v>78004.5</v>
      </c>
      <c r="D1822" s="5" t="n">
        <v>78004.5</v>
      </c>
      <c r="E1822" s="2" t="inlineStr">
        <is>
          <t>Andalucía</t>
        </is>
      </c>
      <c r="F1822" s="2" t="inlineStr">
        <is>
          <t>Málaga</t>
        </is>
      </c>
      <c r="G1822" s="2" t="n"/>
      <c r="H1822" s="2" t="inlineStr">
        <is>
          <t>Junta de Gobierno del Ayuntamiento de Fuengirola</t>
        </is>
      </c>
      <c r="I1822" s="2" t="inlineStr">
        <is>
          <t>Obras de acondicionamiento del Pump Track, caminos y carriles en el Parque de La Loma</t>
        </is>
      </c>
      <c r="J1822" s="2" t="inlineStr">
        <is>
          <t>CONTR-2026000065</t>
        </is>
      </c>
      <c r="K1822" s="2" t="inlineStr">
        <is>
          <t>Abierto simplificado</t>
        </is>
      </c>
      <c r="L1822" s="6" t="n">
        <v>1</v>
      </c>
      <c r="M1822" s="2" t="n"/>
      <c r="N1822" s="7" t="n">
        <v>0</v>
      </c>
      <c r="O1822" s="4" t="n"/>
      <c r="P1822" s="2" t="inlineStr">
        <is>
          <t>45432100; 45233161; 45421144; 45223110</t>
        </is>
      </c>
      <c r="Q1822" s="8" t="inlineStr">
        <is>
          <t>Ver</t>
        </is>
      </c>
      <c r="R1822" s="8" t="inlineStr">
        <is>
          <t>PCAP</t>
        </is>
      </c>
      <c r="S1822" s="9" t="n">
        <v>46310</v>
      </c>
      <c r="T1822" s="3" t="n">
        <v>46304.46082175926</v>
      </c>
      <c r="U1822" s="2" t="n"/>
    </row>
    <row r="1823">
      <c r="A1823" s="2" t="inlineStr">
        <is>
          <t>Plazo vencido</t>
        </is>
      </c>
      <c r="B1823" s="3" t="n">
        <v>46321.79166666666</v>
      </c>
      <c r="C1823" s="5" t="n">
        <v>1650495.98</v>
      </c>
      <c r="D1823" s="5" t="n">
        <v>1650495.98</v>
      </c>
      <c r="E1823" s="2" t="inlineStr">
        <is>
          <t>Andalucía</t>
        </is>
      </c>
      <c r="F1823" s="2" t="inlineStr">
        <is>
          <t>Málaga</t>
        </is>
      </c>
      <c r="G1823" s="2" t="n"/>
      <c r="H1823" s="2" t="inlineStr">
        <is>
          <t>Instituto de Turismo de España (TURESPAÑA)</t>
        </is>
      </c>
      <c r="I1823" s="2" t="inlineStr">
        <is>
          <t>Contrato para la ejecución de obras de la Fase II de las obras para la protección y consolidación del frente de acantilado del parador de turismo de Nerja (Málaga)</t>
        </is>
      </c>
      <c r="J1823" s="2" t="inlineStr">
        <is>
          <t>020026C00098</t>
        </is>
      </c>
      <c r="K1823" s="2" t="inlineStr">
        <is>
          <t>Abierto simplificado</t>
        </is>
      </c>
      <c r="L1823" s="6" t="n">
        <v>10</v>
      </c>
      <c r="M1823" s="2" t="n"/>
      <c r="N1823" s="7" t="n">
        <v>0</v>
      </c>
      <c r="O1823" s="4" t="n"/>
      <c r="P1823" s="2" t="inlineStr">
        <is>
          <t>45200000</t>
        </is>
      </c>
      <c r="Q1823" s="8" t="inlineStr">
        <is>
          <t>Ver</t>
        </is>
      </c>
      <c r="R1823" s="8" t="inlineStr">
        <is>
          <t>PCAP</t>
        </is>
      </c>
      <c r="S1823" s="9" t="n">
        <v>46310</v>
      </c>
      <c r="T1823" s="3" t="n">
        <v>46304.45849537037</v>
      </c>
      <c r="U1823" s="2" t="n"/>
    </row>
    <row r="1824">
      <c r="A1824" s="2" t="inlineStr">
        <is>
          <t>En plazo</t>
        </is>
      </c>
      <c r="B1824" s="3" t="n">
        <v>46330.99930555555</v>
      </c>
      <c r="C1824" s="5" t="n">
        <v>65234.6</v>
      </c>
      <c r="D1824" s="5" t="n">
        <v>78933.87</v>
      </c>
      <c r="E1824" s="2" t="inlineStr">
        <is>
          <t>Andalucía</t>
        </is>
      </c>
      <c r="F1824" s="2" t="inlineStr">
        <is>
          <t>Granada</t>
        </is>
      </c>
      <c r="G1824" s="2" t="n"/>
      <c r="H1824" s="2" t="inlineStr">
        <is>
          <t>Alcaldia del Ayuntamiento de Motril</t>
        </is>
      </c>
      <c r="I1824" s="2" t="inlineStr">
        <is>
          <t>Preparación de parcela para circuito BMX en Ronda de Levante, Motril (1ª fase)</t>
        </is>
      </c>
      <c r="J1824" s="2" t="inlineStr">
        <is>
          <t>OBR/ABR/CONTRATACION2026000053</t>
        </is>
      </c>
      <c r="K1824" s="2" t="inlineStr">
        <is>
          <t>Abierto</t>
        </is>
      </c>
      <c r="L1824" s="6" t="n">
        <v>4</v>
      </c>
      <c r="M1824" s="2" t="inlineStr">
        <is>
          <t>A2-1</t>
        </is>
      </c>
      <c r="N1824" s="7" t="n">
        <v>0</v>
      </c>
      <c r="O1824" s="4" t="n"/>
      <c r="P1824" s="2" t="inlineStr">
        <is>
          <t>45233162</t>
        </is>
      </c>
      <c r="Q1824" s="8" t="inlineStr">
        <is>
          <t>Ver</t>
        </is>
      </c>
      <c r="R1824" s="8" t="inlineStr">
        <is>
          <t>PCAP</t>
        </is>
      </c>
      <c r="S1824" s="9" t="n">
        <v>46310</v>
      </c>
      <c r="T1824" s="3" t="n">
        <v>46304.45704861111</v>
      </c>
      <c r="U1824" s="2" t="n"/>
    </row>
    <row r="1825">
      <c r="A1825" s="2" t="inlineStr">
        <is>
          <t>En plazo</t>
        </is>
      </c>
      <c r="B1825" s="3" t="n">
        <v>46324.99930555555</v>
      </c>
      <c r="C1825" s="5" t="n">
        <v>148914.21</v>
      </c>
      <c r="D1825" s="5" t="n">
        <v>148914.21</v>
      </c>
      <c r="E1825" s="2" t="inlineStr">
        <is>
          <t>Andalucía</t>
        </is>
      </c>
      <c r="F1825" s="2" t="inlineStr">
        <is>
          <t>Huelva</t>
        </is>
      </c>
      <c r="G1825" s="2" t="n"/>
      <c r="H1825" s="2" t="inlineStr">
        <is>
          <t>Junta de Gobierno Local del Ayuntamiento de Bollullos Par del Condado</t>
        </is>
      </c>
      <c r="I1825" s="2" t="inlineStr">
        <is>
          <t>Actuación de rehabilitación de firmes pavimentados en Bollullos Par del Condado</t>
        </is>
      </c>
      <c r="J1825" s="2" t="inlineStr">
        <is>
          <t>CONAD0000035 2026</t>
        </is>
      </c>
      <c r="K1825" s="2" t="inlineStr">
        <is>
          <t>Abierto simplificado</t>
        </is>
      </c>
      <c r="L1825" s="6" t="n">
        <v>2</v>
      </c>
      <c r="M1825" s="2" t="inlineStr">
        <is>
          <t>G4-1</t>
        </is>
      </c>
      <c r="N1825" s="7" t="n">
        <v>0</v>
      </c>
      <c r="O1825" s="4" t="n"/>
      <c r="P1825" s="2" t="inlineStr">
        <is>
          <t>45233252</t>
        </is>
      </c>
      <c r="Q1825" s="8" t="inlineStr">
        <is>
          <t>Ver</t>
        </is>
      </c>
      <c r="R1825" s="8" t="inlineStr">
        <is>
          <t>PCAP</t>
        </is>
      </c>
      <c r="S1825" s="9" t="n">
        <v>46310</v>
      </c>
      <c r="T1825" s="3" t="n">
        <v>46304.44199074074</v>
      </c>
      <c r="U1825" s="2" t="n"/>
    </row>
    <row r="1826">
      <c r="A1826" s="2" t="inlineStr">
        <is>
          <t>Resuelta</t>
        </is>
      </c>
      <c r="B1826" s="3" t="n">
        <v>46294.375</v>
      </c>
      <c r="C1826" s="5" t="n">
        <v>39991.08</v>
      </c>
      <c r="D1826" s="5" t="n">
        <v>39991.08</v>
      </c>
      <c r="E1826" s="2" t="inlineStr">
        <is>
          <t>Andalucía</t>
        </is>
      </c>
      <c r="F1826" s="2" t="inlineStr">
        <is>
          <t>Cádiz</t>
        </is>
      </c>
      <c r="G1826" s="2" t="n"/>
      <c r="H1826" s="2" t="inlineStr">
        <is>
          <t>Intendente de San Fernando</t>
        </is>
      </c>
      <c r="I1826" s="2" t="inlineStr">
        <is>
          <t>INFRA26-050 CB Reparación de muro de piscina de CDSCA oficiales. Lote 7.</t>
        </is>
      </c>
      <c r="J1826" s="2" t="inlineStr">
        <is>
          <t>2026/AR43U/00002543E</t>
        </is>
      </c>
      <c r="K1826" s="2" t="inlineStr">
        <is>
          <t>Abierto</t>
        </is>
      </c>
      <c r="L1826" s="6" t="n">
        <v>2</v>
      </c>
      <c r="M1826" s="2" t="n"/>
      <c r="N1826" s="7" t="n">
        <v>0</v>
      </c>
      <c r="O1826" s="4" t="n"/>
      <c r="P1826" s="2" t="inlineStr">
        <is>
          <t>45000000</t>
        </is>
      </c>
      <c r="Q1826" s="8" t="inlineStr">
        <is>
          <t>Ver</t>
        </is>
      </c>
      <c r="R1826" s="8" t="inlineStr">
        <is>
          <t>PCAP</t>
        </is>
      </c>
      <c r="S1826" s="9" t="n">
        <v>46310</v>
      </c>
      <c r="T1826" s="3" t="n">
        <v>46304.43069444445</v>
      </c>
      <c r="U1826" s="2" t="n"/>
    </row>
    <row r="1827">
      <c r="A1827" s="2" t="inlineStr">
        <is>
          <t>Resuelta</t>
        </is>
      </c>
      <c r="B1827" s="3" t="n">
        <v>46297.375</v>
      </c>
      <c r="C1827" s="5" t="n">
        <v>49460.96</v>
      </c>
      <c r="D1827" s="5" t="n">
        <v>49460.96</v>
      </c>
      <c r="E1827" s="2" t="inlineStr">
        <is>
          <t>Andalucía</t>
        </is>
      </c>
      <c r="F1827" s="2" t="inlineStr">
        <is>
          <t>Cádiz</t>
        </is>
      </c>
      <c r="G1827" s="2" t="n"/>
      <c r="H1827" s="2" t="inlineStr">
        <is>
          <t>Intendente de San Fernando</t>
        </is>
      </c>
      <c r="I1827" s="2" t="inlineStr">
        <is>
          <t>INFRA26-061 CB Reparaciones en redes de baja tensión: ADU, red trenzada CT6-CGP y línea subterránea CT3-Esteros. Lote 1</t>
        </is>
      </c>
      <c r="J1827" s="2" t="inlineStr">
        <is>
          <t>2026/AR43U/00002525E</t>
        </is>
      </c>
      <c r="K1827" s="2" t="inlineStr">
        <is>
          <t>Abierto</t>
        </is>
      </c>
      <c r="L1827" s="6" t="n">
        <v>1.7</v>
      </c>
      <c r="M1827" s="2" t="n"/>
      <c r="N1827" s="7" t="n">
        <v>0</v>
      </c>
      <c r="O1827" s="4" t="n"/>
      <c r="P1827" s="2" t="inlineStr">
        <is>
          <t>45310000</t>
        </is>
      </c>
      <c r="Q1827" s="8" t="inlineStr">
        <is>
          <t>Ver</t>
        </is>
      </c>
      <c r="R1827" s="8" t="inlineStr">
        <is>
          <t>PCAP</t>
        </is>
      </c>
      <c r="S1827" s="9" t="n">
        <v>46310</v>
      </c>
      <c r="T1827" s="3" t="n">
        <v>46304.42888888889</v>
      </c>
      <c r="U1827" s="2" t="n"/>
    </row>
    <row r="1828">
      <c r="A1828" s="2" t="inlineStr">
        <is>
          <t>Plazo vencido</t>
        </is>
      </c>
      <c r="B1828" s="3" t="n">
        <v>46321.58333333334</v>
      </c>
      <c r="C1828" s="5" t="n">
        <v>69444.63</v>
      </c>
      <c r="D1828" s="5" t="n">
        <v>69444.63</v>
      </c>
      <c r="E1828" s="2" t="inlineStr">
        <is>
          <t>Andalucía</t>
        </is>
      </c>
      <c r="F1828" s="2" t="inlineStr">
        <is>
          <t>Sevilla</t>
        </is>
      </c>
      <c r="G1828" s="2" t="n"/>
      <c r="H1828" s="2" t="inlineStr">
        <is>
          <t>Alcaldía del Ayuntamiento de Pruna</t>
        </is>
      </c>
      <c r="I1828" s="2" t="inlineStr">
        <is>
          <t>Patcul</t>
        </is>
      </c>
      <c r="J1828" s="2" t="inlineStr">
        <is>
          <t>P4107600A-2026/000010-PAAB</t>
        </is>
      </c>
      <c r="K1828" s="2" t="inlineStr">
        <is>
          <t>Abierto simplificado</t>
        </is>
      </c>
      <c r="L1828" s="6" t="n">
        <v>4</v>
      </c>
      <c r="M1828" s="2" t="n"/>
      <c r="N1828" s="7" t="n">
        <v>0</v>
      </c>
      <c r="O1828" s="4" t="n">
        <v>2</v>
      </c>
      <c r="P1828" s="2" t="inlineStr">
        <is>
          <t>45233140</t>
        </is>
      </c>
      <c r="Q1828" s="8" t="inlineStr">
        <is>
          <t>Ver</t>
        </is>
      </c>
      <c r="R1828" s="8" t="inlineStr">
        <is>
          <t>PCAP</t>
        </is>
      </c>
      <c r="S1828" s="9" t="n">
        <v>46310</v>
      </c>
      <c r="T1828" s="3" t="n">
        <v>46304.42538194444</v>
      </c>
      <c r="U1828" s="2" t="n"/>
    </row>
    <row r="1829">
      <c r="A1829" s="2" t="inlineStr">
        <is>
          <t>En plazo</t>
        </is>
      </c>
      <c r="B1829" s="3" t="n">
        <v>46330.99930555555</v>
      </c>
      <c r="C1829" s="5" t="n">
        <v>86607.78</v>
      </c>
      <c r="D1829" s="5" t="n">
        <v>346431.12</v>
      </c>
      <c r="E1829" s="2" t="inlineStr">
        <is>
          <t>Andalucía</t>
        </is>
      </c>
      <c r="F1829" s="2" t="inlineStr">
        <is>
          <t>Sevilla</t>
        </is>
      </c>
      <c r="G1829" s="2" t="n"/>
      <c r="H1829" s="2" t="inlineStr">
        <is>
          <t>Comisión Ejecutiva de la Limpieza Pública y Protección Ambiental Sociedad Anónima Municipal (LIPASAM)</t>
        </is>
      </c>
      <c r="I1829" s="2" t="inlineStr">
        <is>
          <t>Obras de montaje, desmontaje y alquiler de estructuras modulares, cubrición, distribución interna, entarimado y decoración de la caseta de LIPASAM, durante la Feria de abril de Sevilla</t>
        </is>
      </c>
      <c r="J1829" s="2" t="inlineStr">
        <is>
          <t>C.E. 32/2026</t>
        </is>
      </c>
      <c r="K1829" s="2" t="inlineStr">
        <is>
          <t>Abierto simplificado</t>
        </is>
      </c>
      <c r="L1829" s="6" t="n">
        <v>12</v>
      </c>
      <c r="M1829" s="2" t="n"/>
      <c r="N1829" s="7" t="n">
        <v>0.25</v>
      </c>
      <c r="O1829" s="4" t="n"/>
      <c r="P1829" s="2" t="inlineStr">
        <is>
          <t>45223100; 45262420; 45223800; 45420000</t>
        </is>
      </c>
      <c r="Q1829" s="8" t="inlineStr">
        <is>
          <t>Ver</t>
        </is>
      </c>
      <c r="R1829" s="8" t="inlineStr">
        <is>
          <t>PCAP</t>
        </is>
      </c>
      <c r="S1829" s="9" t="n">
        <v>46310</v>
      </c>
      <c r="T1829" s="3" t="n">
        <v>46304.39957175926</v>
      </c>
      <c r="U1829" s="2" t="n"/>
    </row>
    <row r="1830">
      <c r="A1830" s="2" t="inlineStr">
        <is>
          <t>En plazo</t>
        </is>
      </c>
      <c r="B1830" s="3" t="n">
        <v>46324.99930555555</v>
      </c>
      <c r="C1830" s="5" t="n">
        <v>95337.44</v>
      </c>
      <c r="D1830" s="5" t="n">
        <v>95337.44</v>
      </c>
      <c r="E1830" s="2" t="inlineStr">
        <is>
          <t>Andalucía</t>
        </is>
      </c>
      <c r="F1830" s="2" t="inlineStr">
        <is>
          <t>Huelva</t>
        </is>
      </c>
      <c r="G1830" s="2" t="n"/>
      <c r="H1830" s="2" t="inlineStr">
        <is>
          <t>Junta de Gobierno del Ayuntamiento de Almonte</t>
        </is>
      </c>
      <c r="I1830"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1830" s="2" t="inlineStr">
        <is>
          <t>14709/2026</t>
        </is>
      </c>
      <c r="K1830" s="2" t="inlineStr">
        <is>
          <t>Abierto simplificado</t>
        </is>
      </c>
      <c r="L1830" s="6" t="n">
        <v>6</v>
      </c>
      <c r="M1830" s="2" t="n"/>
      <c r="N1830" s="7" t="n">
        <v>0.25</v>
      </c>
      <c r="O1830" s="4" t="n"/>
      <c r="P1830" s="2" t="inlineStr">
        <is>
          <t>45212000</t>
        </is>
      </c>
      <c r="Q1830" s="8" t="inlineStr">
        <is>
          <t>Ver</t>
        </is>
      </c>
      <c r="R1830" s="8" t="inlineStr">
        <is>
          <t>PCAP</t>
        </is>
      </c>
      <c r="S1830" s="9" t="n">
        <v>46310</v>
      </c>
      <c r="T1830" s="3" t="n">
        <v>46304.39412037037</v>
      </c>
      <c r="U1830" s="2" t="n"/>
    </row>
    <row r="1831">
      <c r="A1831" s="2" t="inlineStr">
        <is>
          <t>Plazo vencido</t>
        </is>
      </c>
      <c r="B1831" s="3" t="n">
        <v>46321.99930555555</v>
      </c>
      <c r="C1831" s="5" t="n">
        <v>636363.64</v>
      </c>
      <c r="D1831" s="5" t="n">
        <v>636363.64</v>
      </c>
      <c r="E1831" s="2" t="inlineStr">
        <is>
          <t>Andalucía</t>
        </is>
      </c>
      <c r="F1831" s="2" t="inlineStr">
        <is>
          <t>Huelva</t>
        </is>
      </c>
      <c r="G1831" s="2" t="n"/>
      <c r="H1831" s="2" t="inlineStr">
        <is>
          <t>Junta de Gobierno del Ayuntamiento de Almonte</t>
        </is>
      </c>
      <c r="I1831"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1831" s="2" t="inlineStr">
        <is>
          <t>12054/2026</t>
        </is>
      </c>
      <c r="K1831" s="2" t="inlineStr">
        <is>
          <t>Abierto simplificado</t>
        </is>
      </c>
      <c r="L1831" s="6" t="n">
        <v>10</v>
      </c>
      <c r="M1831" s="2" t="inlineStr">
        <is>
          <t>C*-3</t>
        </is>
      </c>
      <c r="N1831" s="7" t="n">
        <v>0.25</v>
      </c>
      <c r="O1831" s="4" t="n"/>
      <c r="P1831" s="2" t="inlineStr">
        <is>
          <t>45200000</t>
        </is>
      </c>
      <c r="Q1831" s="8" t="inlineStr">
        <is>
          <t>Ver</t>
        </is>
      </c>
      <c r="R1831" s="8" t="inlineStr">
        <is>
          <t>PCAP</t>
        </is>
      </c>
      <c r="S1831" s="9" t="n">
        <v>46310</v>
      </c>
      <c r="T1831" s="3" t="n">
        <v>46304.36408564815</v>
      </c>
      <c r="U1831" s="2" t="n"/>
    </row>
    <row r="1832">
      <c r="A1832" s="2" t="inlineStr">
        <is>
          <t>Pendiente de adjudicación</t>
        </is>
      </c>
      <c r="B1832" s="3" t="n">
        <v>46216.99930555555</v>
      </c>
      <c r="C1832" s="5" t="n">
        <v>330578.51</v>
      </c>
      <c r="D1832" s="5" t="n">
        <v>330578.51</v>
      </c>
      <c r="E1832" s="2" t="inlineStr">
        <is>
          <t>Andalucía</t>
        </is>
      </c>
      <c r="F1832" s="2" t="inlineStr">
        <is>
          <t>Córdoba</t>
        </is>
      </c>
      <c r="G1832" s="2" t="inlineStr">
        <is>
          <t>Cabra</t>
        </is>
      </c>
      <c r="H1832" s="2" t="inlineStr">
        <is>
          <t>Junta de Gobierno de la Diputación Provincial de Córdoba</t>
        </is>
      </c>
      <c r="I1832" s="2" t="inlineStr">
        <is>
          <t>Contratación de la obra Rehabilitación y equipamiento del edificio del Molino del Duque, Cabra (Córdoba), obra incluida en los Planes Provinciales de Obras y Servicios 2024-2027</t>
        </is>
      </c>
      <c r="J1832" s="2" t="inlineStr">
        <is>
          <t>409/26</t>
        </is>
      </c>
      <c r="K1832" s="2" t="inlineStr">
        <is>
          <t>Abierto</t>
        </is>
      </c>
      <c r="L1832" s="6" t="n">
        <v>8</v>
      </c>
      <c r="M1832" s="2" t="n"/>
      <c r="N1832" s="7" t="n">
        <v>0.25</v>
      </c>
      <c r="O1832" s="4" t="n"/>
      <c r="P1832" s="2" t="inlineStr">
        <is>
          <t>45212314; 45454100; 45262522</t>
        </is>
      </c>
      <c r="Q1832" s="8" t="inlineStr">
        <is>
          <t>Ver</t>
        </is>
      </c>
      <c r="R1832" s="8" t="inlineStr">
        <is>
          <t>PCAP</t>
        </is>
      </c>
      <c r="S1832" s="9" t="n">
        <v>46310</v>
      </c>
      <c r="T1832" s="3" t="n">
        <v>46304.36295138889</v>
      </c>
      <c r="U1832" s="2" t="n"/>
    </row>
    <row r="1833">
      <c r="A1833" s="2" t="inlineStr">
        <is>
          <t>Adjudicada</t>
        </is>
      </c>
      <c r="B1833" s="3" t="n">
        <v>46267.99930555555</v>
      </c>
      <c r="C1833" s="5" t="n">
        <v>106545.5</v>
      </c>
      <c r="D1833" s="5" t="n">
        <v>106545.5</v>
      </c>
      <c r="E1833" s="2" t="inlineStr">
        <is>
          <t>Andalucía</t>
        </is>
      </c>
      <c r="F1833" s="2" t="inlineStr">
        <is>
          <t>Huelva</t>
        </is>
      </c>
      <c r="G1833" s="2" t="n"/>
      <c r="H1833" s="2" t="inlineStr">
        <is>
          <t>Junta de Gobierno del Ayuntamiento de Almonte</t>
        </is>
      </c>
      <c r="I1833" s="2" t="inlineStr">
        <is>
          <t>Ejecución de ampliación de cementerio municipal de Almonte con la construcción de 216 nichos en tres módulos (B1a 24 unidades, C1a 96 unidades y D1a 96 unidades) (obra civil)</t>
        </is>
      </c>
      <c r="J1833" s="2" t="inlineStr">
        <is>
          <t>20022/2025</t>
        </is>
      </c>
      <c r="K1833" s="2" t="inlineStr">
        <is>
          <t>Abierto simplificado</t>
        </is>
      </c>
      <c r="L1833" s="6" t="n">
        <v>1.2</v>
      </c>
      <c r="M1833" s="2" t="n"/>
      <c r="N1833" s="7" t="n">
        <v>0</v>
      </c>
      <c r="O1833" s="4" t="n"/>
      <c r="P1833" s="2" t="inlineStr">
        <is>
          <t>45215400</t>
        </is>
      </c>
      <c r="Q1833" s="8" t="inlineStr">
        <is>
          <t>Ver</t>
        </is>
      </c>
      <c r="R1833" s="8" t="inlineStr">
        <is>
          <t>PCAP</t>
        </is>
      </c>
      <c r="S1833" s="9" t="n">
        <v>46310</v>
      </c>
      <c r="T1833" s="3" t="n">
        <v>46304.35980324074</v>
      </c>
      <c r="U1833" s="2" t="n"/>
    </row>
    <row r="1834">
      <c r="A1834" s="2" t="inlineStr">
        <is>
          <t>En plazo</t>
        </is>
      </c>
      <c r="B1834" s="3" t="n">
        <v>46350.45833333334</v>
      </c>
      <c r="C1834" s="5" t="n">
        <v>3246355.87</v>
      </c>
      <c r="D1834" s="5" t="n">
        <v>3246355.87</v>
      </c>
      <c r="E1834" s="2" t="inlineStr">
        <is>
          <t>Andalucía</t>
        </is>
      </c>
      <c r="F1834" s="2" t="inlineStr">
        <is>
          <t>Sevilla</t>
        </is>
      </c>
      <c r="G1834" s="2" t="n"/>
      <c r="H1834" s="2" t="inlineStr">
        <is>
          <t>Comisión Ejecutiva de la Gerencia de Urbanismo de Sevilla</t>
        </is>
      </c>
      <c r="I1834" s="2" t="inlineStr">
        <is>
          <t>Obras del Proyecto básico y de ejecución para rehabilitación, consolidación y puesta en valor de la sala de Profundis y las viviendas anexas del Real Monasterio de Santa Clara.</t>
        </is>
      </c>
      <c r="J1834" s="2" t="inlineStr">
        <is>
          <t>19/2026</t>
        </is>
      </c>
      <c r="K1834" s="2" t="inlineStr">
        <is>
          <t>Abierto</t>
        </is>
      </c>
      <c r="L1834" s="6" t="n">
        <v>18</v>
      </c>
      <c r="M1834" s="2" t="inlineStr">
        <is>
          <t>K7-4</t>
        </is>
      </c>
      <c r="N1834" s="7" t="n">
        <v>0</v>
      </c>
      <c r="O1834" s="4" t="n"/>
      <c r="P1834" s="2" t="inlineStr">
        <is>
          <t>45212300</t>
        </is>
      </c>
      <c r="Q1834" s="8" t="inlineStr">
        <is>
          <t>Ver</t>
        </is>
      </c>
      <c r="R1834" s="8" t="inlineStr">
        <is>
          <t>PCAP</t>
        </is>
      </c>
      <c r="S1834" s="9" t="n">
        <v>46310</v>
      </c>
      <c r="T1834" s="3" t="n">
        <v>46304.35609953704</v>
      </c>
      <c r="U1834" s="2" t="n"/>
    </row>
    <row r="1835">
      <c r="A1835" s="2" t="inlineStr">
        <is>
          <t>Resuelta</t>
        </is>
      </c>
      <c r="B1835" s="3" t="n">
        <v>46167.58333333334</v>
      </c>
      <c r="C1835" s="5" t="n">
        <v>15222111.13</v>
      </c>
      <c r="D1835" s="5" t="n">
        <v>15222111.13</v>
      </c>
      <c r="E1835" s="2" t="inlineStr">
        <is>
          <t>Comunitat Valenciana</t>
        </is>
      </c>
      <c r="F1835" s="2" t="inlineStr">
        <is>
          <t>Valencia</t>
        </is>
      </c>
      <c r="G1835" s="2" t="inlineStr">
        <is>
          <t>Gandía.</t>
        </is>
      </c>
      <c r="H1835" s="2" t="inlineStr">
        <is>
          <t>Secretaría General de la Agencia Estatal Consejo Superior de Investigaciones Científicas</t>
        </is>
      </c>
      <c r="I1835" s="2" t="inlineStr">
        <is>
          <t>Obras de construcción del Centro de Investigación en Tecnología para las Ciencias del Mar de la Agencia Estatal Consejo Superior de Investigaciones Científicas.</t>
        </is>
      </c>
      <c r="J1835" s="2" t="inlineStr">
        <is>
          <t>34846/26</t>
        </is>
      </c>
      <c r="K1835" s="2" t="inlineStr">
        <is>
          <t>Abierto</t>
        </is>
      </c>
      <c r="L1835" s="6" t="n">
        <v>18</v>
      </c>
      <c r="M1835" s="2" t="inlineStr">
        <is>
          <t>C4-6</t>
        </is>
      </c>
      <c r="N1835" s="7" t="n">
        <v>0.25</v>
      </c>
      <c r="O1835" s="4" t="n"/>
      <c r="P1835" s="2" t="inlineStr">
        <is>
          <t>45214600</t>
        </is>
      </c>
      <c r="Q1835" s="8" t="inlineStr">
        <is>
          <t>Ver</t>
        </is>
      </c>
      <c r="R1835" s="8" t="inlineStr">
        <is>
          <t>PCAP</t>
        </is>
      </c>
      <c r="S1835" s="9" t="n">
        <v>46310</v>
      </c>
      <c r="T1835" s="3" t="n">
        <v>46304.33702546296</v>
      </c>
      <c r="U1835" s="2" t="n"/>
    </row>
    <row r="1836">
      <c r="A1836" s="2" t="inlineStr">
        <is>
          <t>Resuelta</t>
        </is>
      </c>
      <c r="B1836" s="3" t="n">
        <v>46287.99930555555</v>
      </c>
      <c r="C1836" s="5" t="n">
        <v>606600.46</v>
      </c>
      <c r="D1836" s="5" t="n">
        <v>606600.46</v>
      </c>
      <c r="E1836" s="2" t="inlineStr">
        <is>
          <t>Andalucía</t>
        </is>
      </c>
      <c r="F1836" s="2" t="inlineStr">
        <is>
          <t>Cádiz</t>
        </is>
      </c>
      <c r="G1836" s="2" t="inlineStr">
        <is>
          <t>Algeciras</t>
        </is>
      </c>
      <c r="H1836" s="2" t="inlineStr">
        <is>
          <t>Rectorado de la Universidad de Cádiz</t>
        </is>
      </c>
      <c r="I1836"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1836" s="2" t="inlineStr">
        <is>
          <t>EXP041/2026/19</t>
        </is>
      </c>
      <c r="K1836" s="2" t="inlineStr">
        <is>
          <t>Abierto simplificado</t>
        </is>
      </c>
      <c r="L1836" s="6" t="n">
        <v>5</v>
      </c>
      <c r="M1836" s="2" t="inlineStr">
        <is>
          <t>C*-3</t>
        </is>
      </c>
      <c r="N1836" s="7" t="n">
        <v>0.25</v>
      </c>
      <c r="O1836" s="4" t="n"/>
      <c r="P1836" s="2" t="inlineStr">
        <is>
          <t>45261420; 45261300; 45421100; 45421112; 45432100; 45262520; 45432000; 45261400</t>
        </is>
      </c>
      <c r="Q1836" s="8" t="inlineStr">
        <is>
          <t>Ver</t>
        </is>
      </c>
      <c r="R1836" s="8" t="inlineStr">
        <is>
          <t>PCAP</t>
        </is>
      </c>
      <c r="S1836" s="9" t="n">
        <v>46310</v>
      </c>
      <c r="T1836" s="3" t="n">
        <v>46304.33071759259</v>
      </c>
      <c r="U1836" s="2" t="n"/>
    </row>
    <row r="1837">
      <c r="A1837" s="2" t="inlineStr">
        <is>
          <t>Pendiente de adjudicación</t>
        </is>
      </c>
      <c r="B1837" s="3" t="n">
        <v>46287.99930555555</v>
      </c>
      <c r="C1837" s="5" t="n">
        <v>319993.82</v>
      </c>
      <c r="D1837" s="5" t="n">
        <v>319993.82</v>
      </c>
      <c r="E1837" s="2" t="inlineStr">
        <is>
          <t>Andalucía</t>
        </is>
      </c>
      <c r="F1837" s="2" t="inlineStr">
        <is>
          <t>Cádiz</t>
        </is>
      </c>
      <c r="G1837" s="2" t="inlineStr">
        <is>
          <t>Jerez de la Frontera</t>
        </is>
      </c>
      <c r="H1837" s="2" t="inlineStr">
        <is>
          <t>Rectorado de la Universidad de Cádiz</t>
        </is>
      </c>
      <c r="I1837" s="2" t="inlineStr">
        <is>
          <t>Obra de ejecución del Proyecto de sustitución de equipos y mejoras de la instalación de climatización y ventilación en el Edificio Despachos y Seminarios del Campus de Jerez de la Universidad de Cádiz</t>
        </is>
      </c>
      <c r="J1837" s="2" t="inlineStr">
        <is>
          <t>EXP034/2026/19</t>
        </is>
      </c>
      <c r="K1837" s="2" t="inlineStr">
        <is>
          <t>Abierto</t>
        </is>
      </c>
      <c r="L1837" s="6" t="n">
        <v>4</v>
      </c>
      <c r="M1837" s="2" t="n"/>
      <c r="N1837" s="7" t="n">
        <v>0.5</v>
      </c>
      <c r="O1837" s="4" t="n"/>
      <c r="P1837" s="2" t="inlineStr">
        <is>
          <t>45331200; 42512000</t>
        </is>
      </c>
      <c r="Q1837" s="8" t="inlineStr">
        <is>
          <t>Ver</t>
        </is>
      </c>
      <c r="R1837" s="8" t="inlineStr">
        <is>
          <t>PCAP</t>
        </is>
      </c>
      <c r="S1837" s="9" t="n">
        <v>46310</v>
      </c>
      <c r="T1837" s="3" t="n">
        <v>46304.32961805556</v>
      </c>
      <c r="U1837" s="2" t="n"/>
    </row>
    <row r="1838">
      <c r="A1838" s="2" t="inlineStr">
        <is>
          <t>Plazo vencido</t>
        </is>
      </c>
      <c r="B1838" s="3" t="n">
        <v>46323.99930555555</v>
      </c>
      <c r="C1838" s="5" t="n">
        <v>110631.48</v>
      </c>
      <c r="D1838" s="5" t="n">
        <v>110631.48</v>
      </c>
      <c r="E1838" s="2" t="inlineStr">
        <is>
          <t>Andalucía</t>
        </is>
      </c>
      <c r="F1838" s="2" t="inlineStr">
        <is>
          <t>Málaga</t>
        </is>
      </c>
      <c r="G1838" s="2" t="inlineStr">
        <is>
          <t>Cómpeta</t>
        </is>
      </c>
      <c r="H1838" s="2" t="inlineStr">
        <is>
          <t>Alcaldía del Ayuntamiento de Cómpeta</t>
        </is>
      </c>
      <c r="I1838" s="2" t="inlineStr">
        <is>
          <t>Mejora Integral de Calle San Antonio Fase I, en Cómpeta</t>
        </is>
      </c>
      <c r="J1838" s="2" t="inlineStr">
        <is>
          <t>1325/2026</t>
        </is>
      </c>
      <c r="K1838" s="2" t="inlineStr">
        <is>
          <t>Abierto simplificado</t>
        </is>
      </c>
      <c r="L1838" s="6" t="n">
        <v>4</v>
      </c>
      <c r="M1838" s="2" t="n"/>
      <c r="N1838" s="7" t="n">
        <v>0</v>
      </c>
      <c r="O1838" s="4" t="n"/>
      <c r="P1838" s="2" t="inlineStr">
        <is>
          <t>45233252; 45233293</t>
        </is>
      </c>
      <c r="Q1838" s="8" t="inlineStr">
        <is>
          <t>Ver</t>
        </is>
      </c>
      <c r="R1838" s="8" t="inlineStr">
        <is>
          <t>PCAP</t>
        </is>
      </c>
      <c r="S1838" s="9" t="n">
        <v>46310</v>
      </c>
      <c r="T1838" s="3" t="n">
        <v>46304.29489583334</v>
      </c>
      <c r="U1838" s="2" t="n"/>
    </row>
    <row r="1839">
      <c r="A1839" s="2" t="inlineStr">
        <is>
          <t>Resuelta</t>
        </is>
      </c>
      <c r="B1839" s="3" t="n">
        <v>46265.99930555555</v>
      </c>
      <c r="C1839" s="5" t="n">
        <v>80349.59</v>
      </c>
      <c r="D1839" s="5" t="n">
        <v>80349.59</v>
      </c>
      <c r="E1839" s="2" t="inlineStr">
        <is>
          <t>Andalucía</t>
        </is>
      </c>
      <c r="F1839" s="2" t="inlineStr">
        <is>
          <t>Granada</t>
        </is>
      </c>
      <c r="G1839" s="2" t="inlineStr">
        <is>
          <t>Alquife</t>
        </is>
      </c>
      <c r="H1839" s="2" t="inlineStr">
        <is>
          <t>Pleno del Ayuntamiento de Alquífe</t>
        </is>
      </c>
      <c r="I1839" s="2" t="inlineStr">
        <is>
          <t>Contrato de obra de la rehabilitación de la envolvente térmica del edificio municipal Nave de Usos Múltiples: Rehabilitación energética de cubiertas, Alquife (Granada),</t>
        </is>
      </c>
      <c r="J1839" s="2" t="inlineStr">
        <is>
          <t>87/2026</t>
        </is>
      </c>
      <c r="K1839" s="2" t="inlineStr">
        <is>
          <t>Abierto simplificado</t>
        </is>
      </c>
      <c r="L1839" s="6" t="n">
        <v>4</v>
      </c>
      <c r="M1839" s="2" t="n"/>
      <c r="N1839" s="7" t="n">
        <v>0</v>
      </c>
      <c r="O1839" s="4" t="n"/>
      <c r="P1839" s="2" t="inlineStr">
        <is>
          <t>45261410; 45320000; 45260000</t>
        </is>
      </c>
      <c r="Q1839" s="8" t="inlineStr">
        <is>
          <t>Ver</t>
        </is>
      </c>
      <c r="R1839" s="8" t="inlineStr">
        <is>
          <t>PCAP</t>
        </is>
      </c>
      <c r="S1839" s="9" t="n">
        <v>46310</v>
      </c>
      <c r="T1839" s="3" t="n">
        <v>46303.83800925926</v>
      </c>
      <c r="U1839" s="2" t="n"/>
    </row>
    <row r="1840">
      <c r="A1840" s="2" t="inlineStr">
        <is>
          <t>Resuelta</t>
        </is>
      </c>
      <c r="B1840" s="3" t="n">
        <v>46258.99930555555</v>
      </c>
      <c r="C1840" s="5" t="n">
        <v>61575.99</v>
      </c>
      <c r="D1840" s="5" t="n">
        <v>61575.99</v>
      </c>
      <c r="E1840" s="2" t="inlineStr">
        <is>
          <t>Comunitat Valenciana</t>
        </is>
      </c>
      <c r="F1840" s="2" t="inlineStr">
        <is>
          <t>Valencia</t>
        </is>
      </c>
      <c r="G1840" s="2" t="n"/>
      <c r="H1840" s="2" t="inlineStr">
        <is>
          <t>Pleno del Ayuntamiento de Benavites</t>
        </is>
      </c>
      <c r="I1840" s="2" t="inlineStr">
        <is>
          <t>Contrato de Obras Adoquinado Calle Les Parres. Entre Benicalaf y Calle Forn y Entre Calle Jose Berenguer y Calle Valencia</t>
        </is>
      </c>
      <c r="J1840" s="2" t="inlineStr">
        <is>
          <t>2771197K Bis</t>
        </is>
      </c>
      <c r="K1840" s="2" t="inlineStr">
        <is>
          <t>Negociado sin publicidad</t>
        </is>
      </c>
      <c r="L1840" s="6" t="n">
        <v>3</v>
      </c>
      <c r="M1840" s="2" t="n"/>
      <c r="N1840" s="7" t="n">
        <v>0</v>
      </c>
      <c r="O1840" s="4" t="n"/>
      <c r="P1840" s="2" t="inlineStr">
        <is>
          <t>45233251; 45233252</t>
        </is>
      </c>
      <c r="Q1840" s="8" t="inlineStr">
        <is>
          <t>Ver</t>
        </is>
      </c>
      <c r="R1840" s="8" t="inlineStr">
        <is>
          <t>PCAP</t>
        </is>
      </c>
      <c r="S1840" s="9" t="n">
        <v>46310</v>
      </c>
      <c r="T1840" s="3" t="n">
        <v>46303.81520833333</v>
      </c>
      <c r="U1840" s="2" t="n"/>
    </row>
    <row r="1841">
      <c r="A1841" s="2" t="inlineStr">
        <is>
          <t>Resuelta</t>
        </is>
      </c>
      <c r="B1841" s="3" t="n">
        <v>46230.79166666666</v>
      </c>
      <c r="C1841" s="5" t="n">
        <v>2409750</v>
      </c>
      <c r="D1841" s="5" t="n">
        <v>2409750</v>
      </c>
      <c r="E1841" s="2" t="inlineStr">
        <is>
          <t>Andalucía</t>
        </is>
      </c>
      <c r="F1841" s="2" t="inlineStr">
        <is>
          <t>Granada</t>
        </is>
      </c>
      <c r="G1841" s="2" t="n"/>
      <c r="H1841" s="2" t="inlineStr">
        <is>
          <t>Pleno del Ayuntamiento de Ogíjares</t>
        </is>
      </c>
      <c r="I1841" s="2" t="inlineStr">
        <is>
          <t>Contrato para la ejecución de las obras del teatro municipal - espacio escénico en C/ Cruces de Ogíjares (Granada).</t>
        </is>
      </c>
      <c r="J1841" s="2" t="inlineStr">
        <is>
          <t>2297/2026</t>
        </is>
      </c>
      <c r="K1841" s="2" t="inlineStr">
        <is>
          <t>Abierto</t>
        </is>
      </c>
      <c r="L1841" s="6" t="n">
        <v>18</v>
      </c>
      <c r="M1841" s="2" t="inlineStr">
        <is>
          <t>C4-4</t>
        </is>
      </c>
      <c r="N1841" s="7" t="n">
        <v>0.49</v>
      </c>
      <c r="O1841" s="4" t="n"/>
      <c r="P1841" s="2" t="inlineStr">
        <is>
          <t>45212322; 45212300</t>
        </is>
      </c>
      <c r="Q1841" s="8" t="inlineStr">
        <is>
          <t>Ver</t>
        </is>
      </c>
      <c r="R1841" s="8" t="inlineStr">
        <is>
          <t>PCAP</t>
        </is>
      </c>
      <c r="S1841" s="9" t="n">
        <v>46310</v>
      </c>
      <c r="T1841" s="3" t="n">
        <v>46303.79818287037</v>
      </c>
      <c r="U1841" s="2" t="n"/>
    </row>
    <row r="1842">
      <c r="A1842" s="2" t="inlineStr">
        <is>
          <t>Adjudicada</t>
        </is>
      </c>
      <c r="B1842" s="3" t="n">
        <v>46231.99930555555</v>
      </c>
      <c r="C1842" s="5" t="n">
        <v>495866.94</v>
      </c>
      <c r="D1842" s="5" t="n">
        <v>495866.94</v>
      </c>
      <c r="E1842" s="2" t="inlineStr">
        <is>
          <t>Andalucía</t>
        </is>
      </c>
      <c r="F1842" s="2" t="inlineStr">
        <is>
          <t>Sevilla</t>
        </is>
      </c>
      <c r="G1842" s="2" t="inlineStr">
        <is>
          <t>SANLÚCAR LA MAYOR</t>
        </is>
      </c>
      <c r="H1842" s="2" t="inlineStr">
        <is>
          <t>Alcaldía del Ayuntamiento de Sanlúcar la Mayor</t>
        </is>
      </c>
      <c r="I1842" s="2" t="inlineStr">
        <is>
          <t>Obras definidas en el Reformado Proyecto Mejora de Conjunto de Espacios Libres. Enero 2026.</t>
        </is>
      </c>
      <c r="J1842" s="2" t="inlineStr">
        <is>
          <t>2026/CTT_01/000023 - 25/26.-CTOS</t>
        </is>
      </c>
      <c r="K1842" s="2" t="inlineStr">
        <is>
          <t>Abierto simplificado</t>
        </is>
      </c>
      <c r="L1842" s="6" t="n">
        <v>2</v>
      </c>
      <c r="M1842" s="2" t="n"/>
      <c r="N1842" s="7" t="n">
        <v>0</v>
      </c>
      <c r="O1842" s="4" t="n"/>
      <c r="P1842" s="2" t="inlineStr">
        <is>
          <t>45112723; 45233200</t>
        </is>
      </c>
      <c r="Q1842" s="8" t="inlineStr">
        <is>
          <t>Ver</t>
        </is>
      </c>
      <c r="R1842" s="8" t="inlineStr">
        <is>
          <t>PCAP</t>
        </is>
      </c>
      <c r="S1842" s="9" t="n">
        <v>46310</v>
      </c>
      <c r="T1842" s="3" t="n">
        <v>46303.79420138889</v>
      </c>
      <c r="U1842" s="2" t="n"/>
    </row>
    <row r="1843">
      <c r="A1843" s="2" t="inlineStr">
        <is>
          <t>Adjudicada</t>
        </is>
      </c>
      <c r="B1843" s="3" t="n">
        <v>46287.99930555555</v>
      </c>
      <c r="C1843" s="5" t="n">
        <v>39865</v>
      </c>
      <c r="D1843" s="5" t="n">
        <v>39865</v>
      </c>
      <c r="E1843" s="2" t="inlineStr">
        <is>
          <t>Comunitat Valenciana</t>
        </is>
      </c>
      <c r="F1843" s="2" t="inlineStr">
        <is>
          <t>Valencia</t>
        </is>
      </c>
      <c r="G1843" s="2" t="n"/>
      <c r="H1843" s="2" t="inlineStr">
        <is>
          <t>Alcaldía del Ayuntamiento de Benavites</t>
        </is>
      </c>
      <c r="I1843" s="2" t="inlineStr">
        <is>
          <t>Contrato de Obras Conservación del interior de la Iglesia de Santiago de Benicalaf. Segundo Tramo de la nave y capillas laterales</t>
        </is>
      </c>
      <c r="J1843" s="2" t="inlineStr">
        <is>
          <t>2988643T Bis</t>
        </is>
      </c>
      <c r="K1843" s="2" t="inlineStr">
        <is>
          <t>Abierto</t>
        </is>
      </c>
      <c r="L1843" s="6" t="n">
        <v>2</v>
      </c>
      <c r="M1843" s="2" t="n"/>
      <c r="N1843" s="7" t="n">
        <v>0</v>
      </c>
      <c r="O1843" s="4" t="n"/>
      <c r="P1843" s="2" t="inlineStr">
        <is>
          <t>45212350</t>
        </is>
      </c>
      <c r="Q1843" s="8" t="inlineStr">
        <is>
          <t>Ver</t>
        </is>
      </c>
      <c r="R1843" s="8" t="inlineStr">
        <is>
          <t>PCAP</t>
        </is>
      </c>
      <c r="S1843" s="9" t="n">
        <v>46310</v>
      </c>
      <c r="T1843" s="3" t="n">
        <v>46303.79395833334</v>
      </c>
      <c r="U1843" s="2" t="n"/>
    </row>
    <row r="1844">
      <c r="A1844" s="2" t="inlineStr">
        <is>
          <t>Resuelta</t>
        </is>
      </c>
      <c r="B1844" s="3" t="n">
        <v>46259.99930555555</v>
      </c>
      <c r="C1844" s="5" t="n">
        <v>39865</v>
      </c>
      <c r="D1844" s="5" t="n">
        <v>39865</v>
      </c>
      <c r="E1844" s="2" t="inlineStr">
        <is>
          <t>Comunitat Valenciana</t>
        </is>
      </c>
      <c r="F1844" s="2" t="inlineStr">
        <is>
          <t>Valencia</t>
        </is>
      </c>
      <c r="G1844" s="2" t="n"/>
      <c r="H1844" s="2" t="inlineStr">
        <is>
          <t>Alcaldía del Ayuntamiento de Benavites</t>
        </is>
      </c>
      <c r="I1844" s="2" t="inlineStr">
        <is>
          <t>Contrato de obras conservación del interior de la Iglesia de Santiago de Benicalaf. Segundo tramo de la nave y capillas interiores</t>
        </is>
      </c>
      <c r="J1844" s="2" t="inlineStr">
        <is>
          <t>2988643T</t>
        </is>
      </c>
      <c r="K1844" s="2" t="inlineStr">
        <is>
          <t>Abierto</t>
        </is>
      </c>
      <c r="L1844" s="6" t="n">
        <v>2</v>
      </c>
      <c r="M1844" s="2" t="n"/>
      <c r="N1844" s="7" t="n">
        <v>0</v>
      </c>
      <c r="O1844" s="4" t="n"/>
      <c r="P1844" s="2" t="inlineStr">
        <is>
          <t>45212350</t>
        </is>
      </c>
      <c r="Q1844" s="8" t="inlineStr">
        <is>
          <t>Ver</t>
        </is>
      </c>
      <c r="R1844" s="8" t="inlineStr">
        <is>
          <t>PCAP</t>
        </is>
      </c>
      <c r="S1844" s="9" t="n">
        <v>46310</v>
      </c>
      <c r="T1844" s="3" t="n">
        <v>46303.78686342593</v>
      </c>
      <c r="U1844" s="2" t="n"/>
    </row>
    <row r="1845">
      <c r="A1845" s="2" t="inlineStr">
        <is>
          <t>Adjudicada</t>
        </is>
      </c>
      <c r="B1845" s="3" t="n">
        <v>46252.99930555555</v>
      </c>
      <c r="C1845" s="5" t="n">
        <v>44476.5</v>
      </c>
      <c r="D1845" s="5" t="n">
        <v>44476.5</v>
      </c>
      <c r="E1845" s="2" t="inlineStr">
        <is>
          <t>Comunitat Valenciana</t>
        </is>
      </c>
      <c r="F1845" s="2" t="inlineStr">
        <is>
          <t>Valencia</t>
        </is>
      </c>
      <c r="G1845" s="2" t="n"/>
      <c r="H1845" s="2" t="inlineStr">
        <is>
          <t>Alcaldía del Ayuntamiento de Benavites</t>
        </is>
      </c>
      <c r="I1845" s="2" t="inlineStr">
        <is>
          <t>Vallado Pista Multideporte</t>
        </is>
      </c>
      <c r="J1845" s="2" t="inlineStr">
        <is>
          <t>2786345Z</t>
        </is>
      </c>
      <c r="K1845" s="2" t="inlineStr">
        <is>
          <t>Abierto</t>
        </is>
      </c>
      <c r="L1845" s="6" t="n">
        <v>1</v>
      </c>
      <c r="M1845" s="2" t="n"/>
      <c r="N1845" s="7" t="n">
        <v>0</v>
      </c>
      <c r="O1845" s="4" t="n"/>
      <c r="P1845" s="2" t="inlineStr">
        <is>
          <t>45233293; 43325000</t>
        </is>
      </c>
      <c r="Q1845" s="8" t="inlineStr">
        <is>
          <t>Ver</t>
        </is>
      </c>
      <c r="R1845" s="8" t="inlineStr">
        <is>
          <t>PCAP</t>
        </is>
      </c>
      <c r="S1845" s="9" t="n">
        <v>46310</v>
      </c>
      <c r="T1845" s="3" t="n">
        <v>46303.77940972222</v>
      </c>
      <c r="U1845" s="2" t="n"/>
    </row>
    <row r="1846">
      <c r="A1846" s="2" t="inlineStr">
        <is>
          <t>Plazo vencido</t>
        </is>
      </c>
      <c r="B1846" s="3" t="n">
        <v>46323.99930555555</v>
      </c>
      <c r="C1846" s="5" t="n">
        <v>275535.19</v>
      </c>
      <c r="D1846" s="5" t="n">
        <v>303088.7</v>
      </c>
      <c r="E1846" s="2" t="inlineStr">
        <is>
          <t>Comunitat Valenciana</t>
        </is>
      </c>
      <c r="F1846" s="2" t="inlineStr">
        <is>
          <t>Valencia</t>
        </is>
      </c>
      <c r="G1846" s="2" t="n"/>
      <c r="H1846" s="2" t="inlineStr">
        <is>
          <t>Alcaldía del Ayuntamiento de Picassent</t>
        </is>
      </c>
      <c r="I1846" s="2" t="inlineStr">
        <is>
          <t>Reasfaltado de vías públicas en suelo urbano: Avda. Henry Ford (P.I. Juan Carlos I), Carrer Principal (Polígono Industrial), Carrer 7 (P.I. Canyada del Codonyers), Carrer 6 (Barrio Omet), Carrer Llibertad, Carrer Major y Glorieta Carles Albors/Cristòfol Aguado.</t>
        </is>
      </c>
      <c r="J1846" s="2" t="inlineStr">
        <is>
          <t>3031094D</t>
        </is>
      </c>
      <c r="K1846" s="2" t="inlineStr">
        <is>
          <t>Abierto simplificado</t>
        </is>
      </c>
      <c r="L1846" s="6" t="n">
        <v>3</v>
      </c>
      <c r="M1846" s="2" t="n"/>
      <c r="N1846" s="7" t="n">
        <v>0</v>
      </c>
      <c r="O1846" s="4" t="n"/>
      <c r="P1846" s="2" t="inlineStr">
        <is>
          <t>45233252</t>
        </is>
      </c>
      <c r="Q1846" s="8" t="inlineStr">
        <is>
          <t>Ver</t>
        </is>
      </c>
      <c r="R1846" s="8" t="inlineStr">
        <is>
          <t>PCAP</t>
        </is>
      </c>
      <c r="S1846" s="9" t="n">
        <v>46310</v>
      </c>
      <c r="T1846" s="3" t="n">
        <v>46303.77586805556</v>
      </c>
      <c r="U1846" s="2" t="n"/>
    </row>
    <row r="1847">
      <c r="A1847" s="2" t="inlineStr">
        <is>
          <t>Resuelta</t>
        </is>
      </c>
      <c r="B1847" s="3" t="n">
        <v>46184.99930555555</v>
      </c>
      <c r="C1847" s="5" t="n">
        <v>114418.5</v>
      </c>
      <c r="D1847" s="5" t="n">
        <v>114418.5</v>
      </c>
      <c r="E1847" s="2" t="inlineStr">
        <is>
          <t>Comunitat Valenciana</t>
        </is>
      </c>
      <c r="F1847" s="2" t="inlineStr">
        <is>
          <t>Valencia</t>
        </is>
      </c>
      <c r="G1847" s="2" t="n"/>
      <c r="H1847" s="2" t="inlineStr">
        <is>
          <t>Pleno del Ayuntamiento de Benavites</t>
        </is>
      </c>
      <c r="I1847" s="2" t="inlineStr">
        <is>
          <t>Contrato de Obras Accesibilidad, Ventanas y Restauración de Portón. Iglesia de Santiago de Benicalaf</t>
        </is>
      </c>
      <c r="J1847" s="2" t="inlineStr">
        <is>
          <t>2871802P</t>
        </is>
      </c>
      <c r="K1847" s="2" t="inlineStr">
        <is>
          <t>Abierto</t>
        </is>
      </c>
      <c r="L1847" s="6" t="n">
        <v>3</v>
      </c>
      <c r="M1847" s="2" t="n"/>
      <c r="N1847" s="7" t="n">
        <v>0</v>
      </c>
      <c r="O1847" s="4" t="n"/>
      <c r="P1847" s="2" t="inlineStr">
        <is>
          <t>45212350</t>
        </is>
      </c>
      <c r="Q1847" s="8" t="inlineStr">
        <is>
          <t>Ver</t>
        </is>
      </c>
      <c r="R1847" s="8" t="inlineStr">
        <is>
          <t>PCAP</t>
        </is>
      </c>
      <c r="S1847" s="9" t="n">
        <v>46310</v>
      </c>
      <c r="T1847" s="3" t="n">
        <v>46303.7619675926</v>
      </c>
      <c r="U1847" s="2" t="n"/>
    </row>
    <row r="1848">
      <c r="A1848" s="2" t="inlineStr">
        <is>
          <t>Resuelta</t>
        </is>
      </c>
      <c r="B1848" s="3" t="n">
        <v>46174.99930555555</v>
      </c>
      <c r="C1848" s="5" t="n">
        <v>51463.47</v>
      </c>
      <c r="D1848" s="5" t="n">
        <v>51463.47</v>
      </c>
      <c r="E1848" s="2" t="inlineStr">
        <is>
          <t>Comunitat Valenciana</t>
        </is>
      </c>
      <c r="F1848" s="2" t="inlineStr">
        <is>
          <t>Valencia</t>
        </is>
      </c>
      <c r="G1848" s="2" t="inlineStr">
        <is>
          <t>Benavites</t>
        </is>
      </c>
      <c r="H1848" s="2" t="inlineStr">
        <is>
          <t>Alcaldía del Ayuntamiento de Benavites</t>
        </is>
      </c>
      <c r="I1848" s="2" t="inlineStr">
        <is>
          <t>Contrato de obras adecuación camino Marchaletes y del Pantano</t>
        </is>
      </c>
      <c r="J1848" s="2" t="inlineStr">
        <is>
          <t>2854753K</t>
        </is>
      </c>
      <c r="K1848" s="2" t="inlineStr">
        <is>
          <t>Abierto</t>
        </is>
      </c>
      <c r="L1848" s="6" t="n">
        <v>2</v>
      </c>
      <c r="M1848" s="2" t="n"/>
      <c r="N1848" s="7" t="n">
        <v>0</v>
      </c>
      <c r="O1848" s="4" t="n"/>
      <c r="P1848" s="2" t="inlineStr">
        <is>
          <t>45233251; 45233252</t>
        </is>
      </c>
      <c r="Q1848" s="8" t="inlineStr">
        <is>
          <t>Ver</t>
        </is>
      </c>
      <c r="R1848" s="8" t="inlineStr">
        <is>
          <t>PCAP</t>
        </is>
      </c>
      <c r="S1848" s="9" t="n">
        <v>46310</v>
      </c>
      <c r="T1848" s="3" t="n">
        <v>46303.74743055556</v>
      </c>
      <c r="U1848" s="2" t="n"/>
    </row>
    <row r="1849">
      <c r="A1849" s="2" t="inlineStr">
        <is>
          <t>Plazo vencido</t>
        </is>
      </c>
      <c r="B1849" s="3" t="n">
        <v>46323.99930555555</v>
      </c>
      <c r="C1849" s="5" t="n">
        <v>95819.52</v>
      </c>
      <c r="D1849" s="5" t="n">
        <v>95819.52</v>
      </c>
      <c r="E1849" s="2" t="inlineStr">
        <is>
          <t>Andalucía</t>
        </is>
      </c>
      <c r="F1849" s="2" t="inlineStr">
        <is>
          <t>Málaga</t>
        </is>
      </c>
      <c r="G1849" s="2" t="n"/>
      <c r="H1849" s="2" t="inlineStr">
        <is>
          <t>Alcaldía del Ayuntamiento de Alcaucín</t>
        </is>
      </c>
      <c r="I1849" s="2" t="inlineStr">
        <is>
          <t>Intervención en edificio municipal. Adecuación de espacios para cocina y comedor, y módulo anexo exterior de servicio, en Calle Carrión nº 2, Alcaucín</t>
        </is>
      </c>
      <c r="J1849" s="2" t="inlineStr">
        <is>
          <t>1495/2026_COMEDOR</t>
        </is>
      </c>
      <c r="K1849" s="2" t="inlineStr">
        <is>
          <t>Abierto simplificado</t>
        </is>
      </c>
      <c r="L1849" s="6" t="n">
        <v>3</v>
      </c>
      <c r="M1849" s="2" t="n"/>
      <c r="N1849" s="7" t="n">
        <v>0</v>
      </c>
      <c r="O1849" s="4" t="n"/>
      <c r="P1849" s="2" t="inlineStr">
        <is>
          <t>45212500; 45000000; 45331210; 45211350</t>
        </is>
      </c>
      <c r="Q1849" s="8" t="inlineStr">
        <is>
          <t>Ver</t>
        </is>
      </c>
      <c r="R1849" s="8" t="inlineStr">
        <is>
          <t>PCAP</t>
        </is>
      </c>
      <c r="S1849" s="9" t="n">
        <v>46310</v>
      </c>
      <c r="T1849" s="3" t="n">
        <v>46303.67493055556</v>
      </c>
      <c r="U1849" s="2" t="n"/>
    </row>
    <row r="1850">
      <c r="A1850" s="2" t="inlineStr">
        <is>
          <t>Plazo vencido</t>
        </is>
      </c>
      <c r="B1850" s="3" t="n">
        <v>46323.99930555555</v>
      </c>
      <c r="C1850" s="5" t="n">
        <v>132304.2</v>
      </c>
      <c r="D1850" s="5" t="n">
        <v>132304.2</v>
      </c>
      <c r="E1850" s="2" t="inlineStr">
        <is>
          <t>Comunitat Valenciana</t>
        </is>
      </c>
      <c r="F1850" s="2" t="inlineStr">
        <is>
          <t>Valencia</t>
        </is>
      </c>
      <c r="G1850" s="2" t="n"/>
      <c r="H1850" s="2" t="inlineStr">
        <is>
          <t>Alcaldía del Ayuntamiento de Moixent</t>
        </is>
      </c>
      <c r="I1850" s="2" t="inlineStr">
        <is>
          <t>Desvío línea subterránea trifásica a 20 kv, desde el paso a 853154 poli Moinsa existente aportado por la distribuidora, hasta empalmes a realizar en línea 3534 l-07, situado en poli Moinsa, en término municipal de Moixent</t>
        </is>
      </c>
      <c r="J1850" s="2" t="inlineStr">
        <is>
          <t>1497/2026</t>
        </is>
      </c>
      <c r="K1850" s="2" t="inlineStr">
        <is>
          <t>Abierto simplificado</t>
        </is>
      </c>
      <c r="L1850" s="6" t="n">
        <v>2</v>
      </c>
      <c r="M1850" s="2" t="inlineStr">
        <is>
          <t>I5-1</t>
        </is>
      </c>
      <c r="N1850" s="7" t="n">
        <v>0</v>
      </c>
      <c r="O1850" s="4" t="n"/>
      <c r="P1850" s="2" t="inlineStr">
        <is>
          <t>45231400; 45232200; 45311100; 45315300; 45310000; 45311000; 45315500</t>
        </is>
      </c>
      <c r="Q1850" s="8" t="inlineStr">
        <is>
          <t>Ver</t>
        </is>
      </c>
      <c r="R1850" s="8" t="inlineStr">
        <is>
          <t>PCAP</t>
        </is>
      </c>
      <c r="S1850" s="9" t="n">
        <v>46310</v>
      </c>
      <c r="T1850" s="3" t="n">
        <v>46303.67165509259</v>
      </c>
      <c r="U1850" s="2" t="n"/>
    </row>
    <row r="1851">
      <c r="A1851" s="2" t="inlineStr">
        <is>
          <t>Pendiente de adjudicación</t>
        </is>
      </c>
      <c r="B1851" s="3" t="n">
        <v>46288.58333333334</v>
      </c>
      <c r="C1851" s="5" t="n">
        <v>255222.46</v>
      </c>
      <c r="D1851" s="5" t="n">
        <v>255222.46</v>
      </c>
      <c r="E1851" s="2" t="inlineStr">
        <is>
          <t>Andalucía</t>
        </is>
      </c>
      <c r="F1851" s="2" t="inlineStr">
        <is>
          <t>Huelva</t>
        </is>
      </c>
      <c r="G1851" s="2" t="inlineStr">
        <is>
          <t>Palos de la Frontera.</t>
        </is>
      </c>
      <c r="H1851" s="2" t="inlineStr">
        <is>
          <t>Alcaldia del Ayuntamiento de Palos de la Frontera</t>
        </is>
      </c>
      <c r="I1851" s="2" t="inlineStr">
        <is>
          <t>Contrato de obras del vallado perimetral de la parcela dotacional "VILLA ARGENTINA",T.M. de Palos de la Frontera.</t>
        </is>
      </c>
      <c r="J1851" s="2" t="inlineStr">
        <is>
          <t>Contrato de Obras 9/2026</t>
        </is>
      </c>
      <c r="K1851" s="2" t="inlineStr">
        <is>
          <t>Abierto</t>
        </is>
      </c>
      <c r="L1851" s="6" t="n">
        <v>4</v>
      </c>
      <c r="M1851" s="2" t="n"/>
      <c r="N1851" s="7" t="n">
        <v>0.3</v>
      </c>
      <c r="O1851" s="4" t="n"/>
      <c r="P1851" s="2" t="inlineStr">
        <is>
          <t>45223000</t>
        </is>
      </c>
      <c r="Q1851" s="8" t="inlineStr">
        <is>
          <t>Ver</t>
        </is>
      </c>
      <c r="R1851" s="8" t="inlineStr">
        <is>
          <t>PCAP</t>
        </is>
      </c>
      <c r="S1851" s="9" t="n">
        <v>46310</v>
      </c>
      <c r="T1851" s="3" t="n">
        <v>46303.62399305555</v>
      </c>
      <c r="U1851" s="2" t="n"/>
    </row>
    <row r="1852">
      <c r="A1852" s="2" t="inlineStr">
        <is>
          <t>Pendiente de adjudicación</t>
        </is>
      </c>
      <c r="B1852" s="3" t="n">
        <v>46287.58333333334</v>
      </c>
      <c r="C1852" s="5" t="n">
        <v>220556.88</v>
      </c>
      <c r="D1852" s="5" t="n">
        <v>220556.88</v>
      </c>
      <c r="E1852" s="2" t="inlineStr">
        <is>
          <t>Andalucía</t>
        </is>
      </c>
      <c r="F1852" s="2" t="inlineStr">
        <is>
          <t>Huelva</t>
        </is>
      </c>
      <c r="G1852" s="2" t="inlineStr">
        <is>
          <t>Palos de la Frontera.</t>
        </is>
      </c>
      <c r="H1852" s="2" t="inlineStr">
        <is>
          <t>Alcaldia del Ayuntamiento de Palos de la Frontera</t>
        </is>
      </c>
      <c r="I1852"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1852" s="2" t="inlineStr">
        <is>
          <t>Contrato de Obras 6/2026</t>
        </is>
      </c>
      <c r="K1852" s="2" t="inlineStr">
        <is>
          <t>Abierto</t>
        </is>
      </c>
      <c r="L1852" s="6" t="n">
        <v>3</v>
      </c>
      <c r="M1852" s="2" t="n"/>
      <c r="N1852" s="7" t="n">
        <v>0.45</v>
      </c>
      <c r="O1852" s="4" t="n">
        <v>4</v>
      </c>
      <c r="P1852" s="2" t="inlineStr">
        <is>
          <t>45421160; 44221120</t>
        </is>
      </c>
      <c r="Q1852" s="8" t="inlineStr">
        <is>
          <t>Ver</t>
        </is>
      </c>
      <c r="R1852" s="8" t="inlineStr">
        <is>
          <t>PCAP</t>
        </is>
      </c>
      <c r="S1852" s="9" t="n">
        <v>46310</v>
      </c>
      <c r="T1852" s="3" t="n">
        <v>46303.61884259259</v>
      </c>
      <c r="U1852" s="2" t="n"/>
    </row>
    <row r="1853">
      <c r="A1853" s="2" t="inlineStr">
        <is>
          <t>Pendiente de adjudicación</t>
        </is>
      </c>
      <c r="B1853" s="3" t="n">
        <v>46280.99930555555</v>
      </c>
      <c r="C1853" s="5" t="n">
        <v>79765.75</v>
      </c>
      <c r="D1853" s="5" t="n">
        <v>79765.75</v>
      </c>
      <c r="E1853" s="2" t="inlineStr">
        <is>
          <t>Andalucía</t>
        </is>
      </c>
      <c r="F1853" s="2" t="inlineStr">
        <is>
          <t>Almería</t>
        </is>
      </c>
      <c r="G1853" s="2" t="n"/>
      <c r="H1853" s="2" t="inlineStr">
        <is>
          <t>Presidencia del Patronato Municipal de Deportes del Ayuntamiento de Almería</t>
        </is>
      </c>
      <c r="I1853" s="2" t="inlineStr">
        <is>
          <t>Reparación de iluminación deportiva en varios Complejos Deportivos Municipales en Almería.</t>
        </is>
      </c>
      <c r="J1853" s="2" t="inlineStr">
        <is>
          <t>AYAL-2026000193</t>
        </is>
      </c>
      <c r="K1853" s="2" t="inlineStr">
        <is>
          <t>Abierto simplificado</t>
        </is>
      </c>
      <c r="L1853" s="6" t="n">
        <v>3</v>
      </c>
      <c r="M1853" s="2" t="n"/>
      <c r="N1853" s="7" t="n">
        <v>0</v>
      </c>
      <c r="O1853" s="4" t="n"/>
      <c r="P1853" s="2" t="inlineStr">
        <is>
          <t>45310000</t>
        </is>
      </c>
      <c r="Q1853" s="8" t="inlineStr">
        <is>
          <t>Ver</t>
        </is>
      </c>
      <c r="R1853" s="8" t="inlineStr">
        <is>
          <t>PCAP</t>
        </is>
      </c>
      <c r="S1853" s="9" t="n">
        <v>46310</v>
      </c>
      <c r="T1853" s="3" t="n">
        <v>46303.61783564815</v>
      </c>
      <c r="U1853" s="2" t="n"/>
    </row>
    <row r="1854">
      <c r="A1854" s="2" t="inlineStr">
        <is>
          <t>Pendiente de adjudicación</t>
        </is>
      </c>
      <c r="B1854" s="3" t="n">
        <v>46233.99930555555</v>
      </c>
      <c r="C1854" s="5" t="n">
        <v>64369.68</v>
      </c>
      <c r="D1854" s="5" t="n">
        <v>64369.68</v>
      </c>
      <c r="E1854" s="2" t="inlineStr">
        <is>
          <t>Comunitat Valenciana</t>
        </is>
      </c>
      <c r="F1854" s="2" t="inlineStr">
        <is>
          <t>Valencia</t>
        </is>
      </c>
      <c r="G1854" s="2" t="n"/>
      <c r="H1854" s="2" t="inlineStr">
        <is>
          <t>Alcaldía del Ayuntamiento de Vilamarxant</t>
        </is>
      </c>
      <c r="I1854" s="2" t="inlineStr">
        <is>
          <t>Es objeto del presente contrato las obras de ejecución de colector de saneamiento en Avenida Dos de Mayo de Vilamarxant.</t>
        </is>
      </c>
      <c r="J1854" s="2" t="inlineStr">
        <is>
          <t>2519452P</t>
        </is>
      </c>
      <c r="K1854" s="2" t="inlineStr">
        <is>
          <t>Abierto simplificado</t>
        </is>
      </c>
      <c r="L1854" s="6" t="n">
        <v>1</v>
      </c>
      <c r="M1854" s="2" t="inlineStr">
        <is>
          <t>E1-1</t>
        </is>
      </c>
      <c r="N1854" s="7" t="n">
        <v>0</v>
      </c>
      <c r="O1854" s="4" t="n"/>
      <c r="P1854" s="2" t="inlineStr">
        <is>
          <t>45232400; 45232410; 45232411; 45232440</t>
        </is>
      </c>
      <c r="Q1854" s="8" t="inlineStr">
        <is>
          <t>Ver</t>
        </is>
      </c>
      <c r="R1854" s="8" t="inlineStr">
        <is>
          <t>PCAP</t>
        </is>
      </c>
      <c r="S1854" s="9" t="n">
        <v>46310</v>
      </c>
      <c r="T1854" s="3" t="n">
        <v>46303.61688657408</v>
      </c>
      <c r="U1854" s="2" t="n"/>
    </row>
    <row r="1855">
      <c r="A1855" s="2" t="inlineStr">
        <is>
          <t>Pendiente de adjudicación</t>
        </is>
      </c>
      <c r="B1855" s="3" t="n">
        <v>46296.99930555555</v>
      </c>
      <c r="C1855" s="5" t="n">
        <v>373665.15</v>
      </c>
      <c r="D1855" s="5" t="n">
        <v>373665.15</v>
      </c>
      <c r="E1855" s="2" t="inlineStr">
        <is>
          <t>Comunitat Valenciana</t>
        </is>
      </c>
      <c r="F1855" s="2" t="inlineStr">
        <is>
          <t>Valencia</t>
        </is>
      </c>
      <c r="G1855" s="2" t="n"/>
      <c r="H1855" s="2" t="inlineStr">
        <is>
          <t>Alcaldía del Ayuntamiento de Camporrobles</t>
        </is>
      </c>
      <c r="I1855" s="2" t="inlineStr">
        <is>
          <t>Rehabilitacion de la fachada y la cubierta de la Fábrica de Harinas del municipio de Camporrobles como consecuencia de la DANA 2024</t>
        </is>
      </c>
      <c r="J1855" s="2" t="inlineStr">
        <is>
          <t>G226/2026F.HarinasDANA</t>
        </is>
      </c>
      <c r="K1855" s="2" t="inlineStr">
        <is>
          <t>Abierto simplificado</t>
        </is>
      </c>
      <c r="L1855" s="6" t="n">
        <v>9</v>
      </c>
      <c r="M1855" s="2" t="n"/>
      <c r="N1855" s="7" t="n">
        <v>0</v>
      </c>
      <c r="O1855" s="4" t="n"/>
      <c r="P1855" s="2" t="inlineStr">
        <is>
          <t>45454100; 45261900; 45443000</t>
        </is>
      </c>
      <c r="Q1855" s="8" t="inlineStr">
        <is>
          <t>Ver</t>
        </is>
      </c>
      <c r="R1855" s="8" t="inlineStr">
        <is>
          <t>PCAP</t>
        </is>
      </c>
      <c r="S1855" s="9" t="n">
        <v>46310</v>
      </c>
      <c r="T1855" s="3" t="n">
        <v>46303.61517361111</v>
      </c>
      <c r="U1855" s="2" t="n"/>
    </row>
    <row r="1856">
      <c r="A1856" s="2" t="inlineStr">
        <is>
          <t>Pendiente de adjudicación</t>
        </is>
      </c>
      <c r="B1856" s="3" t="n">
        <v>46253.99930555555</v>
      </c>
      <c r="C1856" s="5" t="n">
        <v>315131.15</v>
      </c>
      <c r="D1856" s="5" t="n">
        <v>315131.15</v>
      </c>
      <c r="E1856" s="2" t="inlineStr">
        <is>
          <t>Andalucía</t>
        </is>
      </c>
      <c r="F1856" s="2" t="inlineStr">
        <is>
          <t>Almería</t>
        </is>
      </c>
      <c r="G1856" s="2" t="n"/>
      <c r="H1856" s="2" t="inlineStr">
        <is>
          <t>Presidencia del Patronato Municipal de Deportes del Ayuntamiento de Almería</t>
        </is>
      </c>
      <c r="I1856" s="2" t="inlineStr">
        <is>
          <t>Obras de reforma de los vestuarios del Complejo Deportivo Municipal de Los Ángeles.</t>
        </is>
      </c>
      <c r="J1856" s="2" t="inlineStr">
        <is>
          <t>2026/36434V</t>
        </is>
      </c>
      <c r="K1856" s="2" t="inlineStr">
        <is>
          <t>Abierto simplificado</t>
        </is>
      </c>
      <c r="L1856" s="6" t="n">
        <v>7</v>
      </c>
      <c r="M1856" s="2" t="n"/>
      <c r="N1856" s="7" t="n">
        <v>0</v>
      </c>
      <c r="O1856" s="4" t="n"/>
      <c r="P1856" s="2" t="inlineStr">
        <is>
          <t>45212200</t>
        </is>
      </c>
      <c r="Q1856" s="8" t="inlineStr">
        <is>
          <t>Ver</t>
        </is>
      </c>
      <c r="R1856" s="8" t="inlineStr">
        <is>
          <t>PCAP</t>
        </is>
      </c>
      <c r="S1856" s="9" t="n">
        <v>46310</v>
      </c>
      <c r="T1856" s="3" t="n">
        <v>46303.6128587963</v>
      </c>
      <c r="U1856" s="2" t="n"/>
    </row>
    <row r="1857">
      <c r="A1857" s="2" t="inlineStr">
        <is>
          <t>Plazo vencido</t>
        </is>
      </c>
      <c r="B1857" s="3" t="n">
        <v>46311.54166666666</v>
      </c>
      <c r="C1857" s="5" t="n">
        <v>8797967.949999999</v>
      </c>
      <c r="D1857" s="5" t="n">
        <v>9239222.58</v>
      </c>
      <c r="E1857" s="2" t="inlineStr">
        <is>
          <t>Andalucía</t>
        </is>
      </c>
      <c r="F1857" s="2" t="n"/>
      <c r="G1857" s="2" t="n"/>
      <c r="H1857" s="2" t="inlineStr">
        <is>
          <t>ADIF -Consejo de Administración</t>
        </is>
      </c>
      <c r="I1857" s="2" t="inlineStr">
        <is>
          <t>Ejecución de las obras y realización del mantenimiento del proyecto constructivo de telemando de energía del tramo Ronda-Algeciras de la línea Bobadilla-Algeciras</t>
        </is>
      </c>
      <c r="J1857" s="2" t="inlineStr">
        <is>
          <t>4.25/06110.0362</t>
        </is>
      </c>
      <c r="K1857" s="2" t="inlineStr">
        <is>
          <t>Abierto</t>
        </is>
      </c>
      <c r="L1857" s="6" t="n">
        <v>48</v>
      </c>
      <c r="M1857" s="2" t="inlineStr">
        <is>
          <t>I7-4</t>
        </is>
      </c>
      <c r="N1857" s="7" t="n">
        <v>0.49</v>
      </c>
      <c r="O1857" s="4" t="n"/>
      <c r="P1857" s="2" t="inlineStr">
        <is>
          <t>45234000</t>
        </is>
      </c>
      <c r="Q1857" s="8" t="inlineStr">
        <is>
          <t>Ver</t>
        </is>
      </c>
      <c r="R1857" s="8" t="inlineStr">
        <is>
          <t>PCAP</t>
        </is>
      </c>
      <c r="S1857" s="9" t="n">
        <v>46310</v>
      </c>
      <c r="T1857" s="3" t="n">
        <v>46303.60840277778</v>
      </c>
      <c r="U1857" s="2" t="n"/>
    </row>
    <row r="1858">
      <c r="A1858" s="2" t="inlineStr">
        <is>
          <t>Plazo vencido</t>
        </is>
      </c>
      <c r="B1858" s="3" t="n">
        <v>46323.99930555555</v>
      </c>
      <c r="C1858" s="5" t="n">
        <v>194290.27</v>
      </c>
      <c r="D1858" s="5" t="n">
        <v>194290.27</v>
      </c>
      <c r="E1858" s="2" t="inlineStr">
        <is>
          <t>Comunitat Valenciana</t>
        </is>
      </c>
      <c r="F1858" s="2" t="inlineStr">
        <is>
          <t>Valencia</t>
        </is>
      </c>
      <c r="G1858" s="2" t="n"/>
      <c r="H1858" s="2" t="inlineStr">
        <is>
          <t>Pleno del Ayuntamiento de Jarafuel</t>
        </is>
      </c>
      <c r="I1858"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1858" s="2" t="inlineStr">
        <is>
          <t>332/2026</t>
        </is>
      </c>
      <c r="K1858" s="2" t="inlineStr">
        <is>
          <t>Abierto simplificado</t>
        </is>
      </c>
      <c r="L1858" s="6" t="n">
        <v>5</v>
      </c>
      <c r="M1858" s="2" t="n"/>
      <c r="N1858" s="7" t="n">
        <v>0.25</v>
      </c>
      <c r="O1858" s="4" t="n"/>
      <c r="P1858" s="2" t="inlineStr">
        <is>
          <t>45262700; 45261211; 45453000; 45262660; 39314000; 45210000; 45331220; 45311200; 63000000</t>
        </is>
      </c>
      <c r="Q1858" s="8" t="inlineStr">
        <is>
          <t>Ver</t>
        </is>
      </c>
      <c r="R1858" s="8" t="inlineStr">
        <is>
          <t>PCAP</t>
        </is>
      </c>
      <c r="S1858" s="9" t="n">
        <v>46310</v>
      </c>
      <c r="T1858" s="3" t="n">
        <v>46303.60657407407</v>
      </c>
      <c r="U1858" s="2" t="n"/>
    </row>
    <row r="1859">
      <c r="A1859" s="2" t="inlineStr">
        <is>
          <t>Plazo vencido</t>
        </is>
      </c>
      <c r="B1859" s="3" t="n">
        <v>46316.625</v>
      </c>
      <c r="C1859" s="5" t="n">
        <v>219645.44</v>
      </c>
      <c r="D1859" s="5" t="n">
        <v>219645.44</v>
      </c>
      <c r="E1859" s="2" t="inlineStr">
        <is>
          <t>Andalucía</t>
        </is>
      </c>
      <c r="F1859" s="2" t="inlineStr">
        <is>
          <t>Málaga</t>
        </is>
      </c>
      <c r="G1859" s="2" t="n"/>
      <c r="H1859" s="2" t="inlineStr">
        <is>
          <t>Pleno del Ayuntamiento de Benarrabá</t>
        </is>
      </c>
      <c r="I1859"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1859" s="2" t="inlineStr">
        <is>
          <t>2026/204</t>
        </is>
      </c>
      <c r="K1859" s="2" t="inlineStr">
        <is>
          <t>Abierto simplificado</t>
        </is>
      </c>
      <c r="L1859" s="6" t="n"/>
      <c r="M1859" s="2" t="n"/>
      <c r="N1859" s="7" t="n">
        <v>0.25</v>
      </c>
      <c r="O1859" s="4" t="n"/>
      <c r="P1859" s="2" t="inlineStr">
        <is>
          <t>45232150; 09330000; 45300000</t>
        </is>
      </c>
      <c r="Q1859" s="8" t="inlineStr">
        <is>
          <t>Ver</t>
        </is>
      </c>
      <c r="R1859" s="8" t="inlineStr">
        <is>
          <t>PCAP</t>
        </is>
      </c>
      <c r="S1859" s="9" t="n">
        <v>46310</v>
      </c>
      <c r="T1859" s="3" t="n">
        <v>46303.60653935185</v>
      </c>
      <c r="U1859" s="2" t="n"/>
    </row>
    <row r="1860">
      <c r="A1860" s="2" t="inlineStr">
        <is>
          <t>Resuelta</t>
        </is>
      </c>
      <c r="B1860" s="3" t="n">
        <v>46299.99930555555</v>
      </c>
      <c r="C1860" s="5" t="n">
        <v>236729.02</v>
      </c>
      <c r="D1860" s="5" t="n">
        <v>236729.02</v>
      </c>
      <c r="E1860" s="2" t="inlineStr">
        <is>
          <t>Andalucía</t>
        </is>
      </c>
      <c r="F1860" s="2" t="inlineStr">
        <is>
          <t>Sevilla</t>
        </is>
      </c>
      <c r="G1860" s="2" t="n"/>
      <c r="H1860" s="2" t="inlineStr">
        <is>
          <t>Alcaldía del Ayuntamiento de Los Molares</t>
        </is>
      </c>
      <c r="I1860" s="2" t="inlineStr">
        <is>
          <t>Obra Ejecución Gimnasio Multifuncional aledaño al CEIP San Juan de Ribera de Los Molares</t>
        </is>
      </c>
      <c r="J1860" s="2" t="inlineStr">
        <is>
          <t>P4106300I-2026/000030-PAAS</t>
        </is>
      </c>
      <c r="K1860" s="2" t="inlineStr">
        <is>
          <t>Abierto simplificado</t>
        </is>
      </c>
      <c r="L1860" s="6" t="n">
        <v>7</v>
      </c>
      <c r="M1860" s="2" t="n"/>
      <c r="N1860" s="7" t="n">
        <v>0</v>
      </c>
      <c r="O1860" s="4" t="n"/>
      <c r="P1860" s="2" t="inlineStr">
        <is>
          <t>45000000</t>
        </is>
      </c>
      <c r="Q1860" s="8" t="inlineStr">
        <is>
          <t>Ver</t>
        </is>
      </c>
      <c r="R1860" s="8" t="inlineStr">
        <is>
          <t>PCAP</t>
        </is>
      </c>
      <c r="S1860" s="9" t="n">
        <v>46310</v>
      </c>
      <c r="T1860" s="3" t="n">
        <v>46303.60574074074</v>
      </c>
      <c r="U1860" s="2" t="n"/>
    </row>
    <row r="1861">
      <c r="A1861" s="2" t="inlineStr">
        <is>
          <t>Pendiente de adjudicación</t>
        </is>
      </c>
      <c r="B1861" s="3" t="n">
        <v>46255.5</v>
      </c>
      <c r="C1861" s="5" t="n">
        <v>332232.64</v>
      </c>
      <c r="D1861" s="5" t="n">
        <v>332232.64</v>
      </c>
      <c r="E1861" s="2" t="inlineStr">
        <is>
          <t>Andalucía</t>
        </is>
      </c>
      <c r="F1861" s="2" t="inlineStr">
        <is>
          <t>Jaén</t>
        </is>
      </c>
      <c r="G1861" s="2" t="inlineStr">
        <is>
          <t>Jaén</t>
        </is>
      </c>
      <c r="H1861" s="2" t="inlineStr">
        <is>
          <t>Junta de Gobierno del Ayuntamiento de Torredonjimeno</t>
        </is>
      </c>
      <c r="I1861" s="2" t="inlineStr">
        <is>
          <t>Obra de pavimentación del paseo central del parque municipal</t>
        </is>
      </c>
      <c r="J1861" s="2" t="inlineStr">
        <is>
          <t>2877/2026</t>
        </is>
      </c>
      <c r="K1861" s="2" t="inlineStr">
        <is>
          <t>Abierto simplificado</t>
        </is>
      </c>
      <c r="L1861" s="6" t="n">
        <v>4</v>
      </c>
      <c r="M1861" s="2" t="n"/>
      <c r="N1861" s="7" t="n"/>
      <c r="O1861" s="4" t="n"/>
      <c r="P1861" s="2" t="inlineStr">
        <is>
          <t>45233251</t>
        </is>
      </c>
      <c r="Q1861" s="8" t="inlineStr">
        <is>
          <t>Ver</t>
        </is>
      </c>
      <c r="R1861" s="8" t="inlineStr">
        <is>
          <t>PCAP</t>
        </is>
      </c>
      <c r="S1861" s="9" t="n">
        <v>46310</v>
      </c>
      <c r="T1861" s="3" t="n">
        <v>46303.60503472222</v>
      </c>
      <c r="U1861" s="2" t="n"/>
    </row>
    <row r="1862">
      <c r="A1862" s="2" t="inlineStr">
        <is>
          <t>Pendiente de adjudicación</t>
        </is>
      </c>
      <c r="B1862" s="3" t="n">
        <v>46276.45833333334</v>
      </c>
      <c r="C1862" s="5" t="n">
        <v>445180.47</v>
      </c>
      <c r="D1862" s="5" t="n">
        <v>445180.47</v>
      </c>
      <c r="E1862" s="2" t="inlineStr">
        <is>
          <t>Andalucía</t>
        </is>
      </c>
      <c r="F1862" s="2" t="inlineStr">
        <is>
          <t>Sevilla</t>
        </is>
      </c>
      <c r="G1862" s="2" t="n"/>
      <c r="H1862" s="2" t="inlineStr">
        <is>
          <t>Comisión Ejecutiva de la Gerencia de Urbanismo de Sevilla</t>
        </is>
      </c>
      <c r="I1862" s="2" t="inlineStr">
        <is>
          <t>Obras del proyecto de mejora de la pavimentación con aglomerado asfáltico del tramo de la Avda. de Andalucía entre la Glorieta Sergio Rodríguez Prat y la calle Parque Amate.</t>
        </is>
      </c>
      <c r="J1862" s="2" t="inlineStr">
        <is>
          <t>24/2026</t>
        </is>
      </c>
      <c r="K1862" s="2" t="inlineStr">
        <is>
          <t>Abierto simplificado</t>
        </is>
      </c>
      <c r="L1862" s="6" t="n">
        <v>2</v>
      </c>
      <c r="M1862" s="2" t="n"/>
      <c r="N1862" s="7" t="n">
        <v>0</v>
      </c>
      <c r="O1862" s="4" t="n"/>
      <c r="P1862" s="2" t="inlineStr">
        <is>
          <t>45233200; 45233222; 45233223; 45233252</t>
        </is>
      </c>
      <c r="Q1862" s="8" t="inlineStr">
        <is>
          <t>Ver</t>
        </is>
      </c>
      <c r="R1862" s="8" t="inlineStr">
        <is>
          <t>PCAP</t>
        </is>
      </c>
      <c r="S1862" s="9" t="n">
        <v>46310</v>
      </c>
      <c r="T1862" s="3" t="n">
        <v>46303.60178240741</v>
      </c>
      <c r="U1862" s="2" t="n"/>
    </row>
    <row r="1863">
      <c r="A1863" s="2" t="inlineStr">
        <is>
          <t>Plazo vencido</t>
        </is>
      </c>
      <c r="B1863" s="3" t="n">
        <v>46323.625</v>
      </c>
      <c r="C1863" s="5" t="n">
        <v>125823.73</v>
      </c>
      <c r="D1863" s="5" t="n">
        <v>125823.73</v>
      </c>
      <c r="E1863" s="2" t="inlineStr">
        <is>
          <t>Andalucía</t>
        </is>
      </c>
      <c r="F1863" s="2" t="inlineStr">
        <is>
          <t>Huelva</t>
        </is>
      </c>
      <c r="G1863" s="2" t="n"/>
      <c r="H1863" s="2" t="inlineStr">
        <is>
          <t>Alcaldía del Ayuntamiento de Puebla de Guzmán</t>
        </is>
      </c>
      <c r="I1863" s="2" t="inlineStr">
        <is>
          <t>Reurbanización de escalera y acceso norte al Castillo (Iglesia de la Santa Cruz)</t>
        </is>
      </c>
      <c r="J1863" s="2" t="inlineStr">
        <is>
          <t>007/2026</t>
        </is>
      </c>
      <c r="K1863" s="2" t="inlineStr">
        <is>
          <t>Abierto simplificado</t>
        </is>
      </c>
      <c r="L1863" s="6" t="n">
        <v>6</v>
      </c>
      <c r="M1863" s="2" t="n"/>
      <c r="N1863" s="7" t="n">
        <v>0</v>
      </c>
      <c r="O1863" s="4" t="n"/>
      <c r="P1863" s="2" t="inlineStr">
        <is>
          <t>45000000; 45111000</t>
        </is>
      </c>
      <c r="Q1863" s="8" t="inlineStr">
        <is>
          <t>Ver</t>
        </is>
      </c>
      <c r="R1863" s="8" t="inlineStr">
        <is>
          <t>PCAP</t>
        </is>
      </c>
      <c r="S1863" s="9" t="n">
        <v>46310</v>
      </c>
      <c r="T1863" s="3" t="n">
        <v>46303.60054398148</v>
      </c>
      <c r="U1863" s="2" t="n"/>
    </row>
    <row r="1864">
      <c r="A1864" s="2" t="inlineStr">
        <is>
          <t>Plazo vencido</t>
        </is>
      </c>
      <c r="B1864" s="3" t="n">
        <v>46321.375</v>
      </c>
      <c r="C1864" s="5" t="n">
        <v>889866.1</v>
      </c>
      <c r="D1864" s="5" t="n">
        <v>1067839.32</v>
      </c>
      <c r="E1864" s="2" t="inlineStr">
        <is>
          <t>Comunitat Valenciana</t>
        </is>
      </c>
      <c r="F1864" s="2" t="inlineStr">
        <is>
          <t>Alicante</t>
        </is>
      </c>
      <c r="G1864" s="2" t="inlineStr">
        <is>
          <t>Alicante</t>
        </is>
      </c>
      <c r="H1864" s="2" t="inlineStr">
        <is>
          <t>Mercados Centrales De Abastecimiento de Alicante S.A.</t>
        </is>
      </c>
      <c r="I1864" s="2" t="inlineStr">
        <is>
          <t>Sustitución de las cubiertas de fibrocemento de la nave III de Mercalicante</t>
        </is>
      </c>
      <c r="J1864" s="2" t="inlineStr">
        <is>
          <t>21/2026EXPL</t>
        </is>
      </c>
      <c r="K1864" s="2" t="inlineStr">
        <is>
          <t>Abierto simplificado</t>
        </is>
      </c>
      <c r="L1864" s="6" t="n">
        <v>10</v>
      </c>
      <c r="M1864" s="2" t="n"/>
      <c r="N1864" s="7" t="n">
        <v>0.25</v>
      </c>
      <c r="O1864" s="4" t="n"/>
      <c r="P1864" s="2" t="inlineStr">
        <is>
          <t>45000000; 45421160; 45261220; 45262660; 45261420</t>
        </is>
      </c>
      <c r="Q1864" s="8" t="inlineStr">
        <is>
          <t>Ver</t>
        </is>
      </c>
      <c r="R1864" s="8" t="inlineStr">
        <is>
          <t>PCAP</t>
        </is>
      </c>
      <c r="S1864" s="9" t="n">
        <v>46310</v>
      </c>
      <c r="T1864" s="3" t="n">
        <v>46303.59924768518</v>
      </c>
      <c r="U1864" s="2" t="n"/>
    </row>
    <row r="1865">
      <c r="A1865" s="2" t="inlineStr">
        <is>
          <t>Pendiente de adjudicación</t>
        </is>
      </c>
      <c r="B1865" s="3" t="n">
        <v>46234.99930555555</v>
      </c>
      <c r="C1865" s="5" t="n">
        <v>74670.05</v>
      </c>
      <c r="D1865" s="5" t="n">
        <v>74670.05</v>
      </c>
      <c r="E1865" s="2" t="inlineStr">
        <is>
          <t>Comunitat Valenciana</t>
        </is>
      </c>
      <c r="F1865" s="2" t="inlineStr">
        <is>
          <t>Alicante</t>
        </is>
      </c>
      <c r="G1865" s="2" t="n"/>
      <c r="H1865" s="2" t="inlineStr">
        <is>
          <t>Presidencia de la Diputación Provincial de Alicante</t>
        </is>
      </c>
      <c r="I1865" s="2" t="inlineStr">
        <is>
          <t>Obras de automatización del control de abastecimiento por telelectura del sector 2 (zonas de San Cristóbal, San Jaime, Jovades y La Alcudia) en Cocentaina.</t>
        </is>
      </c>
      <c r="J1865" s="2" t="inlineStr">
        <is>
          <t>O4S-092/2026</t>
        </is>
      </c>
      <c r="K1865" s="2" t="inlineStr">
        <is>
          <t>Abierto simplificado</t>
        </is>
      </c>
      <c r="L1865" s="6" t="n">
        <v>3</v>
      </c>
      <c r="M1865" s="2" t="n"/>
      <c r="N1865" s="7" t="n">
        <v>0.25</v>
      </c>
      <c r="O1865" s="4" t="n"/>
      <c r="P1865" s="2" t="inlineStr">
        <is>
          <t>45314000</t>
        </is>
      </c>
      <c r="Q1865" s="8" t="inlineStr">
        <is>
          <t>Ver</t>
        </is>
      </c>
      <c r="R1865" s="8" t="inlineStr">
        <is>
          <t>PCAP</t>
        </is>
      </c>
      <c r="S1865" s="9" t="n">
        <v>46310</v>
      </c>
      <c r="T1865" s="3" t="n">
        <v>46303.59365740741</v>
      </c>
      <c r="U1865" s="2" t="n"/>
    </row>
    <row r="1866">
      <c r="A1866" s="2" t="inlineStr">
        <is>
          <t>Plazo vencido</t>
        </is>
      </c>
      <c r="B1866" s="3" t="n">
        <v>46318.99930555555</v>
      </c>
      <c r="C1866" s="5" t="n">
        <v>69800</v>
      </c>
      <c r="D1866" s="5" t="n">
        <v>69800</v>
      </c>
      <c r="E1866" s="2" t="inlineStr">
        <is>
          <t>Andalucía</t>
        </is>
      </c>
      <c r="F1866" s="2" t="inlineStr">
        <is>
          <t>Granada</t>
        </is>
      </c>
      <c r="G1866" s="2" t="inlineStr">
        <is>
          <t>FONELAS</t>
        </is>
      </c>
      <c r="H1866" s="2" t="inlineStr">
        <is>
          <t>Alcaldía del Ayuntamiento de Fonelas</t>
        </is>
      </c>
      <c r="I1866" s="2" t="inlineStr">
        <is>
          <t>obras de reparación a llevar a cabo en tramos parciales de ambos viales públicos, debido a la erosión y precario estado en el que se encuentran ambos viales a causa de los daños provocados por el temporal acaecido en el mes de febrero-2.026 pasado.</t>
        </is>
      </c>
      <c r="J1866" s="2" t="inlineStr">
        <is>
          <t>380/2026</t>
        </is>
      </c>
      <c r="K1866" s="2" t="inlineStr">
        <is>
          <t>Abierto simplificado</t>
        </is>
      </c>
      <c r="L1866" s="6" t="n">
        <v>2</v>
      </c>
      <c r="M1866" s="2" t="n"/>
      <c r="N1866" s="7" t="n">
        <v>0</v>
      </c>
      <c r="O1866" s="4" t="n"/>
      <c r="P1866" s="2" t="inlineStr">
        <is>
          <t>45233222</t>
        </is>
      </c>
      <c r="Q1866" s="8" t="inlineStr">
        <is>
          <t>Ver</t>
        </is>
      </c>
      <c r="R1866" s="8" t="inlineStr">
        <is>
          <t>PCAP</t>
        </is>
      </c>
      <c r="S1866" s="9" t="n">
        <v>46310</v>
      </c>
      <c r="T1866" s="3" t="n">
        <v>46303.58402777778</v>
      </c>
      <c r="U1866" s="2" t="n"/>
    </row>
    <row r="1867">
      <c r="A1867" s="2" t="inlineStr">
        <is>
          <t>Plazo vencido</t>
        </is>
      </c>
      <c r="B1867" s="3" t="n">
        <v>46314.99930555555</v>
      </c>
      <c r="C1867" s="5" t="n">
        <v>54111.89</v>
      </c>
      <c r="D1867" s="5" t="n">
        <v>54111.89</v>
      </c>
      <c r="E1867" s="2" t="inlineStr">
        <is>
          <t>Andalucía</t>
        </is>
      </c>
      <c r="F1867" s="2" t="inlineStr">
        <is>
          <t>Granada</t>
        </is>
      </c>
      <c r="G1867" s="2" t="inlineStr">
        <is>
          <t>Ácula, Ventas de Huelma</t>
        </is>
      </c>
      <c r="H1867" s="2" t="inlineStr">
        <is>
          <t>Alcaldía del Ayuntamiento de Ventas de Huelma</t>
        </is>
      </c>
      <c r="I1867" s="2" t="inlineStr">
        <is>
          <t>Contrato de mejora de climatización y mejora de protección contra incendios y ventilación en la nave de usos múltiples de Ácula.</t>
        </is>
      </c>
      <c r="J1867" s="2" t="inlineStr">
        <is>
          <t>117/2025</t>
        </is>
      </c>
      <c r="K1867" s="2" t="inlineStr">
        <is>
          <t>Abierto simplificado</t>
        </is>
      </c>
      <c r="L1867" s="6" t="n">
        <v>3</v>
      </c>
      <c r="M1867" s="2" t="n"/>
      <c r="N1867" s="7" t="n">
        <v>0</v>
      </c>
      <c r="O1867" s="4" t="n">
        <v>3</v>
      </c>
      <c r="P1867" s="2" t="inlineStr">
        <is>
          <t>45331000; 31321000; 42512300; 31321200; 50411300; 51700000</t>
        </is>
      </c>
      <c r="Q1867" s="8" t="inlineStr">
        <is>
          <t>Ver</t>
        </is>
      </c>
      <c r="R1867" s="8" t="inlineStr">
        <is>
          <t>PCAP</t>
        </is>
      </c>
      <c r="S1867" s="9" t="n">
        <v>46310</v>
      </c>
      <c r="T1867" s="3" t="n">
        <v>46303.57976851852</v>
      </c>
      <c r="U1867" s="2" t="n"/>
    </row>
    <row r="1868">
      <c r="A1868" s="2" t="inlineStr">
        <is>
          <t>Pendiente de adjudicación</t>
        </is>
      </c>
      <c r="B1868" s="3" t="n">
        <v>46210.58333333334</v>
      </c>
      <c r="C1868" s="5" t="n">
        <v>467674.62</v>
      </c>
      <c r="D1868" s="5" t="n">
        <v>467674.62</v>
      </c>
      <c r="E1868" s="2" t="inlineStr">
        <is>
          <t>Andalucía</t>
        </is>
      </c>
      <c r="F1868" s="2" t="inlineStr">
        <is>
          <t>Sevilla</t>
        </is>
      </c>
      <c r="G1868" s="2" t="n"/>
      <c r="H1868" s="2" t="inlineStr">
        <is>
          <t>Alcaldía del Ayuntamiento de Bollullos de la Mitación</t>
        </is>
      </c>
      <c r="I1868" s="2" t="inlineStr">
        <is>
          <t>Contrato de obra actuación de reforma en el polideportivo municipal. Plan sevilla 107</t>
        </is>
      </c>
      <c r="J1868" s="2" t="inlineStr">
        <is>
          <t>P4101600G-2026/000046-PAAS</t>
        </is>
      </c>
      <c r="K1868" s="2" t="inlineStr">
        <is>
          <t>Abierto simplificado</t>
        </is>
      </c>
      <c r="L1868" s="6" t="n">
        <v>6</v>
      </c>
      <c r="M1868" s="2" t="n"/>
      <c r="N1868" s="7" t="n">
        <v>0</v>
      </c>
      <c r="O1868" s="4" t="n"/>
      <c r="P1868" s="2" t="inlineStr">
        <is>
          <t>45212212; 45342000</t>
        </is>
      </c>
      <c r="Q1868" s="8" t="inlineStr">
        <is>
          <t>Ver</t>
        </is>
      </c>
      <c r="R1868" s="8" t="inlineStr">
        <is>
          <t>PCAP</t>
        </is>
      </c>
      <c r="S1868" s="9" t="n">
        <v>46310</v>
      </c>
      <c r="T1868" s="3" t="n">
        <v>46303.57653935185</v>
      </c>
      <c r="U1868" s="2" t="n"/>
    </row>
    <row r="1869">
      <c r="A1869" s="2" t="inlineStr">
        <is>
          <t>En plazo</t>
        </is>
      </c>
      <c r="B1869" s="3" t="n">
        <v>46337.375</v>
      </c>
      <c r="C1869" s="5" t="n">
        <v>204492.06</v>
      </c>
      <c r="D1869" s="5" t="n">
        <v>204492.06</v>
      </c>
      <c r="E1869" s="2" t="inlineStr">
        <is>
          <t>Comunitat Valenciana</t>
        </is>
      </c>
      <c r="F1869" s="2" t="inlineStr">
        <is>
          <t>Valencia</t>
        </is>
      </c>
      <c r="G1869" s="2" t="inlineStr">
        <is>
          <t>Vinalesa (Valencia)</t>
        </is>
      </c>
      <c r="H1869" s="2" t="inlineStr">
        <is>
          <t>Alcaldía del Ayuntamiento de Vinalesa</t>
        </is>
      </c>
      <c r="I1869" s="2" t="inlineStr">
        <is>
          <t>Actuación urbana de peatonalización Calles Esperanza, Maravillas y Consuelo.</t>
        </is>
      </c>
      <c r="J1869" s="2" t="inlineStr">
        <is>
          <t>2849618D</t>
        </is>
      </c>
      <c r="K1869" s="2" t="inlineStr">
        <is>
          <t>Abierto simplificado</t>
        </is>
      </c>
      <c r="L1869" s="6" t="n">
        <v>3</v>
      </c>
      <c r="M1869" s="2" t="n"/>
      <c r="N1869" s="7" t="n">
        <v>0</v>
      </c>
      <c r="O1869" s="4" t="n"/>
      <c r="P1869" s="2" t="inlineStr">
        <is>
          <t>45233262</t>
        </is>
      </c>
      <c r="Q1869" s="8" t="inlineStr">
        <is>
          <t>Ver</t>
        </is>
      </c>
      <c r="R1869" s="8" t="inlineStr">
        <is>
          <t>PCAP</t>
        </is>
      </c>
      <c r="S1869" s="9" t="n">
        <v>46310</v>
      </c>
      <c r="T1869" s="3" t="n">
        <v>46303.57305555556</v>
      </c>
      <c r="U1869" s="2" t="n"/>
    </row>
    <row r="1870">
      <c r="A1870" s="2" t="inlineStr">
        <is>
          <t>Resuelta</t>
        </is>
      </c>
      <c r="B1870" s="3" t="n"/>
      <c r="C1870" s="5" t="n">
        <v>4729184.45</v>
      </c>
      <c r="D1870" s="5" t="n">
        <v>4729184.45</v>
      </c>
      <c r="E1870" s="2" t="inlineStr">
        <is>
          <t>Comunitat Valenciana</t>
        </is>
      </c>
      <c r="F1870" s="2" t="inlineStr">
        <is>
          <t>Valencia</t>
        </is>
      </c>
      <c r="G1870" s="2" t="n"/>
      <c r="H1870" s="2" t="inlineStr">
        <is>
          <t>Vicepresidente Segundo y Conseller para la Recuperación Económica y Social de la Comunitat Valenciana y de Medio Ambiente, Infraestructuras y Territorio</t>
        </is>
      </c>
      <c r="I1870" s="2" t="inlineStr">
        <is>
          <t>Obras de emergencia DANA-2024 reparación instalaciones portuarias afectadas y restitución de calados en el puerto de Cullera de gestión directa de la Generalitat</t>
        </is>
      </c>
      <c r="J1870" s="2" t="inlineStr">
        <is>
          <t>CMAYOR/2024/24Y04/0056</t>
        </is>
      </c>
      <c r="K1870" s="2" t="inlineStr">
        <is>
          <t>Negociado sin publicidad</t>
        </is>
      </c>
      <c r="L1870" s="6" t="n">
        <v>6</v>
      </c>
      <c r="M1870" s="2" t="n"/>
      <c r="N1870" s="7" t="n">
        <v>0</v>
      </c>
      <c r="O1870" s="4" t="n"/>
      <c r="P1870" s="2" t="inlineStr">
        <is>
          <t>45244000; 45241000</t>
        </is>
      </c>
      <c r="Q1870" s="8" t="inlineStr">
        <is>
          <t>Ver</t>
        </is>
      </c>
      <c r="R1870" s="2" t="n"/>
      <c r="S1870" s="9" t="n">
        <v>46310</v>
      </c>
      <c r="T1870" s="3" t="n">
        <v>46303.57261574074</v>
      </c>
      <c r="U1870" s="2" t="n"/>
    </row>
    <row r="1871">
      <c r="A1871" s="2" t="inlineStr">
        <is>
          <t>Adjudicada</t>
        </is>
      </c>
      <c r="B1871" s="3" t="n">
        <v>46244.79166666666</v>
      </c>
      <c r="C1871" s="5" t="n">
        <v>805138.89</v>
      </c>
      <c r="D1871" s="5" t="n">
        <v>805138.89</v>
      </c>
      <c r="E1871" s="2" t="inlineStr">
        <is>
          <t>Comunitat Valenciana</t>
        </is>
      </c>
      <c r="F1871" s="2" t="inlineStr">
        <is>
          <t>Valencia</t>
        </is>
      </c>
      <c r="G1871" s="2" t="inlineStr">
        <is>
          <t>Alfara del Patriarca</t>
        </is>
      </c>
      <c r="H1871" s="2" t="inlineStr">
        <is>
          <t>Pleno del Ayuntamiento de Alfara del Patriarca</t>
        </is>
      </c>
      <c r="I1871" s="2" t="inlineStr">
        <is>
          <t>Cubierta para pista deportiva y graderío lateral en polideportivo municipal "El Paretó" de Alfara del Patriarca</t>
        </is>
      </c>
      <c r="J1871" s="2" t="inlineStr">
        <is>
          <t>481/2026</t>
        </is>
      </c>
      <c r="K1871" s="2" t="inlineStr">
        <is>
          <t>Abierto simplificado</t>
        </is>
      </c>
      <c r="L1871" s="6" t="n">
        <v>4</v>
      </c>
      <c r="M1871" s="2" t="inlineStr">
        <is>
          <t>C3-3</t>
        </is>
      </c>
      <c r="N1871" s="7" t="n">
        <v>0</v>
      </c>
      <c r="O1871" s="4" t="n"/>
      <c r="P1871" s="2" t="inlineStr">
        <is>
          <t>45200000; 45212000; 45210000; 45211350; 45212200</t>
        </is>
      </c>
      <c r="Q1871" s="8" t="inlineStr">
        <is>
          <t>Ver</t>
        </is>
      </c>
      <c r="R1871" s="8" t="inlineStr">
        <is>
          <t>PCAP</t>
        </is>
      </c>
      <c r="S1871" s="9" t="n">
        <v>46310</v>
      </c>
      <c r="T1871" s="3" t="n">
        <v>46303.57125</v>
      </c>
      <c r="U1871" s="2" t="n"/>
    </row>
    <row r="1872">
      <c r="A1872" s="2" t="inlineStr">
        <is>
          <t>Plazo vencido</t>
        </is>
      </c>
      <c r="B1872" s="3" t="n">
        <v>46318.99930555555</v>
      </c>
      <c r="C1872" s="5" t="n">
        <v>41614.94</v>
      </c>
      <c r="D1872" s="5" t="n">
        <v>41614.94</v>
      </c>
      <c r="E1872" s="2" t="inlineStr">
        <is>
          <t>Andalucía</t>
        </is>
      </c>
      <c r="F1872" s="2" t="inlineStr">
        <is>
          <t>Huelva</t>
        </is>
      </c>
      <c r="G1872" s="2" t="inlineStr">
        <is>
          <t>La Palma del Condado</t>
        </is>
      </c>
      <c r="H1872" s="2" t="inlineStr">
        <is>
          <t>Alcaldía del Ayuntamiento de La Palma del Condado</t>
        </is>
      </c>
      <c r="I1872" s="2" t="inlineStr">
        <is>
          <t>Obras de rehabilitación de 4 edificios municipales: Casa de los Tirado, Teatro España, Casa de la Música y Casa del Diezmo, subvencionadas por la Consejería de Administración Local de la Junta de Andalucía</t>
        </is>
      </c>
      <c r="J1872" s="2" t="inlineStr">
        <is>
          <t>2112/2026</t>
        </is>
      </c>
      <c r="K1872" s="2" t="inlineStr">
        <is>
          <t>Abierto simplificado</t>
        </is>
      </c>
      <c r="L1872" s="6" t="n">
        <v>4</v>
      </c>
      <c r="M1872" s="2" t="n"/>
      <c r="N1872" s="7" t="n">
        <v>0</v>
      </c>
      <c r="O1872" s="4" t="n"/>
      <c r="P1872" s="2" t="inlineStr">
        <is>
          <t>45000000</t>
        </is>
      </c>
      <c r="Q1872" s="8" t="inlineStr">
        <is>
          <t>Ver</t>
        </is>
      </c>
      <c r="R1872" s="8" t="inlineStr">
        <is>
          <t>PCAP</t>
        </is>
      </c>
      <c r="S1872" s="9" t="n">
        <v>46310</v>
      </c>
      <c r="T1872" s="3" t="n">
        <v>46303.57122685185</v>
      </c>
      <c r="U1872" s="2" t="n"/>
    </row>
    <row r="1873">
      <c r="A1873" s="2" t="inlineStr">
        <is>
          <t>Resuelta</t>
        </is>
      </c>
      <c r="B1873" s="3" t="n">
        <v>46223.99930555555</v>
      </c>
      <c r="C1873" s="5" t="n">
        <v>214876.03</v>
      </c>
      <c r="D1873" s="5" t="n">
        <v>257851.24</v>
      </c>
      <c r="E1873" s="2" t="inlineStr">
        <is>
          <t>Andalucía</t>
        </is>
      </c>
      <c r="F1873" s="2" t="inlineStr">
        <is>
          <t>Almería</t>
        </is>
      </c>
      <c r="G1873" s="2" t="n"/>
      <c r="H1873" s="2" t="inlineStr">
        <is>
          <t>Junta de Gobierno Local del Ayuntamiento de El Ejido</t>
        </is>
      </c>
      <c r="I1873"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1873" s="2" t="inlineStr">
        <is>
          <t>2026 776</t>
        </is>
      </c>
      <c r="K1873" s="2" t="inlineStr">
        <is>
          <t>Abierto simplificado</t>
        </is>
      </c>
      <c r="L1873" s="6" t="n">
        <v>3</v>
      </c>
      <c r="M1873" s="2" t="n"/>
      <c r="N1873" s="7" t="n">
        <v>0.25</v>
      </c>
      <c r="O1873" s="4" t="n"/>
      <c r="P1873" s="2" t="inlineStr">
        <is>
          <t>45100000; 45421160; 45233300</t>
        </is>
      </c>
      <c r="Q1873" s="8" t="inlineStr">
        <is>
          <t>Ver</t>
        </is>
      </c>
      <c r="R1873" s="8" t="inlineStr">
        <is>
          <t>PCAP</t>
        </is>
      </c>
      <c r="S1873" s="9" t="n">
        <v>46310</v>
      </c>
      <c r="T1873" s="3" t="n">
        <v>46303.56965277778</v>
      </c>
      <c r="U1873" s="2" t="n"/>
    </row>
    <row r="1874">
      <c r="A1874" s="2" t="inlineStr">
        <is>
          <t>Resuelta</t>
        </is>
      </c>
      <c r="B1874" s="3" t="n">
        <v>46265.5</v>
      </c>
      <c r="C1874" s="5" t="n">
        <v>380339.23</v>
      </c>
      <c r="D1874" s="5" t="n">
        <v>380339.23</v>
      </c>
      <c r="E1874" s="2" t="inlineStr">
        <is>
          <t>Comunitat Valenciana</t>
        </is>
      </c>
      <c r="F1874" s="2" t="inlineStr">
        <is>
          <t>Valencia</t>
        </is>
      </c>
      <c r="G1874" s="2" t="n"/>
      <c r="H1874" s="2" t="inlineStr">
        <is>
          <t>Dirección General del Circuito del Motor y Promoción Deportiva S.A.</t>
        </is>
      </c>
      <c r="I1874" s="2" t="inlineStr">
        <is>
          <t>Contrato de obras de adecuación del edificio médico del Circuit De La Comunitat Valenciana Ricardo Tormo</t>
        </is>
      </c>
      <c r="J1874" s="2" t="inlineStr">
        <is>
          <t>CMAYOR/2026/CMPD0/0025</t>
        </is>
      </c>
      <c r="K1874" s="2" t="inlineStr">
        <is>
          <t>Abierto simplificado</t>
        </is>
      </c>
      <c r="L1874" s="6" t="n">
        <v>4</v>
      </c>
      <c r="M1874" s="2" t="n"/>
      <c r="N1874" s="7" t="n">
        <v>0</v>
      </c>
      <c r="O1874" s="4" t="n"/>
      <c r="P1874" s="2" t="inlineStr">
        <is>
          <t>45215100; 45262700; 45300000</t>
        </is>
      </c>
      <c r="Q1874" s="8" t="inlineStr">
        <is>
          <t>Ver</t>
        </is>
      </c>
      <c r="R1874" s="8" t="inlineStr">
        <is>
          <t>PCAP</t>
        </is>
      </c>
      <c r="S1874" s="9" t="n">
        <v>46310</v>
      </c>
      <c r="T1874" s="3" t="n">
        <v>46303.56881944444</v>
      </c>
      <c r="U1874" s="2" t="n"/>
    </row>
    <row r="1875">
      <c r="A1875" s="2" t="inlineStr">
        <is>
          <t>Pendiente de adjudicación</t>
        </is>
      </c>
      <c r="B1875" s="3" t="n">
        <v>46288.99930555555</v>
      </c>
      <c r="C1875" s="5" t="n">
        <v>67768.60000000001</v>
      </c>
      <c r="D1875" s="5" t="n">
        <v>67768.60000000001</v>
      </c>
      <c r="E1875" s="2" t="inlineStr">
        <is>
          <t>Andalucía</t>
        </is>
      </c>
      <c r="F1875" s="2" t="inlineStr">
        <is>
          <t>Granada</t>
        </is>
      </c>
      <c r="G1875" s="2" t="inlineStr">
        <is>
          <t>BACOR-OLIVAR</t>
        </is>
      </c>
      <c r="H1875" s="2" t="inlineStr">
        <is>
          <t>Presidencia de la Diputación Provincial de Granada</t>
        </is>
      </c>
      <c r="I1875" s="2" t="inlineStr">
        <is>
          <t>2026/4/PPOYS-21/1 "Bácor Olivar, acondicionamiento de redes y pavimentación en C/Paraíso"</t>
        </is>
      </c>
      <c r="J1875" s="2" t="inlineStr">
        <is>
          <t>OB-042/26</t>
        </is>
      </c>
      <c r="K1875" s="2" t="inlineStr">
        <is>
          <t>Abierto simplificado</t>
        </is>
      </c>
      <c r="L1875" s="6" t="n">
        <v>4</v>
      </c>
      <c r="M1875" s="2" t="inlineStr">
        <is>
          <t>G6-1; E7-1</t>
        </is>
      </c>
      <c r="N1875" s="7" t="n">
        <v>0</v>
      </c>
      <c r="O1875" s="4" t="n"/>
      <c r="P1875" s="2" t="inlineStr">
        <is>
          <t>45231100; 45233252</t>
        </is>
      </c>
      <c r="Q1875" s="8" t="inlineStr">
        <is>
          <t>Ver</t>
        </is>
      </c>
      <c r="R1875" s="8" t="inlineStr">
        <is>
          <t>PCAP</t>
        </is>
      </c>
      <c r="S1875" s="9" t="n">
        <v>46310</v>
      </c>
      <c r="T1875" s="3" t="n">
        <v>46303.56633101852</v>
      </c>
      <c r="U1875" s="2" t="n"/>
    </row>
    <row r="1876">
      <c r="A1876" s="2" t="inlineStr">
        <is>
          <t>Plazo vencido</t>
        </is>
      </c>
      <c r="B1876" s="3" t="n">
        <v>46323.99930555555</v>
      </c>
      <c r="C1876" s="5" t="n">
        <v>675994.61</v>
      </c>
      <c r="D1876" s="5" t="n">
        <v>743594.0699999999</v>
      </c>
      <c r="E1876" s="2" t="inlineStr">
        <is>
          <t>Comunitat Valenciana</t>
        </is>
      </c>
      <c r="F1876" s="2" t="inlineStr">
        <is>
          <t>Valencia</t>
        </is>
      </c>
      <c r="G1876" s="2" t="n"/>
      <c r="H1876" s="2" t="inlineStr">
        <is>
          <t>Junta de Gobierno del Ajuntament de València</t>
        </is>
      </c>
      <c r="I1876" s="2" t="inlineStr">
        <is>
          <t>Ejecución de las Obras denominadas Limpieza y mantenimiento de las fachadas del Mercado Central de València.-</t>
        </is>
      </c>
      <c r="J1876" s="2" t="inlineStr">
        <is>
          <t>04101/2026/236-O</t>
        </is>
      </c>
      <c r="K1876" s="2" t="inlineStr">
        <is>
          <t>Abierto simplificado</t>
        </is>
      </c>
      <c r="L1876" s="6" t="n">
        <v>5</v>
      </c>
      <c r="M1876" s="2" t="inlineStr">
        <is>
          <t>K7-3</t>
        </is>
      </c>
      <c r="N1876" s="7" t="n">
        <v>0</v>
      </c>
      <c r="O1876" s="4" t="n"/>
      <c r="P1876" s="2" t="inlineStr">
        <is>
          <t>45213141</t>
        </is>
      </c>
      <c r="Q1876" s="8" t="inlineStr">
        <is>
          <t>Ver</t>
        </is>
      </c>
      <c r="R1876" s="8" t="inlineStr">
        <is>
          <t>PCAP</t>
        </is>
      </c>
      <c r="S1876" s="9" t="n">
        <v>46310</v>
      </c>
      <c r="T1876" s="3" t="n">
        <v>46303.56224537037</v>
      </c>
      <c r="U1876" s="2" t="n"/>
    </row>
    <row r="1877">
      <c r="A1877" s="2" t="inlineStr">
        <is>
          <t>Resuelta</t>
        </is>
      </c>
      <c r="B1877" s="3" t="n">
        <v>46289.99930555555</v>
      </c>
      <c r="C1877" s="5" t="n">
        <v>44522.11</v>
      </c>
      <c r="D1877" s="5" t="n">
        <v>44522.11</v>
      </c>
      <c r="E1877" s="2" t="inlineStr">
        <is>
          <t>Comunitat Valenciana</t>
        </is>
      </c>
      <c r="F1877" s="2" t="inlineStr">
        <is>
          <t>Alicante</t>
        </is>
      </c>
      <c r="G1877" s="2" t="n"/>
      <c r="H1877" s="2" t="inlineStr">
        <is>
          <t>Alcaldía del Ayuntamiento de Dolores</t>
        </is>
      </c>
      <c r="I1877" s="2" t="inlineStr">
        <is>
          <t>Obras de pavimentación de caminos Cuadra Nueva.</t>
        </is>
      </c>
      <c r="J1877" s="2" t="inlineStr">
        <is>
          <t>3507/2026</t>
        </is>
      </c>
      <c r="K1877" s="2" t="inlineStr">
        <is>
          <t>Abierto simplificado</t>
        </is>
      </c>
      <c r="L1877" s="6" t="n">
        <v>0.5</v>
      </c>
      <c r="M1877" s="2" t="n"/>
      <c r="N1877" s="7" t="n">
        <v>0</v>
      </c>
      <c r="O1877" s="4" t="n"/>
      <c r="P1877" s="2" t="inlineStr">
        <is>
          <t>45233140; 45233222</t>
        </is>
      </c>
      <c r="Q1877" s="8" t="inlineStr">
        <is>
          <t>Ver</t>
        </is>
      </c>
      <c r="R1877" s="8" t="inlineStr">
        <is>
          <t>PCAP</t>
        </is>
      </c>
      <c r="S1877" s="9" t="n">
        <v>46310</v>
      </c>
      <c r="T1877" s="3" t="n">
        <v>46303.56158564815</v>
      </c>
      <c r="U1877" s="2" t="n"/>
    </row>
    <row r="1878">
      <c r="A1878" s="2" t="inlineStr">
        <is>
          <t>Plazo vencido</t>
        </is>
      </c>
      <c r="B1878" s="3" t="n">
        <v>46314.99930555555</v>
      </c>
      <c r="C1878" s="5" t="n">
        <v>2207320.13</v>
      </c>
      <c r="D1878" s="5" t="n">
        <v>2207320.13</v>
      </c>
      <c r="E1878" s="2" t="inlineStr">
        <is>
          <t>Comunitat Valenciana</t>
        </is>
      </c>
      <c r="F1878" s="2" t="inlineStr">
        <is>
          <t>Valencia</t>
        </is>
      </c>
      <c r="G1878" s="2" t="inlineStr">
        <is>
          <t>Valencia</t>
        </is>
      </c>
      <c r="H1878" s="2" t="inlineStr">
        <is>
          <t>Departamento de Salud Valencia - Arnau de Vilanova - Llíria. Dirección Económica-Gerencia</t>
        </is>
      </c>
      <c r="I1878" s="2" t="inlineStr">
        <is>
          <t>Obras de Reforma de Climatización Fase II del Hospital Arnau de Vilanova del Departamento de Salud De Valencia-Arnau de Vilanova-Llíria</t>
        </is>
      </c>
      <c r="J1878" s="2" t="inlineStr">
        <is>
          <t>1564/2026</t>
        </is>
      </c>
      <c r="K1878" s="2" t="inlineStr">
        <is>
          <t>Abierto</t>
        </is>
      </c>
      <c r="L1878" s="6" t="n">
        <v>28</v>
      </c>
      <c r="M1878" s="2" t="n"/>
      <c r="N1878" s="7" t="n">
        <v>0.36</v>
      </c>
      <c r="O1878" s="4" t="n"/>
      <c r="P1878" s="2" t="inlineStr">
        <is>
          <t>45215140; 45331000; 45262900; 45310000</t>
        </is>
      </c>
      <c r="Q1878" s="8" t="inlineStr">
        <is>
          <t>Ver</t>
        </is>
      </c>
      <c r="R1878" s="8" t="inlineStr">
        <is>
          <t>PCAP</t>
        </is>
      </c>
      <c r="S1878" s="9" t="n">
        <v>46310</v>
      </c>
      <c r="T1878" s="3" t="n">
        <v>46303.56114583334</v>
      </c>
      <c r="U1878" s="2" t="n"/>
    </row>
    <row r="1879">
      <c r="A1879" s="2" t="inlineStr">
        <is>
          <t>Resuelta</t>
        </is>
      </c>
      <c r="B1879" s="3" t="n">
        <v>46281.5</v>
      </c>
      <c r="C1879" s="5" t="n">
        <v>133261.47</v>
      </c>
      <c r="D1879" s="5" t="n">
        <v>133261.47</v>
      </c>
      <c r="E1879" s="2" t="inlineStr">
        <is>
          <t>Andalucía</t>
        </is>
      </c>
      <c r="F1879" s="2" t="inlineStr">
        <is>
          <t>Córdoba</t>
        </is>
      </c>
      <c r="G1879" s="2" t="n"/>
      <c r="H1879" s="2" t="inlineStr">
        <is>
          <t>Jefatura de Intendencia de Asuntos Económicos Sur</t>
        </is>
      </c>
      <c r="I1879" s="2" t="inlineStr">
        <is>
          <t>OBRA TC 204-52/24 de sustitución de cubierta y reparación de elementos estructurales en hangar nº 08, USBA Cerro Muriano Córdoba</t>
        </is>
      </c>
      <c r="J1879" s="2" t="inlineStr">
        <is>
          <t>2026/ETSAE0226/00005610E</t>
        </is>
      </c>
      <c r="K1879" s="2" t="inlineStr">
        <is>
          <t>Abierto</t>
        </is>
      </c>
      <c r="L1879" s="6" t="n">
        <v>3</v>
      </c>
      <c r="M1879" s="2" t="n"/>
      <c r="N1879" s="7" t="n">
        <v>0</v>
      </c>
      <c r="O1879" s="4" t="n"/>
      <c r="P1879" s="2" t="inlineStr">
        <is>
          <t>45261213</t>
        </is>
      </c>
      <c r="Q1879" s="8" t="inlineStr">
        <is>
          <t>Ver</t>
        </is>
      </c>
      <c r="R1879" s="8" t="inlineStr">
        <is>
          <t>PCAP</t>
        </is>
      </c>
      <c r="S1879" s="9" t="n">
        <v>46310</v>
      </c>
      <c r="T1879" s="3" t="n">
        <v>46303.55696759259</v>
      </c>
      <c r="U1879" s="2" t="n"/>
    </row>
    <row r="1880">
      <c r="A1880" s="2" t="inlineStr">
        <is>
          <t>Resuelta</t>
        </is>
      </c>
      <c r="B1880" s="3" t="n">
        <v>46216.99930555555</v>
      </c>
      <c r="C1880" s="5" t="n">
        <v>126324.03</v>
      </c>
      <c r="D1880" s="5" t="n">
        <v>151588.84</v>
      </c>
      <c r="E1880" s="2" t="inlineStr">
        <is>
          <t>Comunitat Valenciana</t>
        </is>
      </c>
      <c r="F1880" s="2" t="inlineStr">
        <is>
          <t>Valencia</t>
        </is>
      </c>
      <c r="G1880" s="2" t="inlineStr">
        <is>
          <t>Canals</t>
        </is>
      </c>
      <c r="H1880" s="2" t="inlineStr">
        <is>
          <t>Dirección Territorial de Educación, Investigación, Cultura y Deporte - Valencia</t>
        </is>
      </c>
      <c r="I1880" s="2" t="inlineStr">
        <is>
          <t>Mejoras y acondicionamiento de sombra, pista deportiva y juegos infantiles en el CEIP José Mollá de Canals</t>
        </is>
      </c>
      <c r="J1880" s="2" t="inlineStr">
        <is>
          <t>CMAYOR/2026/19Y16/0030</t>
        </is>
      </c>
      <c r="K1880" s="2" t="inlineStr">
        <is>
          <t>Abierto simplificado</t>
        </is>
      </c>
      <c r="L1880" s="6" t="n">
        <v>2</v>
      </c>
      <c r="M1880" s="2" t="n"/>
      <c r="N1880" s="7" t="n">
        <v>0</v>
      </c>
      <c r="O1880" s="4" t="n"/>
      <c r="P1880" s="2" t="inlineStr">
        <is>
          <t>45214210</t>
        </is>
      </c>
      <c r="Q1880" s="8" t="inlineStr">
        <is>
          <t>Ver</t>
        </is>
      </c>
      <c r="R1880" s="8" t="inlineStr">
        <is>
          <t>PCAP</t>
        </is>
      </c>
      <c r="S1880" s="9" t="n">
        <v>46310</v>
      </c>
      <c r="T1880" s="3" t="n">
        <v>46303.55517361111</v>
      </c>
      <c r="U1880" s="2" t="n"/>
    </row>
    <row r="1881">
      <c r="A1881" s="2" t="inlineStr">
        <is>
          <t>Resuelta</t>
        </is>
      </c>
      <c r="B1881" s="3" t="n">
        <v>46233.99930555555</v>
      </c>
      <c r="C1881" s="5" t="n">
        <v>97316.09</v>
      </c>
      <c r="D1881" s="5" t="n">
        <v>116779.31</v>
      </c>
      <c r="E1881" s="2" t="inlineStr">
        <is>
          <t>Andalucía</t>
        </is>
      </c>
      <c r="F1881" s="2" t="inlineStr">
        <is>
          <t>Almería</t>
        </is>
      </c>
      <c r="G1881" s="2" t="n"/>
      <c r="H1881" s="2" t="inlineStr">
        <is>
          <t>Junta de Gobierno Local del Ayuntamiento de El Ejido</t>
        </is>
      </c>
      <c r="I1881"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1881" s="2" t="inlineStr">
        <is>
          <t>2026 1161</t>
        </is>
      </c>
      <c r="K1881" s="2" t="inlineStr">
        <is>
          <t>Abierto simplificado</t>
        </is>
      </c>
      <c r="L1881" s="6" t="n">
        <v>2</v>
      </c>
      <c r="M1881" s="2" t="n"/>
      <c r="N1881" s="7" t="n">
        <v>0.25</v>
      </c>
      <c r="O1881" s="4" t="n"/>
      <c r="P1881" s="2" t="inlineStr">
        <is>
          <t>45233200</t>
        </is>
      </c>
      <c r="Q1881" s="8" t="inlineStr">
        <is>
          <t>Ver</t>
        </is>
      </c>
      <c r="R1881" s="8" t="inlineStr">
        <is>
          <t>PCAP</t>
        </is>
      </c>
      <c r="S1881" s="9" t="n">
        <v>46310</v>
      </c>
      <c r="T1881" s="3" t="n">
        <v>46303.55221064815</v>
      </c>
      <c r="U1881" s="2" t="n"/>
    </row>
    <row r="1882">
      <c r="A1882" s="2" t="inlineStr">
        <is>
          <t>Resuelta</t>
        </is>
      </c>
      <c r="B1882" s="3" t="n">
        <v>46211.99930555555</v>
      </c>
      <c r="C1882" s="5" t="n">
        <v>17250</v>
      </c>
      <c r="D1882" s="5" t="n">
        <v>17250</v>
      </c>
      <c r="E1882" s="2" t="inlineStr">
        <is>
          <t>Andalucía</t>
        </is>
      </c>
      <c r="F1882" s="2" t="inlineStr">
        <is>
          <t>Sevilla</t>
        </is>
      </c>
      <c r="G1882" s="2" t="n"/>
      <c r="H1882" s="2" t="inlineStr">
        <is>
          <t>Teniente Alcalde, Delegado de Contratación del Ayuntamiento de Lebrija</t>
        </is>
      </c>
      <c r="I1882" s="2" t="inlineStr">
        <is>
          <t>Contratación de equipos de obras (vehículos y maquinaria dotados de conductor) y arrendamiento de maquinarias de obras sin conductor, para la ejecución de las obras "Actuaciones de reposición y mejoras en el arbolado público" (PFEA 2025).</t>
        </is>
      </c>
      <c r="J1882" s="2" t="inlineStr">
        <is>
          <t>PCA/93/2026</t>
        </is>
      </c>
      <c r="K1882" s="2" t="inlineStr">
        <is>
          <t>Abierto simplificado</t>
        </is>
      </c>
      <c r="L1882" s="6" t="n">
        <v>6</v>
      </c>
      <c r="M1882" s="2" t="n"/>
      <c r="N1882" s="7" t="n">
        <v>0</v>
      </c>
      <c r="O1882" s="4" t="n">
        <v>3</v>
      </c>
      <c r="P1882" s="2" t="inlineStr">
        <is>
          <t>45500000; 43300000; 60180000</t>
        </is>
      </c>
      <c r="Q1882" s="8" t="inlineStr">
        <is>
          <t>Ver</t>
        </is>
      </c>
      <c r="R1882" s="8" t="inlineStr">
        <is>
          <t>PCAP</t>
        </is>
      </c>
      <c r="S1882" s="9" t="n">
        <v>46310</v>
      </c>
      <c r="T1882" s="3" t="n">
        <v>46303.55056712963</v>
      </c>
      <c r="U1882" s="2" t="n"/>
    </row>
    <row r="1883">
      <c r="A1883" s="2" t="inlineStr">
        <is>
          <t>Resuelta</t>
        </is>
      </c>
      <c r="B1883" s="3" t="n">
        <v>46276.41666666666</v>
      </c>
      <c r="C1883" s="5" t="n">
        <v>207278.74</v>
      </c>
      <c r="D1883" s="5" t="n">
        <v>207278.74</v>
      </c>
      <c r="E1883" s="2" t="inlineStr">
        <is>
          <t>Andalucía</t>
        </is>
      </c>
      <c r="F1883" s="2" t="inlineStr">
        <is>
          <t>Córdoba</t>
        </is>
      </c>
      <c r="G1883" s="2" t="n"/>
      <c r="H1883" s="2" t="inlineStr">
        <is>
          <t>Jefatura de Intendencia de Asuntos Económicos Sur</t>
        </is>
      </c>
      <c r="I1883" s="2" t="inlineStr">
        <is>
          <t>OBRA TC 204-67/24 de sustitución de la cubierta y elementos de saneamiento vinculados del edificio 55, Base Cerro Muriano, Córdoba</t>
        </is>
      </c>
      <c r="J1883" s="2" t="inlineStr">
        <is>
          <t>2026/ETSAE0226/00005368E</t>
        </is>
      </c>
      <c r="K1883" s="2" t="inlineStr">
        <is>
          <t>Abierto</t>
        </is>
      </c>
      <c r="L1883" s="6" t="n">
        <v>2</v>
      </c>
      <c r="M1883" s="2" t="n"/>
      <c r="N1883" s="7" t="n">
        <v>0</v>
      </c>
      <c r="O1883" s="4" t="n"/>
      <c r="P1883" s="2" t="inlineStr">
        <is>
          <t>45261213</t>
        </is>
      </c>
      <c r="Q1883" s="8" t="inlineStr">
        <is>
          <t>Ver</t>
        </is>
      </c>
      <c r="R1883" s="8" t="inlineStr">
        <is>
          <t>PCAP</t>
        </is>
      </c>
      <c r="S1883" s="9" t="n">
        <v>46310</v>
      </c>
      <c r="T1883" s="3" t="n">
        <v>46303.54756944445</v>
      </c>
      <c r="U1883" s="2" t="n"/>
    </row>
    <row r="1884">
      <c r="A1884" s="2" t="inlineStr">
        <is>
          <t>Pendiente de adjudicación</t>
        </is>
      </c>
      <c r="B1884" s="3" t="n">
        <v>46258.99930555555</v>
      </c>
      <c r="C1884" s="5" t="n">
        <v>81827.05</v>
      </c>
      <c r="D1884" s="5" t="n">
        <v>81827.05</v>
      </c>
      <c r="E1884" s="2" t="inlineStr">
        <is>
          <t>Andalucía</t>
        </is>
      </c>
      <c r="F1884" s="2" t="inlineStr">
        <is>
          <t>Sevilla</t>
        </is>
      </c>
      <c r="G1884" s="2" t="n"/>
      <c r="H1884" s="2" t="inlineStr">
        <is>
          <t>Alcaldía del Ayuntamiento de Cañada Rosal</t>
        </is>
      </c>
      <c r="I1884" s="2" t="inlineStr">
        <is>
          <t>Contratación para la ejecución del proyecto de mejora de la eficiencia energética de la Casa Consistorial del Ayuntamiento de Cañada Rosal.</t>
        </is>
      </c>
      <c r="J1884" s="2" t="inlineStr">
        <is>
          <t>2026/CTT_01/000053</t>
        </is>
      </c>
      <c r="K1884" s="2" t="inlineStr">
        <is>
          <t>Abierto simplificado</t>
        </is>
      </c>
      <c r="L1884" s="6" t="n">
        <v>3</v>
      </c>
      <c r="M1884" s="2" t="n"/>
      <c r="N1884" s="7" t="n">
        <v>0</v>
      </c>
      <c r="O1884" s="4" t="n"/>
      <c r="P1884" s="2" t="inlineStr">
        <is>
          <t>45400000; 44221110; 44221230; 44221111; 44221000</t>
        </is>
      </c>
      <c r="Q1884" s="8" t="inlineStr">
        <is>
          <t>Ver</t>
        </is>
      </c>
      <c r="R1884" s="8" t="inlineStr">
        <is>
          <t>PCAP</t>
        </is>
      </c>
      <c r="S1884" s="9" t="n">
        <v>46310</v>
      </c>
      <c r="T1884" s="3" t="n">
        <v>46303.54560185185</v>
      </c>
      <c r="U1884" s="2" t="n"/>
    </row>
    <row r="1885">
      <c r="A1885" s="2" t="inlineStr">
        <is>
          <t>Resuelta</t>
        </is>
      </c>
      <c r="B1885" s="3" t="n">
        <v>46174.99930555555</v>
      </c>
      <c r="C1885" s="5" t="n">
        <v>2223232.34</v>
      </c>
      <c r="D1885" s="5" t="n">
        <v>2890202.04</v>
      </c>
      <c r="E1885" s="2" t="inlineStr">
        <is>
          <t>Comunitat Valenciana</t>
        </is>
      </c>
      <c r="F1885" s="2" t="inlineStr">
        <is>
          <t>Alicante</t>
        </is>
      </c>
      <c r="G1885" s="2" t="inlineStr">
        <is>
          <t>ELCHE</t>
        </is>
      </c>
      <c r="H1885" s="2" t="inlineStr">
        <is>
          <t>Departamento de Salud de Elche. Dirección Económica-Gerencia</t>
        </is>
      </c>
      <c r="I1885" s="2" t="inlineStr">
        <is>
          <t>Obra de reforma integral de paritorios del Hospital General Universitario de Elche..</t>
        </is>
      </c>
      <c r="J1885" s="2" t="inlineStr">
        <is>
          <t>PA 217/2026</t>
        </is>
      </c>
      <c r="K1885" s="2" t="inlineStr">
        <is>
          <t>Abierto</t>
        </is>
      </c>
      <c r="L1885" s="6" t="n">
        <v>6</v>
      </c>
      <c r="M1885" s="2" t="inlineStr">
        <is>
          <t>J2-4</t>
        </is>
      </c>
      <c r="N1885" s="7" t="n">
        <v>0.35</v>
      </c>
      <c r="O1885" s="4" t="n"/>
      <c r="P1885" s="2" t="inlineStr">
        <is>
          <t>45215140</t>
        </is>
      </c>
      <c r="Q1885" s="8" t="inlineStr">
        <is>
          <t>Ver</t>
        </is>
      </c>
      <c r="R1885" s="8" t="inlineStr">
        <is>
          <t>PCAP</t>
        </is>
      </c>
      <c r="S1885" s="9" t="n">
        <v>46310</v>
      </c>
      <c r="T1885" s="3" t="n">
        <v>46303.54170138889</v>
      </c>
      <c r="U1885" s="2" t="n"/>
    </row>
    <row r="1886">
      <c r="A1886" s="2" t="inlineStr">
        <is>
          <t>Plazo vencido</t>
        </is>
      </c>
      <c r="B1886" s="3" t="n">
        <v>46315.99930555555</v>
      </c>
      <c r="C1886" s="5" t="n">
        <v>49579.52</v>
      </c>
      <c r="D1886" s="5" t="n">
        <v>49579.52</v>
      </c>
      <c r="E1886" s="2" t="inlineStr">
        <is>
          <t>Comunitat Valenciana</t>
        </is>
      </c>
      <c r="F1886" s="2" t="inlineStr">
        <is>
          <t>Valencia</t>
        </is>
      </c>
      <c r="G1886" s="2" t="n"/>
      <c r="H1886" s="2" t="inlineStr">
        <is>
          <t>Pleno del Ayuntamiento de Jarafuel</t>
        </is>
      </c>
      <c r="I1886"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1886" s="2" t="inlineStr">
        <is>
          <t>523/2026</t>
        </is>
      </c>
      <c r="K1886" s="2" t="inlineStr">
        <is>
          <t>Abierto simplificado</t>
        </is>
      </c>
      <c r="L1886" s="6" t="n">
        <v>0.5</v>
      </c>
      <c r="M1886" s="2" t="n"/>
      <c r="N1886" s="7" t="n">
        <v>0.25</v>
      </c>
      <c r="O1886" s="4" t="n"/>
      <c r="P1886" s="2" t="inlineStr">
        <is>
          <t>45233222; 45233142</t>
        </is>
      </c>
      <c r="Q1886" s="8" t="inlineStr">
        <is>
          <t>Ver</t>
        </is>
      </c>
      <c r="R1886" s="8" t="inlineStr">
        <is>
          <t>PCAP</t>
        </is>
      </c>
      <c r="S1886" s="9" t="n">
        <v>46310</v>
      </c>
      <c r="T1886" s="3" t="n">
        <v>46303.54077546296</v>
      </c>
      <c r="U1886" s="2" t="n"/>
    </row>
    <row r="1887">
      <c r="A1887" s="2" t="inlineStr">
        <is>
          <t>Adjudicada</t>
        </is>
      </c>
      <c r="B1887" s="3" t="n">
        <v>46239.99930555555</v>
      </c>
      <c r="C1887" s="5" t="n">
        <v>386269.78</v>
      </c>
      <c r="D1887" s="5" t="n">
        <v>386269.78</v>
      </c>
      <c r="E1887" s="2" t="inlineStr">
        <is>
          <t>Comunitat Valenciana</t>
        </is>
      </c>
      <c r="F1887" s="2" t="inlineStr">
        <is>
          <t>Castellón</t>
        </is>
      </c>
      <c r="G1887" s="2" t="n"/>
      <c r="H1887" s="2" t="inlineStr">
        <is>
          <t>Junta de Gobierno del Ayuntamiento de Castellón de la Plana</t>
        </is>
      </c>
      <c r="I1887" s="2" t="inlineStr">
        <is>
          <t>Obras de instalación de sistema de detección, cuantificación y tamizado de alivios en colector centro a la entrada de la EDAR y su cubrimiento hasta el camino Donación.</t>
        </is>
      </c>
      <c r="J1887" s="2" t="inlineStr">
        <is>
          <t>42856/2026</t>
        </is>
      </c>
      <c r="K1887" s="2" t="inlineStr">
        <is>
          <t>Abierto</t>
        </is>
      </c>
      <c r="L1887" s="6" t="n">
        <v>4</v>
      </c>
      <c r="M1887" s="2" t="n"/>
      <c r="N1887" s="7" t="n">
        <v>0.494</v>
      </c>
      <c r="O1887" s="4" t="n"/>
      <c r="P1887" s="2" t="inlineStr">
        <is>
          <t>45240000</t>
        </is>
      </c>
      <c r="Q1887" s="8" t="inlineStr">
        <is>
          <t>Ver</t>
        </is>
      </c>
      <c r="R1887" s="8" t="inlineStr">
        <is>
          <t>PCAP</t>
        </is>
      </c>
      <c r="S1887" s="9" t="n">
        <v>46310</v>
      </c>
      <c r="T1887" s="3" t="n">
        <v>46303.53625</v>
      </c>
      <c r="U1887" s="2" t="n"/>
    </row>
    <row r="1888">
      <c r="A1888" s="2" t="inlineStr">
        <is>
          <t>Pendiente de adjudicación</t>
        </is>
      </c>
      <c r="B1888" s="3" t="n">
        <v>46300.99930555555</v>
      </c>
      <c r="C1888" s="5" t="n">
        <v>1085596.85</v>
      </c>
      <c r="D1888" s="5" t="n">
        <v>1085596.85</v>
      </c>
      <c r="E1888" s="2" t="inlineStr">
        <is>
          <t>Andalucía</t>
        </is>
      </c>
      <c r="F1888" s="2" t="inlineStr">
        <is>
          <t>Cádiz</t>
        </is>
      </c>
      <c r="G1888" s="2" t="n"/>
      <c r="H1888" s="2" t="inlineStr">
        <is>
          <t>Junta de Gobierno Local del Ayuntamiento de Jerez</t>
        </is>
      </c>
      <c r="I1888" s="2" t="inlineStr">
        <is>
          <t>Rehabilitación, restauración y conservación de la Casa Palacio de Riquelme. Fases I y II. Espacio Cultural Riquelme. del Ayto. de Jerez de la Frontera.</t>
        </is>
      </c>
      <c r="J1888" s="2" t="inlineStr">
        <is>
          <t>54/2026</t>
        </is>
      </c>
      <c r="K1888" s="2" t="inlineStr">
        <is>
          <t>Abierto simplificado</t>
        </is>
      </c>
      <c r="L1888" s="6" t="n">
        <v>12</v>
      </c>
      <c r="M1888" s="2" t="n"/>
      <c r="N1888" s="7" t="n">
        <v>0</v>
      </c>
      <c r="O1888" s="4" t="n"/>
      <c r="P1888" s="2" t="inlineStr">
        <is>
          <t>45000000</t>
        </is>
      </c>
      <c r="Q1888" s="8" t="inlineStr">
        <is>
          <t>Ver</t>
        </is>
      </c>
      <c r="R1888" s="8" t="inlineStr">
        <is>
          <t>PCAP</t>
        </is>
      </c>
      <c r="S1888" s="9" t="n">
        <v>46310</v>
      </c>
      <c r="T1888" s="3" t="n">
        <v>46303.53518518519</v>
      </c>
      <c r="U1888" s="2" t="n"/>
    </row>
    <row r="1889">
      <c r="A1889" s="2" t="inlineStr">
        <is>
          <t>Pendiente de adjudicación</t>
        </is>
      </c>
      <c r="B1889" s="3" t="n">
        <v>46258.99930555555</v>
      </c>
      <c r="C1889" s="5" t="n">
        <v>274680.92</v>
      </c>
      <c r="D1889" s="5" t="n">
        <v>274680.92</v>
      </c>
      <c r="E1889" s="2" t="inlineStr">
        <is>
          <t>Andalucía</t>
        </is>
      </c>
      <c r="F1889" s="2" t="inlineStr">
        <is>
          <t>Sevilla</t>
        </is>
      </c>
      <c r="G1889" s="2" t="n"/>
      <c r="H1889" s="2" t="inlineStr">
        <is>
          <t>Junta de Gobierno del Ayuntamiento de Dos Hermanas</t>
        </is>
      </c>
      <c r="I1889" s="2" t="inlineStr">
        <is>
          <t>Reforma de la Instalación de Alumbrado Público en Urbanización Las Palmeras de Condequinto Dos Hermanas (Sevilla)</t>
        </is>
      </c>
      <c r="J1889" s="2" t="inlineStr">
        <is>
          <t>2026000021</t>
        </is>
      </c>
      <c r="K1889" s="2" t="inlineStr">
        <is>
          <t>Abierto simplificado</t>
        </is>
      </c>
      <c r="L1889" s="6" t="n">
        <v>4</v>
      </c>
      <c r="M1889" s="2" t="n"/>
      <c r="N1889" s="7" t="n">
        <v>0</v>
      </c>
      <c r="O1889" s="4" t="n"/>
      <c r="P1889" s="2" t="inlineStr">
        <is>
          <t>45316000</t>
        </is>
      </c>
      <c r="Q1889" s="8" t="inlineStr">
        <is>
          <t>Ver</t>
        </is>
      </c>
      <c r="R1889" s="8" t="inlineStr">
        <is>
          <t>PCAP</t>
        </is>
      </c>
      <c r="S1889" s="9" t="n">
        <v>46310</v>
      </c>
      <c r="T1889" s="3" t="n">
        <v>46303.53105324074</v>
      </c>
      <c r="U1889" s="2" t="n"/>
    </row>
    <row r="1890">
      <c r="A1890" s="2" t="inlineStr">
        <is>
          <t>Resuelta</t>
        </is>
      </c>
      <c r="B1890" s="3" t="n">
        <v>46252.75</v>
      </c>
      <c r="C1890" s="5" t="n">
        <v>97157.52</v>
      </c>
      <c r="D1890" s="5" t="n">
        <v>97157.52</v>
      </c>
      <c r="E1890" s="2" t="inlineStr">
        <is>
          <t>Comunitat Valenciana</t>
        </is>
      </c>
      <c r="F1890" s="2" t="inlineStr">
        <is>
          <t>Valencia</t>
        </is>
      </c>
      <c r="G1890" s="2" t="inlineStr">
        <is>
          <t>SUECA</t>
        </is>
      </c>
      <c r="H1890" s="2" t="inlineStr">
        <is>
          <t>Alcaldía del Ayuntamiento de Sueca</t>
        </is>
      </c>
      <c r="I1890" s="2" t="inlineStr">
        <is>
          <t>Reparacion de daños en antiguo matadero municipal</t>
        </is>
      </c>
      <c r="J1890" s="2" t="inlineStr">
        <is>
          <t>SRC/2026/134</t>
        </is>
      </c>
      <c r="K1890" s="2" t="inlineStr">
        <is>
          <t>Abierto simplificado</t>
        </is>
      </c>
      <c r="L1890" s="6" t="n">
        <v>3</v>
      </c>
      <c r="M1890" s="2" t="n"/>
      <c r="N1890" s="7" t="n">
        <v>0</v>
      </c>
      <c r="O1890" s="4" t="n"/>
      <c r="P1890" s="2" t="inlineStr">
        <is>
          <t>45442110; 90470000; 45421131</t>
        </is>
      </c>
      <c r="Q1890" s="8" t="inlineStr">
        <is>
          <t>Ver</t>
        </is>
      </c>
      <c r="R1890" s="8" t="inlineStr">
        <is>
          <t>PCAP</t>
        </is>
      </c>
      <c r="S1890" s="9" t="n">
        <v>46310</v>
      </c>
      <c r="T1890" s="3" t="n">
        <v>46303.52989583334</v>
      </c>
      <c r="U1890" s="2" t="n"/>
    </row>
    <row r="1891">
      <c r="A1891" s="2" t="inlineStr">
        <is>
          <t>Pendiente de adjudicación</t>
        </is>
      </c>
      <c r="B1891" s="3" t="n">
        <v>46300.99930555555</v>
      </c>
      <c r="C1891" s="5" t="n">
        <v>360923.43</v>
      </c>
      <c r="D1891" s="5" t="n">
        <v>360923.43</v>
      </c>
      <c r="E1891" s="2" t="inlineStr">
        <is>
          <t>Andalucía</t>
        </is>
      </c>
      <c r="F1891" s="2" t="inlineStr">
        <is>
          <t>Jaén</t>
        </is>
      </c>
      <c r="G1891" s="2" t="inlineStr">
        <is>
          <t>JAÉN</t>
        </is>
      </c>
      <c r="H1891" s="2" t="inlineStr">
        <is>
          <t>Presidencia de la Diputación Provincial de Jaén</t>
        </is>
      </c>
      <c r="I1891" s="2" t="inlineStr">
        <is>
          <t>Contrato de obras de construcción de pasarela y miradores entorno del P.N. Sierra Mágina, Fase II, en Torres</t>
        </is>
      </c>
      <c r="J1891" s="2" t="inlineStr">
        <is>
          <t>CO-2025/002317</t>
        </is>
      </c>
      <c r="K1891" s="2" t="inlineStr">
        <is>
          <t>Abierto simplificado</t>
        </is>
      </c>
      <c r="L1891" s="6" t="n">
        <v>4</v>
      </c>
      <c r="M1891" s="2" t="n"/>
      <c r="N1891" s="7" t="n">
        <v>0.25</v>
      </c>
      <c r="O1891" s="4" t="n"/>
      <c r="P1891" s="2" t="inlineStr">
        <is>
          <t>45213316</t>
        </is>
      </c>
      <c r="Q1891" s="8" t="inlineStr">
        <is>
          <t>Ver</t>
        </is>
      </c>
      <c r="R1891" s="8" t="inlineStr">
        <is>
          <t>PCAP</t>
        </is>
      </c>
      <c r="S1891" s="9" t="n">
        <v>46310</v>
      </c>
      <c r="T1891" s="3" t="n">
        <v>46303.52792824074</v>
      </c>
      <c r="U1891" s="2" t="n"/>
    </row>
    <row r="1892">
      <c r="A1892" s="2" t="inlineStr">
        <is>
          <t>Plazo vencido</t>
        </is>
      </c>
      <c r="B1892" s="3" t="n">
        <v>46323.99930555555</v>
      </c>
      <c r="C1892" s="5" t="n">
        <v>299360.33</v>
      </c>
      <c r="D1892" s="5" t="n">
        <v>329296.36</v>
      </c>
      <c r="E1892" s="2" t="inlineStr">
        <is>
          <t>Comunitat Valenciana</t>
        </is>
      </c>
      <c r="F1892" s="2" t="inlineStr">
        <is>
          <t>Valencia</t>
        </is>
      </c>
      <c r="G1892" s="2" t="n"/>
      <c r="H1892" s="2" t="inlineStr">
        <is>
          <t>Junta de Gobierno del Ajuntament de València</t>
        </is>
      </c>
      <c r="I1892" s="2" t="inlineStr">
        <is>
          <t>Obras de remodelación del jardín situado entre la avenida Giorgeta y la calle Uruguay (FEVE).-</t>
        </is>
      </c>
      <c r="J1892" s="2" t="inlineStr">
        <is>
          <t>04101/2026/171-O</t>
        </is>
      </c>
      <c r="K1892" s="2" t="inlineStr">
        <is>
          <t>Abierto simplificado</t>
        </is>
      </c>
      <c r="L1892" s="6" t="n">
        <v>4</v>
      </c>
      <c r="M1892" s="2" t="n"/>
      <c r="N1892" s="7" t="n">
        <v>0</v>
      </c>
      <c r="O1892" s="4" t="n"/>
      <c r="P1892" s="2" t="inlineStr">
        <is>
          <t>45112712</t>
        </is>
      </c>
      <c r="Q1892" s="8" t="inlineStr">
        <is>
          <t>Ver</t>
        </is>
      </c>
      <c r="R1892" s="8" t="inlineStr">
        <is>
          <t>PCAP</t>
        </is>
      </c>
      <c r="S1892" s="9" t="n">
        <v>46310</v>
      </c>
      <c r="T1892" s="3" t="n">
        <v>46303.52400462963</v>
      </c>
      <c r="U1892" s="2" t="n"/>
    </row>
    <row r="1893">
      <c r="A1893" s="2" t="inlineStr">
        <is>
          <t>Resuelta</t>
        </is>
      </c>
      <c r="B1893" s="3" t="n">
        <v>46133.99930555555</v>
      </c>
      <c r="C1893" s="5" t="n">
        <v>450247.93</v>
      </c>
      <c r="D1893" s="5" t="n">
        <v>450247.93</v>
      </c>
      <c r="E1893" s="2" t="inlineStr">
        <is>
          <t>Andalucía</t>
        </is>
      </c>
      <c r="F1893" s="2" t="inlineStr">
        <is>
          <t>Almería</t>
        </is>
      </c>
      <c r="G1893" s="2" t="n"/>
      <c r="H1893" s="2" t="inlineStr">
        <is>
          <t>Junta de Gobierno de la Diputación Provincial de Almería</t>
        </is>
      </c>
      <c r="I1893" s="2" t="inlineStr">
        <is>
          <t>Pavimentaciones Y Urbanizaciones En Purchena 50PPOS24-27BI</t>
        </is>
      </c>
      <c r="J1893" s="2" t="inlineStr">
        <is>
          <t>2025/D31000/006-013/00111</t>
        </is>
      </c>
      <c r="K1893" s="2" t="inlineStr">
        <is>
          <t>Abierto simplificado</t>
        </is>
      </c>
      <c r="L1893" s="6" t="n">
        <v>6.1</v>
      </c>
      <c r="M1893" s="2" t="n"/>
      <c r="N1893" s="7" t="n">
        <v>0.25</v>
      </c>
      <c r="O1893" s="4" t="n"/>
      <c r="P1893" s="2" t="inlineStr">
        <is>
          <t>45233252</t>
        </is>
      </c>
      <c r="Q1893" s="8" t="inlineStr">
        <is>
          <t>Ver</t>
        </is>
      </c>
      <c r="R1893" s="8" t="inlineStr">
        <is>
          <t>PCAP</t>
        </is>
      </c>
      <c r="S1893" s="9" t="n">
        <v>46310</v>
      </c>
      <c r="T1893" s="3" t="n">
        <v>46303.52347222222</v>
      </c>
      <c r="U1893" s="2" t="n"/>
    </row>
    <row r="1894">
      <c r="A1894" s="2" t="inlineStr">
        <is>
          <t>Resuelta</t>
        </is>
      </c>
      <c r="B1894" s="3" t="n">
        <v>46043.99930555555</v>
      </c>
      <c r="C1894" s="5" t="n">
        <v>63636.36</v>
      </c>
      <c r="D1894" s="5" t="n">
        <v>76363.63</v>
      </c>
      <c r="E1894" s="2" t="inlineStr">
        <is>
          <t>Andalucía</t>
        </is>
      </c>
      <c r="F1894" s="2" t="inlineStr">
        <is>
          <t>Huelva</t>
        </is>
      </c>
      <c r="G1894" s="2" t="inlineStr">
        <is>
          <t>Moguer (Huelva)</t>
        </is>
      </c>
      <c r="H1894" s="2" t="inlineStr">
        <is>
          <t>Alcaldía del Ayuntamiento de Moguer</t>
        </is>
      </c>
      <c r="I1894"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1894" s="2" t="inlineStr">
        <is>
          <t>4_2.4.1.1/2025 ZONAS VERDES MAZAGON</t>
        </is>
      </c>
      <c r="K1894" s="2" t="inlineStr">
        <is>
          <t>Abierto</t>
        </is>
      </c>
      <c r="L1894" s="6" t="n">
        <v>3</v>
      </c>
      <c r="M1894" s="2" t="inlineStr">
        <is>
          <t>K6-1</t>
        </is>
      </c>
      <c r="N1894" s="7" t="n">
        <v>0</v>
      </c>
      <c r="O1894" s="4" t="n"/>
      <c r="P1894" s="2" t="inlineStr">
        <is>
          <t>45112711; 45316100; 34928400</t>
        </is>
      </c>
      <c r="Q1894" s="8" t="inlineStr">
        <is>
          <t>Ver</t>
        </is>
      </c>
      <c r="R1894" s="8" t="inlineStr">
        <is>
          <t>PCAP</t>
        </is>
      </c>
      <c r="S1894" s="9" t="n">
        <v>46310</v>
      </c>
      <c r="T1894" s="3" t="n">
        <v>46303.52300925926</v>
      </c>
      <c r="U1894" s="2" t="n"/>
    </row>
    <row r="1895">
      <c r="A1895" s="2" t="inlineStr">
        <is>
          <t>Resuelta</t>
        </is>
      </c>
      <c r="B1895" s="3" t="n">
        <v>46188.99930555555</v>
      </c>
      <c r="C1895" s="5" t="n">
        <v>2057819.57</v>
      </c>
      <c r="D1895" s="5" t="n">
        <v>2263601.53</v>
      </c>
      <c r="E1895" s="2" t="inlineStr">
        <is>
          <t>Andalucía</t>
        </is>
      </c>
      <c r="F1895" s="2" t="inlineStr">
        <is>
          <t>Almería</t>
        </is>
      </c>
      <c r="G1895" s="2" t="n"/>
      <c r="H1895" s="2" t="inlineStr">
        <is>
          <t>Junta de Gobierno del Ayuntamiento de Roquetas de Mar</t>
        </is>
      </c>
      <c r="I1895" s="2" t="inlineStr">
        <is>
          <t>Construcción de nuevo puente de conexión de la Avda. Pedro Muñoz Seca con Calle Virginia sobre la Rambla de San Antonio en Aguadulce, t.m. de Roquetas de Mar (Almería).</t>
        </is>
      </c>
      <c r="J1895" s="2" t="inlineStr">
        <is>
          <t>04/26.-Obra</t>
        </is>
      </c>
      <c r="K1895" s="2" t="inlineStr">
        <is>
          <t>Abierto</t>
        </is>
      </c>
      <c r="L1895" s="6" t="n">
        <v>12</v>
      </c>
      <c r="M1895" s="2" t="inlineStr">
        <is>
          <t>B2-4</t>
        </is>
      </c>
      <c r="N1895" s="7" t="n">
        <v>0.45</v>
      </c>
      <c r="O1895" s="4" t="n"/>
      <c r="P1895" s="2" t="inlineStr">
        <is>
          <t>45220000; 44212120; 45221110; 45233200; 45223500</t>
        </is>
      </c>
      <c r="Q1895" s="8" t="inlineStr">
        <is>
          <t>Ver</t>
        </is>
      </c>
      <c r="R1895" s="8" t="inlineStr">
        <is>
          <t>PCAP</t>
        </is>
      </c>
      <c r="S1895" s="9" t="n">
        <v>46310</v>
      </c>
      <c r="T1895" s="3" t="n">
        <v>46303.52061342593</v>
      </c>
      <c r="U1895" s="2" t="n"/>
    </row>
    <row r="1896">
      <c r="A1896" s="2" t="inlineStr">
        <is>
          <t>Pendiente de adjudicación</t>
        </is>
      </c>
      <c r="B1896" s="3" t="n">
        <v>46223.99930555555</v>
      </c>
      <c r="C1896" s="5" t="n">
        <v>3239048.2</v>
      </c>
      <c r="D1896" s="5" t="n">
        <v>3239048.2</v>
      </c>
      <c r="E1896" s="2" t="inlineStr">
        <is>
          <t>Andalucía</t>
        </is>
      </c>
      <c r="F1896" s="2" t="inlineStr">
        <is>
          <t>Sevilla</t>
        </is>
      </c>
      <c r="G1896" s="2" t="n"/>
      <c r="H1896" s="2" t="inlineStr">
        <is>
          <t>Junta de Gobierno del Ayuntamiento de Lebrija</t>
        </is>
      </c>
      <c r="I1896" s="2" t="inlineStr">
        <is>
          <t>Ejecución de las obras de mejora y adecuación de pabellón deportivo "Caseta Municipal" y adecuación para actividades complementarias.</t>
        </is>
      </c>
      <c r="J1896" s="2" t="inlineStr">
        <is>
          <t>PEA/121/2026</t>
        </is>
      </c>
      <c r="K1896" s="2" t="inlineStr">
        <is>
          <t>Abierto</t>
        </is>
      </c>
      <c r="L1896" s="6" t="n">
        <v>9</v>
      </c>
      <c r="M1896" s="2" t="inlineStr">
        <is>
          <t>C4-5; C2-5; C6-5</t>
        </is>
      </c>
      <c r="N1896" s="7" t="n">
        <v>0.25</v>
      </c>
      <c r="O1896" s="4" t="n"/>
      <c r="P1896" s="2" t="inlineStr">
        <is>
          <t>45000000; 45212200</t>
        </is>
      </c>
      <c r="Q1896" s="8" t="inlineStr">
        <is>
          <t>Ver</t>
        </is>
      </c>
      <c r="R1896" s="8" t="inlineStr">
        <is>
          <t>PCAP</t>
        </is>
      </c>
      <c r="S1896" s="9" t="n">
        <v>46310</v>
      </c>
      <c r="T1896" s="3" t="n">
        <v>46303.52010416667</v>
      </c>
      <c r="U1896" s="2" t="n"/>
    </row>
    <row r="1897">
      <c r="A1897" s="2" t="inlineStr">
        <is>
          <t>Pendiente de adjudicación</t>
        </is>
      </c>
      <c r="B1897" s="3" t="n">
        <v>46296.99930555555</v>
      </c>
      <c r="C1897" s="5" t="n">
        <v>69638.27</v>
      </c>
      <c r="D1897" s="5" t="n">
        <v>76602.10000000001</v>
      </c>
      <c r="E1897" s="2" t="inlineStr">
        <is>
          <t>Comunitat Valenciana</t>
        </is>
      </c>
      <c r="F1897" s="2" t="inlineStr">
        <is>
          <t>Valencia</t>
        </is>
      </c>
      <c r="G1897" s="2" t="n"/>
      <c r="H1897" s="2" t="inlineStr">
        <is>
          <t>Concejalía Delegada de Contratación del Ajuntament de València</t>
        </is>
      </c>
      <c r="I1897" s="2" t="inlineStr">
        <is>
          <t>Obras de adecuación puestos 62 a 66 del Mercado Jerusalén.-</t>
        </is>
      </c>
      <c r="J1897" s="2" t="inlineStr">
        <is>
          <t>04101/2026/197-O</t>
        </is>
      </c>
      <c r="K1897" s="2" t="inlineStr">
        <is>
          <t>Abierto simplificado</t>
        </is>
      </c>
      <c r="L1897" s="6" t="n">
        <v>2</v>
      </c>
      <c r="M1897" s="2" t="n"/>
      <c r="N1897" s="7" t="n">
        <v>0</v>
      </c>
      <c r="O1897" s="4" t="n"/>
      <c r="P1897" s="2" t="inlineStr">
        <is>
          <t>45213141</t>
        </is>
      </c>
      <c r="Q1897" s="8" t="inlineStr">
        <is>
          <t>Ver</t>
        </is>
      </c>
      <c r="R1897" s="8" t="inlineStr">
        <is>
          <t>PCAP</t>
        </is>
      </c>
      <c r="S1897" s="9" t="n">
        <v>46310</v>
      </c>
      <c r="T1897" s="3" t="n">
        <v>46303.51913194444</v>
      </c>
      <c r="U1897" s="2" t="n"/>
    </row>
    <row r="1898">
      <c r="A1898" s="2" t="inlineStr">
        <is>
          <t>Pendiente de adjudicación</t>
        </is>
      </c>
      <c r="B1898" s="3" t="n">
        <v>46220.54166666666</v>
      </c>
      <c r="C1898" s="5" t="n">
        <v>488576.28</v>
      </c>
      <c r="D1898" s="5" t="n">
        <v>488576.28</v>
      </c>
      <c r="E1898" s="2" t="inlineStr">
        <is>
          <t>Andalucía</t>
        </is>
      </c>
      <c r="F1898" s="2" t="inlineStr">
        <is>
          <t>Sevilla</t>
        </is>
      </c>
      <c r="G1898" s="2" t="n"/>
      <c r="H1898" s="2" t="inlineStr">
        <is>
          <t>ADIF - Presidencia</t>
        </is>
      </c>
      <c r="I1898" s="2" t="inlineStr">
        <is>
          <t>Ejecución de las obras del proyecto constructivo de pendolado equipotencial entre las estaciones de Lora del Río y Majarabique.</t>
        </is>
      </c>
      <c r="J1898" s="2" t="inlineStr">
        <is>
          <t>3.26/27507.0094</t>
        </is>
      </c>
      <c r="K1898" s="2" t="inlineStr">
        <is>
          <t>Abierto</t>
        </is>
      </c>
      <c r="L1898" s="6" t="n">
        <v>9</v>
      </c>
      <c r="M1898" s="2" t="inlineStr">
        <is>
          <t>D4-3</t>
        </is>
      </c>
      <c r="N1898" s="7" t="n">
        <v>0.49</v>
      </c>
      <c r="O1898" s="4" t="n"/>
      <c r="P1898" s="2" t="inlineStr">
        <is>
          <t>45234160</t>
        </is>
      </c>
      <c r="Q1898" s="8" t="inlineStr">
        <is>
          <t>Ver</t>
        </is>
      </c>
      <c r="R1898" s="8" t="inlineStr">
        <is>
          <t>PCAP</t>
        </is>
      </c>
      <c r="S1898" s="9" t="n">
        <v>46310</v>
      </c>
      <c r="T1898" s="3" t="n">
        <v>46303.5150462963</v>
      </c>
      <c r="U1898" s="2" t="n"/>
    </row>
    <row r="1899">
      <c r="A1899" s="2" t="inlineStr">
        <is>
          <t>Resuelta</t>
        </is>
      </c>
      <c r="B1899" s="3" t="n">
        <v>46017.99930555555</v>
      </c>
      <c r="C1899" s="5" t="n">
        <v>147607.22</v>
      </c>
      <c r="D1899" s="5" t="n">
        <v>147607.22</v>
      </c>
      <c r="E1899" s="2" t="inlineStr">
        <is>
          <t>Andalucía</t>
        </is>
      </c>
      <c r="F1899" s="2" t="inlineStr">
        <is>
          <t>Málaga</t>
        </is>
      </c>
      <c r="G1899" s="2" t="n"/>
      <c r="H1899" s="2" t="inlineStr">
        <is>
          <t>Presidencia de la Diputación Provincial de Málaga</t>
        </is>
      </c>
      <c r="I1899" s="2" t="inlineStr">
        <is>
          <t>Reforma de aseos en planta primera y segunda en Centro Virgen de la Esperanza</t>
        </is>
      </c>
      <c r="J1899" s="2" t="inlineStr">
        <is>
          <t>OP-PA.-2024/004</t>
        </is>
      </c>
      <c r="K1899" s="2" t="inlineStr">
        <is>
          <t>Abierto simplificado</t>
        </is>
      </c>
      <c r="L1899" s="6" t="n">
        <v>3</v>
      </c>
      <c r="M1899" s="2" t="n"/>
      <c r="N1899" s="7" t="n">
        <v>0</v>
      </c>
      <c r="O1899" s="4" t="n"/>
      <c r="P1899" s="2" t="inlineStr">
        <is>
          <t>45211310</t>
        </is>
      </c>
      <c r="Q1899" s="8" t="inlineStr">
        <is>
          <t>Ver</t>
        </is>
      </c>
      <c r="R1899" s="8" t="inlineStr">
        <is>
          <t>PCAP</t>
        </is>
      </c>
      <c r="S1899" s="9" t="n">
        <v>46310</v>
      </c>
      <c r="T1899" s="3" t="n">
        <v>46303.51401620371</v>
      </c>
      <c r="U1899" s="2" t="n"/>
    </row>
    <row r="1900">
      <c r="A1900" s="2" t="inlineStr">
        <is>
          <t>Resuelta</t>
        </is>
      </c>
      <c r="B1900" s="3" t="n">
        <v>46252.41666666666</v>
      </c>
      <c r="C1900" s="5" t="n">
        <v>28600</v>
      </c>
      <c r="D1900" s="5" t="n">
        <v>28600</v>
      </c>
      <c r="E1900" s="2" t="inlineStr">
        <is>
          <t>Andalucía</t>
        </is>
      </c>
      <c r="F1900" s="2" t="inlineStr">
        <is>
          <t>Huelva</t>
        </is>
      </c>
      <c r="G1900" s="2" t="n"/>
      <c r="H1900" s="2" t="inlineStr">
        <is>
          <t>Empresa de Transformación Agraria S.A.,S.M.E., M.P., (TRAGSA)</t>
        </is>
      </c>
      <c r="I190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900" s="2" t="inlineStr">
        <is>
          <t>TSA0080057-224</t>
        </is>
      </c>
      <c r="K1900" s="2" t="inlineStr">
        <is>
          <t>Abierto</t>
        </is>
      </c>
      <c r="L1900" s="6" t="n">
        <v>4</v>
      </c>
      <c r="M1900" s="2" t="n"/>
      <c r="N1900" s="7" t="n">
        <v>0</v>
      </c>
      <c r="O1900" s="4" t="n"/>
      <c r="P1900" s="2" t="inlineStr">
        <is>
          <t>45500000</t>
        </is>
      </c>
      <c r="Q1900" s="8" t="inlineStr">
        <is>
          <t>Ver</t>
        </is>
      </c>
      <c r="R1900" s="8" t="inlineStr">
        <is>
          <t>PCAP</t>
        </is>
      </c>
      <c r="S1900" s="9" t="n">
        <v>46310</v>
      </c>
      <c r="T1900" s="3" t="n">
        <v>46303.50233796296</v>
      </c>
      <c r="U1900" s="2" t="n"/>
    </row>
    <row r="1901">
      <c r="A1901" s="2" t="inlineStr">
        <is>
          <t>Resuelta</t>
        </is>
      </c>
      <c r="B1901" s="3" t="n">
        <v>46252.41666666666</v>
      </c>
      <c r="C1901" s="5" t="n">
        <v>28600</v>
      </c>
      <c r="D1901" s="5" t="n">
        <v>28600</v>
      </c>
      <c r="E1901" s="2" t="inlineStr">
        <is>
          <t>Andalucía</t>
        </is>
      </c>
      <c r="F1901" s="2" t="inlineStr">
        <is>
          <t>Huelva</t>
        </is>
      </c>
      <c r="G1901" s="2" t="n"/>
      <c r="H1901" s="2" t="inlineStr">
        <is>
          <t>Empresa de Transformación Agraria S.A.,S.M.E., M.P., (TRAGSA)</t>
        </is>
      </c>
      <c r="I190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901" s="2" t="inlineStr">
        <is>
          <t>TSA0080057-223</t>
        </is>
      </c>
      <c r="K1901" s="2" t="inlineStr">
        <is>
          <t>Abierto</t>
        </is>
      </c>
      <c r="L1901" s="6" t="n">
        <v>4</v>
      </c>
      <c r="M1901" s="2" t="n"/>
      <c r="N1901" s="7" t="n">
        <v>0</v>
      </c>
      <c r="O1901" s="4" t="n"/>
      <c r="P1901" s="2" t="inlineStr">
        <is>
          <t>45500000</t>
        </is>
      </c>
      <c r="Q1901" s="8" t="inlineStr">
        <is>
          <t>Ver</t>
        </is>
      </c>
      <c r="R1901" s="8" t="inlineStr">
        <is>
          <t>PCAP</t>
        </is>
      </c>
      <c r="S1901" s="9" t="n">
        <v>46310</v>
      </c>
      <c r="T1901" s="3" t="n">
        <v>46303.50091435185</v>
      </c>
      <c r="U1901" s="2" t="n"/>
    </row>
    <row r="1902">
      <c r="A1902" s="2" t="inlineStr">
        <is>
          <t>Resuelta</t>
        </is>
      </c>
      <c r="B1902" s="3" t="n">
        <v>46150.99930555555</v>
      </c>
      <c r="C1902" s="5" t="n">
        <v>13372778.41</v>
      </c>
      <c r="D1902" s="5" t="n">
        <v>14710056.25</v>
      </c>
      <c r="E1902" s="2" t="inlineStr">
        <is>
          <t>Andalucía</t>
        </is>
      </c>
      <c r="F1902" s="2" t="inlineStr">
        <is>
          <t>Almería</t>
        </is>
      </c>
      <c r="G1902" s="2" t="n"/>
      <c r="H1902" s="2" t="inlineStr">
        <is>
          <t>Junta de Gobierno del Ayuntamiento de Roquetas de Mar</t>
        </is>
      </c>
      <c r="I1902" s="2" t="inlineStr">
        <is>
          <t>Obra para la construcción de nuevo depósito de agua potable con capacidad de 70.000 m3 en Aguadulce, t.m. de Roquetas de Mar (Almería), actuación cofinanciada por la Consejería de Agricultura, Pesca, Agua y Desarrollo Rural de la Junta de Andalucía.</t>
        </is>
      </c>
      <c r="J1902" s="2" t="inlineStr">
        <is>
          <t>02/26.-Obra</t>
        </is>
      </c>
      <c r="K1902" s="2" t="inlineStr">
        <is>
          <t>Abierto</t>
        </is>
      </c>
      <c r="L1902" s="6" t="n">
        <v>18</v>
      </c>
      <c r="M1902" s="2" t="inlineStr">
        <is>
          <t>E1-6</t>
        </is>
      </c>
      <c r="N1902" s="7" t="n">
        <v>0.45</v>
      </c>
      <c r="O1902" s="4" t="n"/>
      <c r="P1902" s="2" t="inlineStr">
        <is>
          <t>45222000; 44162500; 45213260; 45220000</t>
        </is>
      </c>
      <c r="Q1902" s="8" t="inlineStr">
        <is>
          <t>Ver</t>
        </is>
      </c>
      <c r="R1902" s="8" t="inlineStr">
        <is>
          <t>PCAP</t>
        </is>
      </c>
      <c r="S1902" s="9" t="n">
        <v>46310</v>
      </c>
      <c r="T1902" s="3" t="n">
        <v>46303.50012731482</v>
      </c>
      <c r="U1902" s="2" t="n"/>
    </row>
    <row r="1903">
      <c r="A1903" s="2" t="inlineStr">
        <is>
          <t>Resuelta</t>
        </is>
      </c>
      <c r="B1903" s="3" t="n">
        <v>46252.41666666666</v>
      </c>
      <c r="C1903" s="5" t="n">
        <v>40000</v>
      </c>
      <c r="D1903" s="5" t="n">
        <v>40000</v>
      </c>
      <c r="E1903" s="2" t="inlineStr">
        <is>
          <t>Andalucía</t>
        </is>
      </c>
      <c r="F1903" s="2" t="inlineStr">
        <is>
          <t>Huelva</t>
        </is>
      </c>
      <c r="G1903" s="2" t="n"/>
      <c r="H1903" s="2" t="inlineStr">
        <is>
          <t>Empresa de Transformación Agraria S.A.,S.M.E., M.P., (TRAGSA)</t>
        </is>
      </c>
      <c r="I190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903" s="2" t="inlineStr">
        <is>
          <t>TSA0080057-216</t>
        </is>
      </c>
      <c r="K1903" s="2" t="inlineStr">
        <is>
          <t>Abierto</t>
        </is>
      </c>
      <c r="L1903" s="6" t="n">
        <v>7</v>
      </c>
      <c r="M1903" s="2" t="n"/>
      <c r="N1903" s="7" t="n">
        <v>0</v>
      </c>
      <c r="O1903" s="4" t="n"/>
      <c r="P1903" s="2" t="inlineStr">
        <is>
          <t>45500000</t>
        </is>
      </c>
      <c r="Q1903" s="8" t="inlineStr">
        <is>
          <t>Ver</t>
        </is>
      </c>
      <c r="R1903" s="8" t="inlineStr">
        <is>
          <t>PCAP</t>
        </is>
      </c>
      <c r="S1903" s="9" t="n">
        <v>46310</v>
      </c>
      <c r="T1903" s="3" t="n">
        <v>46303.499375</v>
      </c>
      <c r="U1903" s="2" t="n"/>
    </row>
    <row r="1904">
      <c r="A1904" s="2" t="inlineStr">
        <is>
          <t>Adjudicada</t>
        </is>
      </c>
      <c r="B1904" s="3" t="n">
        <v>46246.99930555555</v>
      </c>
      <c r="C1904" s="5" t="n">
        <v>181000.83</v>
      </c>
      <c r="D1904" s="5" t="n">
        <v>181000.83</v>
      </c>
      <c r="E1904" s="2" t="inlineStr">
        <is>
          <t>Andalucía</t>
        </is>
      </c>
      <c r="F1904" s="2" t="inlineStr">
        <is>
          <t>Málaga</t>
        </is>
      </c>
      <c r="G1904" s="2" t="inlineStr">
        <is>
          <t>Benamargosa</t>
        </is>
      </c>
      <c r="H1904" s="2" t="inlineStr">
        <is>
          <t>Pleno del Ayuntamiento de Benamargosa</t>
        </is>
      </c>
      <c r="I1904" s="2" t="inlineStr">
        <is>
          <t>El objeto del contrato es la ejecución de las obras correspondientes al proyecto denominado "«Mejora de instalaciones deportivas ampliación del gimnasio municipal»</t>
        </is>
      </c>
      <c r="J1904" s="2" t="inlineStr">
        <is>
          <t>597/2026</t>
        </is>
      </c>
      <c r="K1904" s="2" t="inlineStr">
        <is>
          <t>Abierto simplificado</t>
        </is>
      </c>
      <c r="L1904" s="6" t="n">
        <v>5</v>
      </c>
      <c r="M1904" s="2" t="n"/>
      <c r="N1904" s="7" t="n">
        <v>0</v>
      </c>
      <c r="O1904" s="4" t="n"/>
      <c r="P1904" s="2" t="inlineStr">
        <is>
          <t>45212200</t>
        </is>
      </c>
      <c r="Q1904" s="8" t="inlineStr">
        <is>
          <t>Ver</t>
        </is>
      </c>
      <c r="R1904" s="8" t="inlineStr">
        <is>
          <t>PCAP</t>
        </is>
      </c>
      <c r="S1904" s="9" t="n">
        <v>46310</v>
      </c>
      <c r="T1904" s="3" t="n">
        <v>46303.49862268518</v>
      </c>
      <c r="U1904" s="2" t="n"/>
    </row>
    <row r="1905">
      <c r="A1905" s="2" t="inlineStr">
        <is>
          <t>Resuelta</t>
        </is>
      </c>
      <c r="B1905" s="3" t="n">
        <v>46245.41666666666</v>
      </c>
      <c r="C1905" s="5" t="n">
        <v>45500</v>
      </c>
      <c r="D1905" s="5" t="n">
        <v>45500</v>
      </c>
      <c r="E1905" s="2" t="inlineStr">
        <is>
          <t>Andalucía</t>
        </is>
      </c>
      <c r="F1905" s="2" t="inlineStr">
        <is>
          <t>Almería</t>
        </is>
      </c>
      <c r="G1905" s="2" t="n"/>
      <c r="H1905" s="2" t="inlineStr">
        <is>
          <t>Empresa de Transformación Agraria S.A.,S.M.E., M.P., (TRAGSA)</t>
        </is>
      </c>
      <c r="I190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905" s="2" t="inlineStr">
        <is>
          <t>TSA0078977-346</t>
        </is>
      </c>
      <c r="K1905" s="2" t="inlineStr">
        <is>
          <t>Abierto</t>
        </is>
      </c>
      <c r="L1905" s="6" t="n">
        <v>6</v>
      </c>
      <c r="M1905" s="2" t="n"/>
      <c r="N1905" s="7" t="n">
        <v>0</v>
      </c>
      <c r="O1905" s="4" t="n"/>
      <c r="P1905" s="2" t="inlineStr">
        <is>
          <t>45500000</t>
        </is>
      </c>
      <c r="Q1905" s="8" t="inlineStr">
        <is>
          <t>Ver</t>
        </is>
      </c>
      <c r="R1905" s="8" t="inlineStr">
        <is>
          <t>PCAP</t>
        </is>
      </c>
      <c r="S1905" s="9" t="n">
        <v>46310</v>
      </c>
      <c r="T1905" s="3" t="n">
        <v>46303.49803240741</v>
      </c>
      <c r="U1905" s="2" t="n"/>
    </row>
    <row r="1906">
      <c r="A1906" s="2" t="inlineStr">
        <is>
          <t>Pendiente de adjudicación</t>
        </is>
      </c>
      <c r="B1906" s="3" t="n">
        <v>45908.99930555555</v>
      </c>
      <c r="C1906" s="5" t="n">
        <v>279428.42</v>
      </c>
      <c r="D1906" s="5" t="n">
        <v>279428.42</v>
      </c>
      <c r="E1906" s="2" t="inlineStr">
        <is>
          <t>Comunitat Valenciana</t>
        </is>
      </c>
      <c r="F1906" s="2" t="inlineStr">
        <is>
          <t>Alicante</t>
        </is>
      </c>
      <c r="G1906" s="2" t="n"/>
      <c r="H1906" s="2" t="inlineStr">
        <is>
          <t>Presidencia de la Diputación Provincial de Alicante</t>
        </is>
      </c>
      <c r="I1906" s="2" t="inlineStr">
        <is>
          <t>“Obras de aumento de la capacidad de abastecimiento en Balones mediante la construcción de un nuevo depósito regulador y su conexión con la red actual, en el municipio de Balones. (2020.PLA.038)”</t>
        </is>
      </c>
      <c r="J1906" s="2" t="inlineStr">
        <is>
          <t>O6S-144/2025</t>
        </is>
      </c>
      <c r="K1906" s="2" t="inlineStr">
        <is>
          <t>Abierto simplificado</t>
        </is>
      </c>
      <c r="L1906" s="6" t="n">
        <v>8</v>
      </c>
      <c r="M1906" s="2" t="n"/>
      <c r="N1906" s="7" t="n">
        <v>0</v>
      </c>
      <c r="O1906" s="4" t="n"/>
      <c r="P1906" s="2" t="inlineStr">
        <is>
          <t>45200000</t>
        </is>
      </c>
      <c r="Q1906" s="8" t="inlineStr">
        <is>
          <t>Ver</t>
        </is>
      </c>
      <c r="R1906" s="8" t="inlineStr">
        <is>
          <t>PCAP</t>
        </is>
      </c>
      <c r="S1906" s="9" t="n">
        <v>46310</v>
      </c>
      <c r="T1906" s="3" t="n">
        <v>46303.49756944444</v>
      </c>
      <c r="U1906" s="2" t="n"/>
    </row>
    <row r="1907">
      <c r="A1907" s="2" t="inlineStr">
        <is>
          <t>Resuelta</t>
        </is>
      </c>
      <c r="B1907" s="3" t="n">
        <v>46245.41666666666</v>
      </c>
      <c r="C1907" s="5" t="n">
        <v>31500</v>
      </c>
      <c r="D1907" s="5" t="n">
        <v>31500</v>
      </c>
      <c r="E1907" s="2" t="inlineStr">
        <is>
          <t>Andalucía</t>
        </is>
      </c>
      <c r="F1907" s="2" t="inlineStr">
        <is>
          <t>Almería</t>
        </is>
      </c>
      <c r="G1907" s="2" t="n"/>
      <c r="H1907" s="2" t="inlineStr">
        <is>
          <t>Empresa de Transformación Agraria S.A.,S.M.E., M.P., (TRAGSA)</t>
        </is>
      </c>
      <c r="I190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907" s="2" t="inlineStr">
        <is>
          <t>TSA0078977-344</t>
        </is>
      </c>
      <c r="K1907" s="2" t="inlineStr">
        <is>
          <t>Abierto</t>
        </is>
      </c>
      <c r="L1907" s="6" t="n">
        <v>6</v>
      </c>
      <c r="M1907" s="2" t="n"/>
      <c r="N1907" s="7" t="n">
        <v>0</v>
      </c>
      <c r="O1907" s="4" t="n"/>
      <c r="P1907" s="2" t="inlineStr">
        <is>
          <t>45500000</t>
        </is>
      </c>
      <c r="Q1907" s="8" t="inlineStr">
        <is>
          <t>Ver</t>
        </is>
      </c>
      <c r="R1907" s="8" t="inlineStr">
        <is>
          <t>PCAP</t>
        </is>
      </c>
      <c r="S1907" s="9" t="n">
        <v>46310</v>
      </c>
      <c r="T1907" s="3" t="n">
        <v>46303.49667824074</v>
      </c>
      <c r="U1907" s="2" t="n"/>
    </row>
    <row r="1908">
      <c r="A1908" s="2" t="inlineStr">
        <is>
          <t>Adjudicada</t>
        </is>
      </c>
      <c r="B1908" s="3" t="n">
        <v>46220.99930555555</v>
      </c>
      <c r="C1908" s="5" t="n">
        <v>495201.59</v>
      </c>
      <c r="D1908" s="5" t="n">
        <v>495201.59</v>
      </c>
      <c r="E1908" s="2" t="inlineStr">
        <is>
          <t>Andalucía</t>
        </is>
      </c>
      <c r="F1908" s="2" t="inlineStr">
        <is>
          <t>Málaga</t>
        </is>
      </c>
      <c r="G1908" s="2" t="inlineStr">
        <is>
          <t>Málaga</t>
        </is>
      </c>
      <c r="H1908" s="2" t="inlineStr">
        <is>
          <t>Autoridad Portuaria de Málaga</t>
        </is>
      </c>
      <c r="I1908" s="2" t="inlineStr">
        <is>
          <t>Nuevo Centro de Control en Estación Marítima Muelle 3. Puerto de Málaga</t>
        </is>
      </c>
      <c r="J1908" s="2" t="inlineStr">
        <is>
          <t>26exma-009</t>
        </is>
      </c>
      <c r="K1908" s="2" t="inlineStr">
        <is>
          <t>Abierto simplificado</t>
        </is>
      </c>
      <c r="L1908" s="6" t="n">
        <v>5</v>
      </c>
      <c r="M1908" s="2" t="n"/>
      <c r="N1908" s="7" t="n">
        <v>0.19</v>
      </c>
      <c r="O1908" s="4" t="n"/>
      <c r="P1908" s="2" t="inlineStr">
        <is>
          <t>45233292; 45200000</t>
        </is>
      </c>
      <c r="Q1908" s="8" t="inlineStr">
        <is>
          <t>Ver</t>
        </is>
      </c>
      <c r="R1908" s="8" t="inlineStr">
        <is>
          <t>PCAP</t>
        </is>
      </c>
      <c r="S1908" s="9" t="n">
        <v>46310</v>
      </c>
      <c r="T1908" s="3" t="n">
        <v>46303.49599537037</v>
      </c>
      <c r="U1908" s="2" t="n"/>
    </row>
    <row r="1909">
      <c r="A1909" s="2" t="inlineStr">
        <is>
          <t>Resuelta</t>
        </is>
      </c>
      <c r="B1909" s="3" t="n">
        <v>46245.41666666666</v>
      </c>
      <c r="C1909" s="5" t="n">
        <v>31500</v>
      </c>
      <c r="D1909" s="5" t="n">
        <v>31500</v>
      </c>
      <c r="E1909" s="2" t="inlineStr">
        <is>
          <t>Andalucía</t>
        </is>
      </c>
      <c r="F1909" s="2" t="inlineStr">
        <is>
          <t>Almería</t>
        </is>
      </c>
      <c r="G1909" s="2" t="n"/>
      <c r="H1909" s="2" t="inlineStr">
        <is>
          <t>Empresa de Transformación Agraria S.A.,S.M.E., M.P., (TRAGSA)</t>
        </is>
      </c>
      <c r="I190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909" s="2" t="inlineStr">
        <is>
          <t>TSA0078977-343</t>
        </is>
      </c>
      <c r="K1909" s="2" t="inlineStr">
        <is>
          <t>Abierto</t>
        </is>
      </c>
      <c r="L1909" s="6" t="n">
        <v>6</v>
      </c>
      <c r="M1909" s="2" t="n"/>
      <c r="N1909" s="7" t="n">
        <v>0</v>
      </c>
      <c r="O1909" s="4" t="n"/>
      <c r="P1909" s="2" t="inlineStr">
        <is>
          <t>45500000</t>
        </is>
      </c>
      <c r="Q1909" s="8" t="inlineStr">
        <is>
          <t>Ver</t>
        </is>
      </c>
      <c r="R1909" s="8" t="inlineStr">
        <is>
          <t>PCAP</t>
        </is>
      </c>
      <c r="S1909" s="9" t="n">
        <v>46310</v>
      </c>
      <c r="T1909" s="3" t="n">
        <v>46303.49542824074</v>
      </c>
      <c r="U1909" s="2" t="n"/>
    </row>
    <row r="1910">
      <c r="A1910" s="2" t="inlineStr">
        <is>
          <t>Resuelta</t>
        </is>
      </c>
      <c r="B1910" s="3" t="n">
        <v>46245.41666666666</v>
      </c>
      <c r="C1910" s="5" t="n">
        <v>31500</v>
      </c>
      <c r="D1910" s="5" t="n">
        <v>31500</v>
      </c>
      <c r="E1910" s="2" t="inlineStr">
        <is>
          <t>Andalucía</t>
        </is>
      </c>
      <c r="F1910" s="2" t="inlineStr">
        <is>
          <t>Almería</t>
        </is>
      </c>
      <c r="G1910" s="2" t="n"/>
      <c r="H1910" s="2" t="inlineStr">
        <is>
          <t>Empresa de Transformación Agraria S.A.,S.M.E., M.P., (TRAGSA)</t>
        </is>
      </c>
      <c r="I191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910" s="2" t="inlineStr">
        <is>
          <t>TSA0078977-342</t>
        </is>
      </c>
      <c r="K1910" s="2" t="inlineStr">
        <is>
          <t>Abierto</t>
        </is>
      </c>
      <c r="L1910" s="6" t="n">
        <v>6</v>
      </c>
      <c r="M1910" s="2" t="n"/>
      <c r="N1910" s="7" t="n">
        <v>0</v>
      </c>
      <c r="O1910" s="4" t="n"/>
      <c r="P1910" s="2" t="inlineStr">
        <is>
          <t>45500000</t>
        </is>
      </c>
      <c r="Q1910" s="8" t="inlineStr">
        <is>
          <t>Ver</t>
        </is>
      </c>
      <c r="R1910" s="8" t="inlineStr">
        <is>
          <t>PCAP</t>
        </is>
      </c>
      <c r="S1910" s="9" t="n">
        <v>46310</v>
      </c>
      <c r="T1910" s="3" t="n">
        <v>46303.49363425926</v>
      </c>
      <c r="U1910" s="2" t="n"/>
    </row>
    <row r="1911">
      <c r="A1911" s="2" t="inlineStr">
        <is>
          <t>Resuelta</t>
        </is>
      </c>
      <c r="B1911" s="3" t="n">
        <v>46245.41666666666</v>
      </c>
      <c r="C1911" s="5" t="n">
        <v>49750</v>
      </c>
      <c r="D1911" s="5" t="n">
        <v>49750</v>
      </c>
      <c r="E1911" s="2" t="inlineStr">
        <is>
          <t>Andalucía</t>
        </is>
      </c>
      <c r="F1911" s="2" t="inlineStr">
        <is>
          <t>Almería</t>
        </is>
      </c>
      <c r="G1911" s="2" t="n"/>
      <c r="H1911" s="2" t="inlineStr">
        <is>
          <t>Empresa de Transformación Agraria S.A.,S.M.E., M.P., (TRAGSA)</t>
        </is>
      </c>
      <c r="I191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911" s="2" t="inlineStr">
        <is>
          <t>TSA0078977-331</t>
        </is>
      </c>
      <c r="K1911" s="2" t="inlineStr">
        <is>
          <t>Abierto</t>
        </is>
      </c>
      <c r="L1911" s="6" t="n">
        <v>6</v>
      </c>
      <c r="M1911" s="2" t="n"/>
      <c r="N1911" s="7" t="n">
        <v>0</v>
      </c>
      <c r="O1911" s="4" t="n"/>
      <c r="P1911" s="2" t="inlineStr">
        <is>
          <t>45500000</t>
        </is>
      </c>
      <c r="Q1911" s="8" t="inlineStr">
        <is>
          <t>Ver</t>
        </is>
      </c>
      <c r="R1911" s="8" t="inlineStr">
        <is>
          <t>PCAP</t>
        </is>
      </c>
      <c r="S1911" s="9" t="n">
        <v>46310</v>
      </c>
      <c r="T1911" s="3" t="n">
        <v>46303.49206018518</v>
      </c>
      <c r="U1911" s="2" t="n"/>
    </row>
    <row r="1912">
      <c r="A1912" s="2" t="inlineStr">
        <is>
          <t>Resuelta</t>
        </is>
      </c>
      <c r="B1912" s="3" t="n">
        <v>46259.41666666666</v>
      </c>
      <c r="C1912" s="5" t="n">
        <v>10750</v>
      </c>
      <c r="D1912" s="5" t="n">
        <v>10750</v>
      </c>
      <c r="E1912" s="2" t="inlineStr">
        <is>
          <t>Andalucía</t>
        </is>
      </c>
      <c r="F1912" s="2" t="inlineStr">
        <is>
          <t>Granada</t>
        </is>
      </c>
      <c r="G1912" s="2" t="n"/>
      <c r="H1912" s="2" t="inlineStr">
        <is>
          <t>Empresa de Transformación Agraria S.A.,S.M.E., M.P., (TRAGSA)</t>
        </is>
      </c>
      <c r="I191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912" s="2" t="inlineStr">
        <is>
          <t>TSA0077561-325</t>
        </is>
      </c>
      <c r="K1912" s="2" t="inlineStr">
        <is>
          <t>Abierto</t>
        </is>
      </c>
      <c r="L1912" s="6" t="n">
        <v>2</v>
      </c>
      <c r="M1912" s="2" t="n"/>
      <c r="N1912" s="7" t="n">
        <v>0</v>
      </c>
      <c r="O1912" s="4" t="n"/>
      <c r="P1912" s="2" t="inlineStr">
        <is>
          <t>45500000</t>
        </is>
      </c>
      <c r="Q1912" s="8" t="inlineStr">
        <is>
          <t>Ver</t>
        </is>
      </c>
      <c r="R1912" s="8" t="inlineStr">
        <is>
          <t>PCAP</t>
        </is>
      </c>
      <c r="S1912" s="9" t="n">
        <v>46310</v>
      </c>
      <c r="T1912" s="3" t="n">
        <v>46303.49047453704</v>
      </c>
      <c r="U1912" s="2" t="n"/>
    </row>
    <row r="1913">
      <c r="A1913" s="2" t="inlineStr">
        <is>
          <t>Resuelta</t>
        </is>
      </c>
      <c r="B1913" s="3" t="n">
        <v>45984.99930555555</v>
      </c>
      <c r="C1913" s="5" t="n">
        <v>1739825.21</v>
      </c>
      <c r="D1913" s="5" t="n">
        <v>1739825.21</v>
      </c>
      <c r="E1913" s="2" t="inlineStr">
        <is>
          <t>Andalucía</t>
        </is>
      </c>
      <c r="F1913" s="2" t="inlineStr">
        <is>
          <t>Sevilla</t>
        </is>
      </c>
      <c r="G1913" s="2" t="inlineStr">
        <is>
          <t>Sevilla</t>
        </is>
      </c>
      <c r="H1913" s="2" t="inlineStr">
        <is>
          <t>Comisión Ejecutiva del Patronato del Real Alcázar y Casa Consistorial de Sevilla</t>
        </is>
      </c>
      <c r="I1913" s="2" t="inlineStr">
        <is>
          <t>Obras de restauración del Cenador de Carlos V</t>
        </is>
      </c>
      <c r="J1913" s="2" t="inlineStr">
        <is>
          <t>2025/001113</t>
        </is>
      </c>
      <c r="K1913" s="2" t="inlineStr">
        <is>
          <t>Abierto simplificado</t>
        </is>
      </c>
      <c r="L1913" s="6" t="n">
        <v>12</v>
      </c>
      <c r="M1913" s="2" t="inlineStr">
        <is>
          <t>K7-4</t>
        </is>
      </c>
      <c r="N1913" s="7" t="n">
        <v>0</v>
      </c>
      <c r="O1913" s="4" t="n"/>
      <c r="P1913" s="2" t="inlineStr">
        <is>
          <t>45212350</t>
        </is>
      </c>
      <c r="Q1913" s="8" t="inlineStr">
        <is>
          <t>Ver</t>
        </is>
      </c>
      <c r="R1913" s="8" t="inlineStr">
        <is>
          <t>PCAP</t>
        </is>
      </c>
      <c r="S1913" s="9" t="n">
        <v>46310</v>
      </c>
      <c r="T1913" s="3" t="n">
        <v>46303.48706018519</v>
      </c>
      <c r="U1913" s="2" t="n"/>
    </row>
    <row r="1914">
      <c r="A1914" s="2" t="inlineStr">
        <is>
          <t>En plazo</t>
        </is>
      </c>
      <c r="B1914" s="3" t="n">
        <v>46329.99930555555</v>
      </c>
      <c r="C1914" s="5" t="n">
        <v>82644.63</v>
      </c>
      <c r="D1914" s="5" t="n">
        <v>82644.63</v>
      </c>
      <c r="E1914" s="2" t="inlineStr">
        <is>
          <t>Andalucía</t>
        </is>
      </c>
      <c r="F1914" s="2" t="inlineStr">
        <is>
          <t>Córdoba</t>
        </is>
      </c>
      <c r="G1914" s="2" t="n"/>
      <c r="H1914" s="2" t="inlineStr">
        <is>
          <t>Diputado delegado de Infraestructuras, Sostenibilidad y Agricultura</t>
        </is>
      </c>
      <c r="I1914" s="2" t="inlineStr">
        <is>
          <t>Contrato de obra de mejora de accesibilidad de instalaciones deportivas de la piscina municipal en Adamuz (Córdoba). Obra incluida en el Plan de Humanización de Entornos Urbanos y Agenda Rural 2024-2027</t>
        </is>
      </c>
      <c r="J1914" s="2" t="inlineStr">
        <is>
          <t>376/26 BIS</t>
        </is>
      </c>
      <c r="K1914" s="2" t="inlineStr">
        <is>
          <t>Abierto</t>
        </is>
      </c>
      <c r="L1914" s="6" t="n">
        <v>3</v>
      </c>
      <c r="M1914" s="2" t="n"/>
      <c r="N1914" s="7" t="n">
        <v>0</v>
      </c>
      <c r="O1914" s="4" t="n"/>
      <c r="P1914" s="2" t="inlineStr">
        <is>
          <t>45200000</t>
        </is>
      </c>
      <c r="Q1914" s="8" t="inlineStr">
        <is>
          <t>Ver</t>
        </is>
      </c>
      <c r="R1914" s="8" t="inlineStr">
        <is>
          <t>PCAP</t>
        </is>
      </c>
      <c r="S1914" s="9" t="n">
        <v>46310</v>
      </c>
      <c r="T1914" s="3" t="n">
        <v>46303.48563657407</v>
      </c>
      <c r="U1914" s="2" t="n"/>
    </row>
    <row r="1915">
      <c r="A1915" s="2" t="inlineStr">
        <is>
          <t>Resuelta</t>
        </is>
      </c>
      <c r="B1915" s="3" t="n">
        <v>46296.99930555555</v>
      </c>
      <c r="C1915" s="5" t="n">
        <v>55182.15</v>
      </c>
      <c r="D1915" s="5" t="n">
        <v>55182.15</v>
      </c>
      <c r="E1915" s="2" t="inlineStr">
        <is>
          <t>Comunitat Valenciana</t>
        </is>
      </c>
      <c r="F1915" s="2" t="inlineStr">
        <is>
          <t>Alicante</t>
        </is>
      </c>
      <c r="G1915" s="2" t="n"/>
      <c r="H1915" s="2" t="inlineStr">
        <is>
          <t>Junta de Gobierno del Ayuntamiento Dénia</t>
        </is>
      </c>
      <c r="I1915" s="2" t="inlineStr">
        <is>
          <t>Nueva licitación Reforma de aseos en el Centro de Formación de Personas Adultas, Avda. Ramón Ortega, 3 bajo</t>
        </is>
      </c>
      <c r="J1915" s="2" t="inlineStr">
        <is>
          <t>OBR/2026000053</t>
        </is>
      </c>
      <c r="K1915" s="2" t="inlineStr">
        <is>
          <t>Abierto simplificado</t>
        </is>
      </c>
      <c r="L1915" s="6" t="n">
        <v>2</v>
      </c>
      <c r="M1915" s="2" t="n"/>
      <c r="N1915" s="7" t="n">
        <v>0</v>
      </c>
      <c r="O1915" s="4" t="n"/>
      <c r="P1915" s="2" t="inlineStr">
        <is>
          <t>45211310</t>
        </is>
      </c>
      <c r="Q1915" s="8" t="inlineStr">
        <is>
          <t>Ver</t>
        </is>
      </c>
      <c r="R1915" s="8" t="inlineStr">
        <is>
          <t>PCAP</t>
        </is>
      </c>
      <c r="S1915" s="9" t="n">
        <v>46310</v>
      </c>
      <c r="T1915" s="3" t="n">
        <v>46303.48109953704</v>
      </c>
      <c r="U1915" s="2" t="n"/>
    </row>
    <row r="1916">
      <c r="A1916" s="2" t="inlineStr">
        <is>
          <t>Resuelta</t>
        </is>
      </c>
      <c r="B1916" s="3" t="n">
        <v>46260.99930555555</v>
      </c>
      <c r="C1916" s="5" t="n">
        <v>73712.92999999999</v>
      </c>
      <c r="D1916" s="5" t="n">
        <v>73712.92999999999</v>
      </c>
      <c r="E1916" s="2" t="inlineStr">
        <is>
          <t>Andalucía</t>
        </is>
      </c>
      <c r="F1916" s="2" t="inlineStr">
        <is>
          <t>Huelva</t>
        </is>
      </c>
      <c r="G1916" s="2" t="n"/>
      <c r="H1916" s="2" t="inlineStr">
        <is>
          <t>Junta de Gobierno del Ayuntamiento de Almonte</t>
        </is>
      </c>
      <c r="I1916" s="2" t="inlineStr">
        <is>
          <t>Contrato de Ejecución de obras de sustitución césped artificial pista fútbol 7 polideportivo Almonte</t>
        </is>
      </c>
      <c r="J1916" s="2" t="inlineStr">
        <is>
          <t>11252/2026</t>
        </is>
      </c>
      <c r="K1916" s="2" t="inlineStr">
        <is>
          <t>Abierto</t>
        </is>
      </c>
      <c r="L1916" s="6" t="n">
        <v>2</v>
      </c>
      <c r="M1916" s="2" t="n"/>
      <c r="N1916" s="7" t="n">
        <v>0.25</v>
      </c>
      <c r="O1916" s="4" t="n"/>
      <c r="P1916" s="2" t="inlineStr">
        <is>
          <t>45212200</t>
        </is>
      </c>
      <c r="Q1916" s="8" t="inlineStr">
        <is>
          <t>Ver</t>
        </is>
      </c>
      <c r="R1916" s="8" t="inlineStr">
        <is>
          <t>PCAP</t>
        </is>
      </c>
      <c r="S1916" s="9" t="n">
        <v>46310</v>
      </c>
      <c r="T1916" s="3" t="n">
        <v>46303.4794212963</v>
      </c>
      <c r="U1916" s="2" t="n"/>
    </row>
    <row r="1917">
      <c r="A1917" s="2" t="inlineStr">
        <is>
          <t>Pendiente de adjudicación</t>
        </is>
      </c>
      <c r="B1917" s="3" t="n">
        <v>46296.99930555555</v>
      </c>
      <c r="C1917" s="5" t="n">
        <v>924088.09</v>
      </c>
      <c r="D1917" s="5" t="n">
        <v>924088.09</v>
      </c>
      <c r="E1917" s="2" t="inlineStr">
        <is>
          <t>Comunitat Valenciana</t>
        </is>
      </c>
      <c r="F1917" s="2" t="inlineStr">
        <is>
          <t>Valencia</t>
        </is>
      </c>
      <c r="G1917" s="2" t="n"/>
      <c r="H1917" s="2" t="inlineStr">
        <is>
          <t>Junta de Gobierno del Ajuntament de València</t>
        </is>
      </c>
      <c r="I1917" s="2" t="inlineStr">
        <is>
          <t>Obras para la construcción de 8 arquetas subterráneas para el soterramiento de contenedores (dividido en 2 lotes).-</t>
        </is>
      </c>
      <c r="J1917" s="2" t="inlineStr">
        <is>
          <t>04101/2026/99-O</t>
        </is>
      </c>
      <c r="K1917" s="2" t="inlineStr">
        <is>
          <t>Abierto simplificado</t>
        </is>
      </c>
      <c r="L1917" s="6" t="n">
        <v>6.5</v>
      </c>
      <c r="M1917" s="2" t="n"/>
      <c r="N1917" s="7" t="n">
        <v>0</v>
      </c>
      <c r="O1917" s="4" t="n">
        <v>2</v>
      </c>
      <c r="P1917" s="2" t="inlineStr">
        <is>
          <t>45350000; 45112500; 45112400; 45112000</t>
        </is>
      </c>
      <c r="Q1917" s="8" t="inlineStr">
        <is>
          <t>Ver</t>
        </is>
      </c>
      <c r="R1917" s="8" t="inlineStr">
        <is>
          <t>PCAP</t>
        </is>
      </c>
      <c r="S1917" s="9" t="n">
        <v>46310</v>
      </c>
      <c r="T1917" s="3" t="n">
        <v>46303.47802083333</v>
      </c>
      <c r="U1917" s="2" t="n"/>
    </row>
    <row r="1918">
      <c r="A1918" s="2" t="inlineStr">
        <is>
          <t>Resuelta</t>
        </is>
      </c>
      <c r="B1918" s="3" t="n">
        <v>46253.99930555555</v>
      </c>
      <c r="C1918" s="5" t="n">
        <v>52174.48</v>
      </c>
      <c r="D1918" s="5" t="n">
        <v>52174.48</v>
      </c>
      <c r="E1918" s="2" t="inlineStr">
        <is>
          <t>Andalucía</t>
        </is>
      </c>
      <c r="F1918" s="2" t="inlineStr">
        <is>
          <t>Sevilla</t>
        </is>
      </c>
      <c r="G1918" s="2" t="n"/>
      <c r="H1918" s="2" t="inlineStr">
        <is>
          <t>Alcaldía del Ayuntamiento de Castilleja de la Cuesta</t>
        </is>
      </c>
      <c r="I1918" s="2" t="inlineStr">
        <is>
          <t>Contrato mixto de obras, suministro y servicios para la instalación de sistemas de filtración, cloración, desinfección y control automático en fuentes ornamentales municipales</t>
        </is>
      </c>
      <c r="J1918" s="2" t="inlineStr">
        <is>
          <t>P4102900J-2026/000077-PAAS</t>
        </is>
      </c>
      <c r="K1918" s="2" t="inlineStr">
        <is>
          <t>Abierto simplificado</t>
        </is>
      </c>
      <c r="L1918" s="6" t="n">
        <v>3</v>
      </c>
      <c r="M1918" s="2" t="n"/>
      <c r="N1918" s="7" t="n">
        <v>0.25</v>
      </c>
      <c r="O1918" s="4" t="n"/>
      <c r="P1918" s="2" t="inlineStr">
        <is>
          <t>45232430</t>
        </is>
      </c>
      <c r="Q1918" s="8" t="inlineStr">
        <is>
          <t>Ver</t>
        </is>
      </c>
      <c r="R1918" s="8" t="inlineStr">
        <is>
          <t>PCAP</t>
        </is>
      </c>
      <c r="S1918" s="9" t="n">
        <v>46310</v>
      </c>
      <c r="T1918" s="3" t="n">
        <v>46303.46555555556</v>
      </c>
      <c r="U1918" s="2" t="n"/>
    </row>
    <row r="1919">
      <c r="A1919" s="2" t="inlineStr">
        <is>
          <t>Adjudicada</t>
        </is>
      </c>
      <c r="B1919" s="3" t="n">
        <v>46275.99930555555</v>
      </c>
      <c r="C1919" s="5" t="n">
        <v>1825743.79</v>
      </c>
      <c r="D1919" s="5" t="n">
        <v>1825743.79</v>
      </c>
      <c r="E1919" s="2" t="inlineStr">
        <is>
          <t>Comunitat Valenciana</t>
        </is>
      </c>
      <c r="F1919" s="2" t="inlineStr">
        <is>
          <t>Valencia</t>
        </is>
      </c>
      <c r="G1919" s="2" t="n"/>
      <c r="H1919" s="2" t="inlineStr">
        <is>
          <t>Alcaldía del Ayuntamiento de Cullera</t>
        </is>
      </c>
      <c r="I1919" s="2" t="inlineStr">
        <is>
          <t>Contrato de obras de rehabilitación del Pont de la Bega de Cullera</t>
        </is>
      </c>
      <c r="J1919" s="2" t="inlineStr">
        <is>
          <t>2989472W</t>
        </is>
      </c>
      <c r="K1919" s="2" t="inlineStr">
        <is>
          <t>Abierto simplificado</t>
        </is>
      </c>
      <c r="L1919" s="6" t="n">
        <v>12</v>
      </c>
      <c r="M1919" s="2" t="inlineStr">
        <is>
          <t>K6-2; G4-2; B4-2</t>
        </is>
      </c>
      <c r="N1919" s="7" t="n">
        <v>0</v>
      </c>
      <c r="O1919" s="4" t="n"/>
      <c r="P1919" s="2" t="inlineStr">
        <is>
          <t>45221100; 45311000; 45233222; 45000000; 45233140</t>
        </is>
      </c>
      <c r="Q1919" s="8" t="inlineStr">
        <is>
          <t>Ver</t>
        </is>
      </c>
      <c r="R1919" s="8" t="inlineStr">
        <is>
          <t>PCAP</t>
        </is>
      </c>
      <c r="S1919" s="9" t="n">
        <v>46310</v>
      </c>
      <c r="T1919" s="3" t="n">
        <v>46303.46284722222</v>
      </c>
      <c r="U1919" s="2" t="n"/>
    </row>
    <row r="1920">
      <c r="A1920" s="2" t="inlineStr">
        <is>
          <t>Pendiente de adjudicación</t>
        </is>
      </c>
      <c r="B1920" s="3" t="n">
        <v>46063.58333333334</v>
      </c>
      <c r="C1920" s="5" t="n">
        <v>8096026.51</v>
      </c>
      <c r="D1920" s="5" t="n">
        <v>8096026.51</v>
      </c>
      <c r="E1920" s="2" t="inlineStr">
        <is>
          <t>Comunitat Valenciana</t>
        </is>
      </c>
      <c r="F1920" s="2" t="inlineStr">
        <is>
          <t>Valencia</t>
        </is>
      </c>
      <c r="G1920" s="2" t="n"/>
      <c r="H1920" s="2" t="inlineStr">
        <is>
          <t>Dirección General del Agua</t>
        </is>
      </c>
      <c r="I1920" s="2" t="inlineStr">
        <is>
          <t>Contratación de obras para adaptación al riesgo de inundación del Bco. Barxeta. Fase II.</t>
        </is>
      </c>
      <c r="J1920" s="2" t="inlineStr">
        <is>
          <t>08.499-0077/2111</t>
        </is>
      </c>
      <c r="K1920" s="2" t="inlineStr">
        <is>
          <t>Abierto</t>
        </is>
      </c>
      <c r="L1920" s="6" t="n">
        <v>12</v>
      </c>
      <c r="M1920" s="2" t="inlineStr">
        <is>
          <t>E5-6</t>
        </is>
      </c>
      <c r="N1920" s="7" t="n">
        <v>0.48</v>
      </c>
      <c r="O1920" s="4" t="n"/>
      <c r="P1920" s="2" t="inlineStr">
        <is>
          <t>45246400</t>
        </is>
      </c>
      <c r="Q1920" s="8" t="inlineStr">
        <is>
          <t>Ver</t>
        </is>
      </c>
      <c r="R1920" s="8" t="inlineStr">
        <is>
          <t>PCAP</t>
        </is>
      </c>
      <c r="S1920" s="9" t="n">
        <v>46310</v>
      </c>
      <c r="T1920" s="3" t="n">
        <v>46303.46016203704</v>
      </c>
      <c r="U1920" s="2" t="n"/>
    </row>
    <row r="1921">
      <c r="A1921" s="2" t="inlineStr">
        <is>
          <t>Pendiente de adjudicación</t>
        </is>
      </c>
      <c r="B1921" s="3" t="n">
        <v>46056.58333333334</v>
      </c>
      <c r="C1921" s="5" t="n">
        <v>4133341.04</v>
      </c>
      <c r="D1921" s="5" t="n">
        <v>4133341.04</v>
      </c>
      <c r="E1921" s="2" t="inlineStr">
        <is>
          <t>Comunitat Valenciana</t>
        </is>
      </c>
      <c r="F1921" s="2" t="inlineStr">
        <is>
          <t>Valencia</t>
        </is>
      </c>
      <c r="G1921" s="2" t="n"/>
      <c r="H1921" s="2" t="inlineStr">
        <is>
          <t>Dirección General del Agua</t>
        </is>
      </c>
      <c r="I1921" s="2" t="inlineStr">
        <is>
          <t>Contratación de obras para adaptación al riesgo de inundación del Bco. Barxeta. Fase I.</t>
        </is>
      </c>
      <c r="J1921" s="2" t="inlineStr">
        <is>
          <t>08.499-0076/2111</t>
        </is>
      </c>
      <c r="K1921" s="2" t="inlineStr">
        <is>
          <t>Abierto</t>
        </is>
      </c>
      <c r="L1921" s="6" t="n">
        <v>12</v>
      </c>
      <c r="M1921" s="2" t="inlineStr">
        <is>
          <t>E5-5</t>
        </is>
      </c>
      <c r="N1921" s="7" t="n">
        <v>0.48</v>
      </c>
      <c r="O1921" s="4" t="n"/>
      <c r="P1921" s="2" t="inlineStr">
        <is>
          <t>45246400</t>
        </is>
      </c>
      <c r="Q1921" s="8" t="inlineStr">
        <is>
          <t>Ver</t>
        </is>
      </c>
      <c r="R1921" s="8" t="inlineStr">
        <is>
          <t>PCAP</t>
        </is>
      </c>
      <c r="S1921" s="9" t="n">
        <v>46310</v>
      </c>
      <c r="T1921" s="3" t="n">
        <v>46303.45916666667</v>
      </c>
      <c r="U1921" s="2" t="n"/>
    </row>
    <row r="1922">
      <c r="A1922" s="2" t="inlineStr">
        <is>
          <t>Resuelta</t>
        </is>
      </c>
      <c r="B1922" s="3" t="n">
        <v>46170.75</v>
      </c>
      <c r="C1922" s="5" t="n">
        <v>849346.39</v>
      </c>
      <c r="D1922" s="5" t="n">
        <v>1019215.67</v>
      </c>
      <c r="E1922" s="2" t="inlineStr">
        <is>
          <t>Andalucía</t>
        </is>
      </c>
      <c r="F1922" s="2" t="inlineStr">
        <is>
          <t>Málaga</t>
        </is>
      </c>
      <c r="G1922" s="2" t="n"/>
      <c r="H1922" s="2" t="inlineStr">
        <is>
          <t>Consejero Delegado de la Empresa Municipal de Aguas de Málaga S.A.</t>
        </is>
      </c>
      <c r="I1922" s="2" t="inlineStr">
        <is>
          <t>Obras de Renovación de las redes de abastecimiento y saneamiento de la barriada de las Flores. Málaga. (Expdte Ingeniería:135/2024). En el marco de la Estrategia de Desarrollo Integrado Local (PLAN EDIL) “Conecta_Málaga”.</t>
        </is>
      </c>
      <c r="J1922" s="2" t="inlineStr">
        <is>
          <t>25-522-15</t>
        </is>
      </c>
      <c r="K1922" s="2" t="inlineStr">
        <is>
          <t>Abierto</t>
        </is>
      </c>
      <c r="L1922" s="6" t="n">
        <v>6</v>
      </c>
      <c r="M1922" s="2" t="n"/>
      <c r="N1922" s="7" t="n">
        <v>0</v>
      </c>
      <c r="O1922" s="4" t="n"/>
      <c r="P1922" s="2" t="inlineStr">
        <is>
          <t>45000000</t>
        </is>
      </c>
      <c r="Q1922" s="8" t="inlineStr">
        <is>
          <t>Ver</t>
        </is>
      </c>
      <c r="R1922" s="8" t="inlineStr">
        <is>
          <t>PCAP</t>
        </is>
      </c>
      <c r="S1922" s="9" t="n">
        <v>46310</v>
      </c>
      <c r="T1922" s="3" t="n">
        <v>46303.45396990741</v>
      </c>
      <c r="U1922" s="2" t="n"/>
    </row>
    <row r="1923">
      <c r="A1923" s="2" t="inlineStr">
        <is>
          <t>Resuelta</t>
        </is>
      </c>
      <c r="B1923" s="3" t="n">
        <v>45714.99930555555</v>
      </c>
      <c r="C1923" s="5" t="n">
        <v>5193674.75</v>
      </c>
      <c r="D1923" s="5" t="n">
        <v>5193674.75</v>
      </c>
      <c r="E1923" s="2" t="inlineStr">
        <is>
          <t>Andalucía</t>
        </is>
      </c>
      <c r="F1923" s="2" t="inlineStr">
        <is>
          <t>Málaga</t>
        </is>
      </c>
      <c r="G1923" s="2" t="n"/>
      <c r="H1923" s="2" t="inlineStr">
        <is>
          <t>Gerente de la Gerencia Municipal de Urbanismo del Ayuntamiento de Málaga</t>
        </is>
      </c>
      <c r="I1923" s="2" t="inlineStr">
        <is>
          <t>Proyecto de obras de urbanización del Paseo Marítimo de Pedregalejo, desde Baños del Carmen hasta el Arroyo de Jaboneros</t>
        </is>
      </c>
      <c r="J1923" s="2" t="inlineStr">
        <is>
          <t>OB-051/24</t>
        </is>
      </c>
      <c r="K1923" s="2" t="inlineStr">
        <is>
          <t>Abierto</t>
        </is>
      </c>
      <c r="L1923" s="6" t="n">
        <v>10</v>
      </c>
      <c r="M1923" s="2" t="inlineStr">
        <is>
          <t>G6-5</t>
        </is>
      </c>
      <c r="N1923" s="7" t="n">
        <v>0.4</v>
      </c>
      <c r="O1923" s="4" t="n"/>
      <c r="P1923" s="2" t="inlineStr">
        <is>
          <t>45233251; 45233252; 45246500</t>
        </is>
      </c>
      <c r="Q1923" s="8" t="inlineStr">
        <is>
          <t>Ver</t>
        </is>
      </c>
      <c r="R1923" s="8" t="inlineStr">
        <is>
          <t>PCAP</t>
        </is>
      </c>
      <c r="S1923" s="9" t="n">
        <v>46310</v>
      </c>
      <c r="T1923" s="3" t="n">
        <v>46303.44456018518</v>
      </c>
      <c r="U1923" s="2" t="n"/>
    </row>
    <row r="1924">
      <c r="A1924" s="2" t="inlineStr">
        <is>
          <t>Pendiente de adjudicación</t>
        </is>
      </c>
      <c r="B1924" s="3" t="n">
        <v>46293.58333333334</v>
      </c>
      <c r="C1924" s="5" t="n">
        <v>471382.88</v>
      </c>
      <c r="D1924" s="5" t="n">
        <v>471382.88</v>
      </c>
      <c r="E1924" s="2" t="inlineStr">
        <is>
          <t>Andalucía</t>
        </is>
      </c>
      <c r="F1924" s="2" t="inlineStr">
        <is>
          <t>Málaga</t>
        </is>
      </c>
      <c r="G1924" s="2" t="n"/>
      <c r="H1924" s="2" t="inlineStr">
        <is>
          <t>Dirección General de Tráfico</t>
        </is>
      </c>
      <c r="I1924" s="2" t="inlineStr">
        <is>
          <t>Obra de instalación de equipamiento ITS en la A-7 tramo desde enlace A-7/A-45/MA-20 -Virreina- hasta enlace A-7/AP-46 (Málaga).</t>
        </is>
      </c>
      <c r="J1924" s="2" t="inlineStr">
        <is>
          <t>3DGT6A000232</t>
        </is>
      </c>
      <c r="K1924" s="2" t="inlineStr">
        <is>
          <t>Abierto simplificado</t>
        </is>
      </c>
      <c r="L1924" s="6" t="n">
        <v>9</v>
      </c>
      <c r="M1924" s="2" t="n"/>
      <c r="N1924" s="7" t="n">
        <v>0.25</v>
      </c>
      <c r="O1924" s="4" t="n"/>
      <c r="P1924" s="2" t="inlineStr">
        <is>
          <t>45222300</t>
        </is>
      </c>
      <c r="Q1924" s="8" t="inlineStr">
        <is>
          <t>Ver</t>
        </is>
      </c>
      <c r="R1924" s="8" t="inlineStr">
        <is>
          <t>PCAP</t>
        </is>
      </c>
      <c r="S1924" s="9" t="n">
        <v>46310</v>
      </c>
      <c r="T1924" s="3" t="n">
        <v>46303.44116898148</v>
      </c>
      <c r="U1924" s="2" t="n"/>
    </row>
    <row r="1925">
      <c r="A1925" s="2" t="inlineStr">
        <is>
          <t>Resuelta</t>
        </is>
      </c>
      <c r="B1925" s="3" t="n">
        <v>46287.41666666666</v>
      </c>
      <c r="C1925" s="5" t="n">
        <v>2650904.53</v>
      </c>
      <c r="D1925" s="5" t="n">
        <v>2650904.53</v>
      </c>
      <c r="E1925" s="2" t="inlineStr">
        <is>
          <t>Comunitat Valenciana</t>
        </is>
      </c>
      <c r="F1925" s="2" t="inlineStr">
        <is>
          <t>Valencia</t>
        </is>
      </c>
      <c r="G1925" s="2" t="inlineStr">
        <is>
          <t>Término municipal de Sedaví</t>
        </is>
      </c>
      <c r="H1925" s="2" t="inlineStr">
        <is>
          <t>Empresa de Transformación Agraria S.A.,S.M.E., M.P., (TRAGSA)</t>
        </is>
      </c>
      <c r="I1925"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1925" s="2" t="inlineStr">
        <is>
          <t>TSA0080551-034</t>
        </is>
      </c>
      <c r="K1925" s="2" t="inlineStr">
        <is>
          <t>Abierto</t>
        </is>
      </c>
      <c r="L1925" s="6" t="n">
        <v>10</v>
      </c>
      <c r="M1925" s="2" t="n"/>
      <c r="N1925" s="7" t="n">
        <v>0</v>
      </c>
      <c r="O1925" s="4" t="n"/>
      <c r="P1925" s="2" t="inlineStr">
        <is>
          <t>45212290</t>
        </is>
      </c>
      <c r="Q1925" s="8" t="inlineStr">
        <is>
          <t>Ver</t>
        </is>
      </c>
      <c r="R1925" s="8" t="inlineStr">
        <is>
          <t>PCAP</t>
        </is>
      </c>
      <c r="S1925" s="9" t="n">
        <v>46310</v>
      </c>
      <c r="T1925" s="3" t="n">
        <v>46303.44032407407</v>
      </c>
      <c r="U1925" s="2" t="n"/>
    </row>
    <row r="1926">
      <c r="A1926" s="2" t="inlineStr">
        <is>
          <t>Plazo vencido</t>
        </is>
      </c>
      <c r="B1926" s="3" t="n">
        <v>46323.99930555555</v>
      </c>
      <c r="C1926" s="5" t="n">
        <v>86115.46000000001</v>
      </c>
      <c r="D1926" s="5" t="n">
        <v>86115.46000000001</v>
      </c>
      <c r="E1926" s="2" t="inlineStr">
        <is>
          <t>Comunitat Valenciana</t>
        </is>
      </c>
      <c r="F1926" s="2" t="inlineStr">
        <is>
          <t>Alicante</t>
        </is>
      </c>
      <c r="G1926" s="2" t="n"/>
      <c r="H1926" s="2" t="inlineStr">
        <is>
          <t>Junta de Gobierno del Ayuntamiento Dénia</t>
        </is>
      </c>
      <c r="I1926" s="2" t="inlineStr">
        <is>
          <t>Obras de renovación de aceras en calles Mallorca, Ibiza y Mahón.</t>
        </is>
      </c>
      <c r="J1926" s="2" t="inlineStr">
        <is>
          <t>OBR/2026000062</t>
        </is>
      </c>
      <c r="K1926" s="2" t="inlineStr">
        <is>
          <t>Abierto simplificado</t>
        </is>
      </c>
      <c r="L1926" s="6" t="n">
        <v>2</v>
      </c>
      <c r="M1926" s="2" t="inlineStr">
        <is>
          <t>G6-1</t>
        </is>
      </c>
      <c r="N1926" s="7" t="n">
        <v>0</v>
      </c>
      <c r="O1926" s="4" t="n"/>
      <c r="P1926" s="2" t="inlineStr">
        <is>
          <t>45233251</t>
        </is>
      </c>
      <c r="Q1926" s="8" t="inlineStr">
        <is>
          <t>Ver</t>
        </is>
      </c>
      <c r="R1926" s="8" t="inlineStr">
        <is>
          <t>PCAP</t>
        </is>
      </c>
      <c r="S1926" s="9" t="n">
        <v>46310</v>
      </c>
      <c r="T1926" s="3" t="n">
        <v>46303.43943287037</v>
      </c>
      <c r="U1926" s="2" t="n"/>
    </row>
    <row r="1927">
      <c r="A1927" s="2" t="inlineStr">
        <is>
          <t>Pendiente de adjudicación</t>
        </is>
      </c>
      <c r="B1927" s="3" t="n">
        <v>46266.58333333334</v>
      </c>
      <c r="C1927" s="5" t="n">
        <v>3722671.41</v>
      </c>
      <c r="D1927" s="5" t="n">
        <v>4094938.55</v>
      </c>
      <c r="E1927" s="2" t="inlineStr">
        <is>
          <t>Comunitat Valenciana</t>
        </is>
      </c>
      <c r="F1927" s="2" t="inlineStr">
        <is>
          <t>Valencia</t>
        </is>
      </c>
      <c r="G1927" s="2" t="inlineStr">
        <is>
          <t>Buñol</t>
        </is>
      </c>
      <c r="H1927" s="2" t="inlineStr">
        <is>
          <t>Dirección General de Gestión Económica, Contratación e Infraestructuras de la Conselleria de Sanidad</t>
        </is>
      </c>
      <c r="I1927" s="2" t="inlineStr">
        <is>
          <t>Obras de reforma y ampliación del Centro Sanitario Integrado de Buñol</t>
        </is>
      </c>
      <c r="J1927" s="2" t="inlineStr">
        <is>
          <t>203/2026</t>
        </is>
      </c>
      <c r="K1927" s="2" t="inlineStr">
        <is>
          <t>Abierto</t>
        </is>
      </c>
      <c r="L1927" s="6" t="n">
        <v>20</v>
      </c>
      <c r="M1927" s="2" t="inlineStr">
        <is>
          <t>C*-5</t>
        </is>
      </c>
      <c r="N1927" s="7" t="n">
        <v>0.1</v>
      </c>
      <c r="O1927" s="4" t="n"/>
      <c r="P1927" s="2" t="inlineStr">
        <is>
          <t>45215100</t>
        </is>
      </c>
      <c r="Q1927" s="8" t="inlineStr">
        <is>
          <t>Ver</t>
        </is>
      </c>
      <c r="R1927" s="8" t="inlineStr">
        <is>
          <t>PCAP</t>
        </is>
      </c>
      <c r="S1927" s="9" t="n">
        <v>46310</v>
      </c>
      <c r="T1927" s="3" t="n">
        <v>46303.43540509259</v>
      </c>
      <c r="U1927" s="2" t="n"/>
    </row>
    <row r="1928">
      <c r="A1928" s="2" t="inlineStr">
        <is>
          <t>Pendiente de adjudicación</t>
        </is>
      </c>
      <c r="B1928" s="3" t="n">
        <v>46254.41666666666</v>
      </c>
      <c r="C1928" s="5" t="n">
        <v>538406.48</v>
      </c>
      <c r="D1928" s="5" t="n">
        <v>538406.48</v>
      </c>
      <c r="E1928" s="2" t="inlineStr">
        <is>
          <t>Comunitat Valenciana</t>
        </is>
      </c>
      <c r="F1928" s="2" t="inlineStr">
        <is>
          <t>Valencia</t>
        </is>
      </c>
      <c r="G1928" s="2" t="n"/>
      <c r="H1928" s="2" t="inlineStr">
        <is>
          <t>Pleno del Ayuntamiento de Vinalesa</t>
        </is>
      </c>
      <c r="I1928" s="2" t="inlineStr">
        <is>
          <t>Intervención de redistribución, mejora de vasos, instalaciones y playas de baño de las piscinas del polideportivo municipal de Vinalesa.</t>
        </is>
      </c>
      <c r="J1928" s="2" t="inlineStr">
        <is>
          <t>2888448J</t>
        </is>
      </c>
      <c r="K1928" s="2" t="inlineStr">
        <is>
          <t>Abierto simplificado</t>
        </is>
      </c>
      <c r="L1928" s="6" t="n">
        <v>3</v>
      </c>
      <c r="M1928" s="2" t="inlineStr">
        <is>
          <t>C2-3</t>
        </is>
      </c>
      <c r="N1928" s="7" t="n">
        <v>0</v>
      </c>
      <c r="O1928" s="4" t="n"/>
      <c r="P1928" s="2" t="inlineStr">
        <is>
          <t>45212212</t>
        </is>
      </c>
      <c r="Q1928" s="8" t="inlineStr">
        <is>
          <t>Ver</t>
        </is>
      </c>
      <c r="R1928" s="8" t="inlineStr">
        <is>
          <t>PCAP</t>
        </is>
      </c>
      <c r="S1928" s="9" t="n">
        <v>46310</v>
      </c>
      <c r="T1928" s="3" t="n">
        <v>46303.43373842593</v>
      </c>
      <c r="U1928" s="2" t="n"/>
    </row>
    <row r="1929">
      <c r="A1929" s="2" t="inlineStr">
        <is>
          <t>Plazo vencido</t>
        </is>
      </c>
      <c r="B1929" s="3" t="n">
        <v>46318.5</v>
      </c>
      <c r="C1929" s="5" t="n">
        <v>67920.10000000001</v>
      </c>
      <c r="D1929" s="5" t="n">
        <v>78108.12</v>
      </c>
      <c r="E1929" s="2" t="inlineStr">
        <is>
          <t>Comunitat Valenciana</t>
        </is>
      </c>
      <c r="F1929" s="2" t="inlineStr">
        <is>
          <t>Valencia</t>
        </is>
      </c>
      <c r="G1929" s="2" t="inlineStr">
        <is>
          <t>Valencia</t>
        </is>
      </c>
      <c r="H1929" s="2" t="inlineStr">
        <is>
          <t>Rectorado de la Universitat de València</t>
        </is>
      </c>
      <c r="I1929" s="2" t="inlineStr">
        <is>
          <t>Adecuación aparcamiento del Aulario Oeste a la normativas en materia de protección contra incendios y accesibilidad universal</t>
        </is>
      </c>
      <c r="J1929" s="2" t="inlineStr">
        <is>
          <t>2026OB00012</t>
        </is>
      </c>
      <c r="K1929" s="2" t="inlineStr">
        <is>
          <t>Abierto simplificado</t>
        </is>
      </c>
      <c r="L1929" s="6" t="n">
        <v>1</v>
      </c>
      <c r="M1929" s="2" t="n"/>
      <c r="N1929" s="7" t="n">
        <v>0</v>
      </c>
      <c r="O1929" s="4" t="n"/>
      <c r="P1929" s="2" t="inlineStr">
        <is>
          <t>45312100</t>
        </is>
      </c>
      <c r="Q1929" s="8" t="inlineStr">
        <is>
          <t>Ver</t>
        </is>
      </c>
      <c r="R1929" s="8" t="inlineStr">
        <is>
          <t>PCAP</t>
        </is>
      </c>
      <c r="S1929" s="9" t="n">
        <v>46310</v>
      </c>
      <c r="T1929" s="3" t="n">
        <v>46303.42893518518</v>
      </c>
      <c r="U1929" s="2" t="n"/>
    </row>
    <row r="1930">
      <c r="A1930" s="2" t="inlineStr">
        <is>
          <t>Resuelta</t>
        </is>
      </c>
      <c r="B1930" s="3" t="n">
        <v>46245.41666666666</v>
      </c>
      <c r="C1930" s="5" t="n">
        <v>49750</v>
      </c>
      <c r="D1930" s="5" t="n">
        <v>49750</v>
      </c>
      <c r="E1930" s="2" t="inlineStr">
        <is>
          <t>Andalucía</t>
        </is>
      </c>
      <c r="F1930" s="2" t="inlineStr">
        <is>
          <t>Almería</t>
        </is>
      </c>
      <c r="G1930" s="2" t="n"/>
      <c r="H1930" s="2" t="inlineStr">
        <is>
          <t>Empresa de Transformación Agraria S.A.,S.M.E., M.P., (TRAGSA)</t>
        </is>
      </c>
      <c r="I193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930" s="2" t="inlineStr">
        <is>
          <t>TSA0078977-332</t>
        </is>
      </c>
      <c r="K1930" s="2" t="inlineStr">
        <is>
          <t>Abierto</t>
        </is>
      </c>
      <c r="L1930" s="6" t="n">
        <v>6</v>
      </c>
      <c r="M1930" s="2" t="n"/>
      <c r="N1930" s="7" t="n">
        <v>0</v>
      </c>
      <c r="O1930" s="4" t="n"/>
      <c r="P1930" s="2" t="inlineStr">
        <is>
          <t>45500000</t>
        </is>
      </c>
      <c r="Q1930" s="8" t="inlineStr">
        <is>
          <t>Ver</t>
        </is>
      </c>
      <c r="R1930" s="8" t="inlineStr">
        <is>
          <t>PCAP</t>
        </is>
      </c>
      <c r="S1930" s="9" t="n">
        <v>46310</v>
      </c>
      <c r="T1930" s="3" t="n">
        <v>46303.42657407407</v>
      </c>
      <c r="U1930" s="2" t="n"/>
    </row>
    <row r="1931">
      <c r="A1931" s="2" t="inlineStr">
        <is>
          <t>Plazo vencido</t>
        </is>
      </c>
      <c r="B1931" s="3" t="n">
        <v>46314.99930555555</v>
      </c>
      <c r="C1931" s="5" t="n">
        <v>364328.46</v>
      </c>
      <c r="D1931" s="5" t="n">
        <v>364328.46</v>
      </c>
      <c r="E1931" s="2" t="inlineStr">
        <is>
          <t>Comunitat Valenciana</t>
        </is>
      </c>
      <c r="F1931" s="2" t="inlineStr">
        <is>
          <t>Valencia</t>
        </is>
      </c>
      <c r="G1931" s="2" t="n"/>
      <c r="H1931" s="2" t="inlineStr">
        <is>
          <t>Pleno del Ayuntamiento de Jarafuel</t>
        </is>
      </c>
      <c r="I1931"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1931" s="2" t="inlineStr">
        <is>
          <t>331/2026</t>
        </is>
      </c>
      <c r="K1931" s="2" t="inlineStr">
        <is>
          <t>Abierto simplificado</t>
        </is>
      </c>
      <c r="L1931" s="6" t="n">
        <v>4</v>
      </c>
      <c r="M1931" s="2" t="n"/>
      <c r="N1931" s="7" t="n">
        <v>0.25</v>
      </c>
      <c r="O1931" s="4" t="n"/>
      <c r="P1931" s="2" t="inlineStr">
        <is>
          <t>45262700; 45210000; 45313100; 45453000; 45421160; 45310000; 45331220; 45330000</t>
        </is>
      </c>
      <c r="Q1931" s="8" t="inlineStr">
        <is>
          <t>Ver</t>
        </is>
      </c>
      <c r="R1931" s="8" t="inlineStr">
        <is>
          <t>PCAP</t>
        </is>
      </c>
      <c r="S1931" s="9" t="n">
        <v>46310</v>
      </c>
      <c r="T1931" s="3" t="n">
        <v>46303.42354166666</v>
      </c>
      <c r="U1931" s="2" t="n"/>
    </row>
    <row r="1932">
      <c r="A1932" s="2" t="inlineStr">
        <is>
          <t>Pendiente de adjudicación</t>
        </is>
      </c>
      <c r="B1932" s="3" t="n">
        <v>46295.75</v>
      </c>
      <c r="C1932" s="5" t="n">
        <v>1132060.85</v>
      </c>
      <c r="D1932" s="5" t="n">
        <v>1132060.85</v>
      </c>
      <c r="E1932" s="2" t="inlineStr">
        <is>
          <t>Comunitat Valenciana</t>
        </is>
      </c>
      <c r="F1932" s="2" t="inlineStr">
        <is>
          <t>Valencia</t>
        </is>
      </c>
      <c r="G1932" s="2" t="inlineStr">
        <is>
          <t>Algemesí</t>
        </is>
      </c>
      <c r="H1932" s="2" t="inlineStr">
        <is>
          <t>Alcaldía del Ayuntamiento de Algemesí</t>
        </is>
      </c>
      <c r="I1932" s="2" t="inlineStr">
        <is>
          <t>Obras de «Reconstrucción del Museu Valenciá de la Festa» y «Intervención patrimonial higrotérmica para la recuperación de las plantas altas del antiguo Convento de San Vicente»</t>
        </is>
      </c>
      <c r="J1932" s="2" t="inlineStr">
        <is>
          <t>10810/2026</t>
        </is>
      </c>
      <c r="K1932" s="2" t="inlineStr">
        <is>
          <t>Abierto simplificado</t>
        </is>
      </c>
      <c r="L1932" s="6" t="n">
        <v>8</v>
      </c>
      <c r="M1932" s="2" t="inlineStr">
        <is>
          <t>C4-4</t>
        </is>
      </c>
      <c r="N1932" s="7" t="n">
        <v>0</v>
      </c>
      <c r="O1932" s="4" t="n"/>
      <c r="P1932" s="2" t="inlineStr">
        <is>
          <t>45000000</t>
        </is>
      </c>
      <c r="Q1932" s="8" t="inlineStr">
        <is>
          <t>Ver</t>
        </is>
      </c>
      <c r="R1932" s="8" t="inlineStr">
        <is>
          <t>PCAP</t>
        </is>
      </c>
      <c r="S1932" s="9" t="n">
        <v>46310</v>
      </c>
      <c r="T1932" s="3" t="n">
        <v>46303.42149305555</v>
      </c>
      <c r="U1932" s="2" t="n"/>
    </row>
    <row r="1933">
      <c r="A1933" s="2" t="inlineStr">
        <is>
          <t>Resuelta</t>
        </is>
      </c>
      <c r="B1933" s="3" t="n">
        <v>46258.99930555555</v>
      </c>
      <c r="C1933" s="5" t="n">
        <v>272223.69</v>
      </c>
      <c r="D1933" s="5" t="n">
        <v>272223.69</v>
      </c>
      <c r="E1933" s="2" t="inlineStr">
        <is>
          <t>Andalucía</t>
        </is>
      </c>
      <c r="F1933" s="2" t="inlineStr">
        <is>
          <t>Cádiz</t>
        </is>
      </c>
      <c r="G1933" s="2" t="n"/>
      <c r="H1933" s="2" t="inlineStr">
        <is>
          <t>Consejería Delegada de Agua y Residuos del Campo de Gibraltar, S.A. (ARCGISA)</t>
        </is>
      </c>
      <c r="I1933"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1933" s="2" t="inlineStr">
        <is>
          <t>10-6-2026</t>
        </is>
      </c>
      <c r="K1933" s="2" t="inlineStr">
        <is>
          <t>Abierto simplificado</t>
        </is>
      </c>
      <c r="L1933" s="6" t="n">
        <v>3</v>
      </c>
      <c r="M1933" s="2" t="n"/>
      <c r="N1933" s="7" t="n">
        <v>0</v>
      </c>
      <c r="O1933" s="4" t="n"/>
      <c r="P1933" s="2" t="inlineStr">
        <is>
          <t>45231100</t>
        </is>
      </c>
      <c r="Q1933" s="8" t="inlineStr">
        <is>
          <t>Ver</t>
        </is>
      </c>
      <c r="R1933" s="8" t="inlineStr">
        <is>
          <t>PCAP</t>
        </is>
      </c>
      <c r="S1933" s="9" t="n">
        <v>46310</v>
      </c>
      <c r="T1933" s="3" t="n">
        <v>46303.42068287037</v>
      </c>
      <c r="U1933" s="2" t="n"/>
    </row>
    <row r="1934">
      <c r="A1934" s="2" t="inlineStr">
        <is>
          <t>Resuelta</t>
        </is>
      </c>
      <c r="B1934" s="3" t="n">
        <v>46140.99930555555</v>
      </c>
      <c r="C1934" s="5" t="n">
        <v>11169715</v>
      </c>
      <c r="D1934" s="5" t="n">
        <v>11169715</v>
      </c>
      <c r="E1934" s="2" t="inlineStr">
        <is>
          <t>Comunitat Valenciana</t>
        </is>
      </c>
      <c r="F1934" s="2" t="inlineStr">
        <is>
          <t>Valencia</t>
        </is>
      </c>
      <c r="G1934" s="2" t="n"/>
      <c r="H1934" s="2" t="inlineStr">
        <is>
          <t>Rectorado de la Universitat Politècnica de València</t>
        </is>
      </c>
      <c r="I1934" s="2" t="inlineStr">
        <is>
          <t>Redacción de proyecto y construcción de planta piloto de chips fotónicos.</t>
        </is>
      </c>
      <c r="J1934" s="2" t="inlineStr">
        <is>
          <t>MY26/ITEAM/O/16</t>
        </is>
      </c>
      <c r="K1934" s="2" t="inlineStr">
        <is>
          <t>Abierto</t>
        </is>
      </c>
      <c r="L1934" s="6" t="n">
        <v>18</v>
      </c>
      <c r="M1934" s="2" t="inlineStr">
        <is>
          <t>C2-6</t>
        </is>
      </c>
      <c r="N1934" s="7" t="n">
        <v>0.49</v>
      </c>
      <c r="O1934" s="4" t="n"/>
      <c r="P1934" s="2" t="inlineStr">
        <is>
          <t>45214620; 71300000; 45214631; 71240000</t>
        </is>
      </c>
      <c r="Q1934" s="8" t="inlineStr">
        <is>
          <t>Ver</t>
        </is>
      </c>
      <c r="R1934" s="2" t="n"/>
      <c r="S1934" s="9" t="n">
        <v>46310</v>
      </c>
      <c r="T1934" s="3" t="n">
        <v>46303.4187962963</v>
      </c>
      <c r="U1934" s="2" t="n"/>
    </row>
    <row r="1935">
      <c r="A1935" s="2" t="inlineStr">
        <is>
          <t>En plazo</t>
        </is>
      </c>
      <c r="B1935" s="3" t="n">
        <v>46328.5</v>
      </c>
      <c r="C1935" s="5" t="n">
        <v>80000</v>
      </c>
      <c r="D1935" s="5" t="n">
        <v>80000</v>
      </c>
      <c r="E1935" s="2" t="inlineStr">
        <is>
          <t>Andalucía</t>
        </is>
      </c>
      <c r="F1935" s="2" t="inlineStr">
        <is>
          <t>Cádiz</t>
        </is>
      </c>
      <c r="G1935" s="2" t="inlineStr">
        <is>
          <t>Cádiz</t>
        </is>
      </c>
      <c r="H1935" s="2" t="inlineStr">
        <is>
          <t>Aena. Dirección del Aeropuerto de Jerez</t>
        </is>
      </c>
      <c r="I1935" s="2" t="inlineStr">
        <is>
          <t>Nuevo Sistema De Cloración Del Suministro Del Agua Potable Del Edificio Sei</t>
        </is>
      </c>
      <c r="J1935" s="2" t="inlineStr">
        <is>
          <t>XRY-80/2026</t>
        </is>
      </c>
      <c r="K1935" s="2" t="inlineStr">
        <is>
          <t>Normas internas</t>
        </is>
      </c>
      <c r="L1935" s="6" t="n">
        <v>2</v>
      </c>
      <c r="M1935" s="2" t="n"/>
      <c r="N1935" s="7" t="n">
        <v>0</v>
      </c>
      <c r="O1935" s="4" t="n"/>
      <c r="P1935" s="2" t="inlineStr">
        <is>
          <t>45332000</t>
        </is>
      </c>
      <c r="Q1935" s="8" t="inlineStr">
        <is>
          <t>Ver</t>
        </is>
      </c>
      <c r="R1935" s="8" t="inlineStr">
        <is>
          <t>PCAP</t>
        </is>
      </c>
      <c r="S1935" s="9" t="n">
        <v>46310</v>
      </c>
      <c r="T1935" s="3" t="n">
        <v>46303.41553240741</v>
      </c>
      <c r="U1935" s="2" t="n"/>
    </row>
    <row r="1936">
      <c r="A1936" s="2" t="inlineStr">
        <is>
          <t>Resuelta</t>
        </is>
      </c>
      <c r="B1936" s="3" t="n">
        <v>46287.99930555555</v>
      </c>
      <c r="C1936" s="5" t="n">
        <v>166994.64</v>
      </c>
      <c r="D1936" s="5" t="n">
        <v>217093.03</v>
      </c>
      <c r="E1936" s="2" t="inlineStr">
        <is>
          <t>Comunitat Valenciana</t>
        </is>
      </c>
      <c r="F1936" s="2" t="inlineStr">
        <is>
          <t>Valencia</t>
        </is>
      </c>
      <c r="G1936" s="2" t="n"/>
      <c r="H1936" s="2" t="inlineStr">
        <is>
          <t>Consorcio Hospital General Universitario de Valencia</t>
        </is>
      </c>
      <c r="I1936" s="2" t="inlineStr">
        <is>
          <t>Contrato de obras, responsable con el medioambiente, para la reforma y mejora de la eficiencia energética del centro de atención de urgencias (CAU) 24 horas en el CS Torrent I.</t>
        </is>
      </c>
      <c r="J1936" s="2" t="inlineStr">
        <is>
          <t>CMAYOR/2026/HGUV0/1841</t>
        </is>
      </c>
      <c r="K1936" s="2" t="inlineStr">
        <is>
          <t>Abierto simplificado</t>
        </is>
      </c>
      <c r="L1936" s="6" t="n">
        <v>4</v>
      </c>
      <c r="M1936" s="2" t="n"/>
      <c r="N1936" s="7" t="n">
        <v>0.3</v>
      </c>
      <c r="O1936" s="4" t="n"/>
      <c r="P1936" s="2" t="inlineStr">
        <is>
          <t>45215100</t>
        </is>
      </c>
      <c r="Q1936" s="8" t="inlineStr">
        <is>
          <t>Ver</t>
        </is>
      </c>
      <c r="R1936" s="8" t="inlineStr">
        <is>
          <t>PCAP</t>
        </is>
      </c>
      <c r="S1936" s="9" t="n">
        <v>46310</v>
      </c>
      <c r="T1936" s="3" t="n">
        <v>46303.40636574074</v>
      </c>
      <c r="U1936" s="2" t="n"/>
    </row>
    <row r="1937">
      <c r="A1937" s="2" t="inlineStr">
        <is>
          <t>Pendiente de adjudicación</t>
        </is>
      </c>
      <c r="B1937" s="3" t="n">
        <v>46301.5</v>
      </c>
      <c r="C1937" s="5" t="n">
        <v>307986.02</v>
      </c>
      <c r="D1937" s="5" t="n">
        <v>320305.46</v>
      </c>
      <c r="E1937" s="2" t="inlineStr">
        <is>
          <t>Andalucía</t>
        </is>
      </c>
      <c r="F1937" s="2" t="inlineStr">
        <is>
          <t>Granada</t>
        </is>
      </c>
      <c r="G1937" s="2" t="inlineStr">
        <is>
          <t>Granada</t>
        </is>
      </c>
      <c r="H1937" s="2" t="inlineStr">
        <is>
          <t>Aena. Dirección del Aeropuerto de Granada-Jaén F.G.L.</t>
        </is>
      </c>
      <c r="I1937" s="2" t="inlineStr">
        <is>
          <t>Vallado Perimetral Terminal-Oficinas, Marquesina Inspección De Vehículos Y Ampliación Parking Empleados</t>
        </is>
      </c>
      <c r="J1937" s="2" t="inlineStr">
        <is>
          <t>GRX-90/2026</t>
        </is>
      </c>
      <c r="K1937" s="2" t="inlineStr">
        <is>
          <t>Normas internas</t>
        </is>
      </c>
      <c r="L1937" s="6" t="n">
        <v>4</v>
      </c>
      <c r="M1937" s="2" t="n"/>
      <c r="N1937" s="7" t="n">
        <v>0</v>
      </c>
      <c r="O1937" s="4" t="n"/>
      <c r="P1937" s="2" t="inlineStr">
        <is>
          <t>45000000</t>
        </is>
      </c>
      <c r="Q1937" s="8" t="inlineStr">
        <is>
          <t>Ver</t>
        </is>
      </c>
      <c r="R1937" s="8" t="inlineStr">
        <is>
          <t>PCAP</t>
        </is>
      </c>
      <c r="S1937" s="9" t="n">
        <v>46310</v>
      </c>
      <c r="T1937" s="3" t="n">
        <v>46303.40515046296</v>
      </c>
      <c r="U1937" s="2" t="n"/>
    </row>
    <row r="1938">
      <c r="A1938" s="2" t="inlineStr">
        <is>
          <t>Resuelta</t>
        </is>
      </c>
      <c r="B1938" s="3" t="n">
        <v>46185.5</v>
      </c>
      <c r="C1938" s="5" t="n">
        <v>139120.73</v>
      </c>
      <c r="D1938" s="5" t="n">
        <v>139120.73</v>
      </c>
      <c r="E1938" s="2" t="inlineStr">
        <is>
          <t>Comunitat Valenciana</t>
        </is>
      </c>
      <c r="F1938" s="2" t="inlineStr">
        <is>
          <t>Alicante</t>
        </is>
      </c>
      <c r="G1938" s="2" t="inlineStr">
        <is>
          <t>Alicante / Alacant</t>
        </is>
      </c>
      <c r="H1938" s="2" t="inlineStr">
        <is>
          <t>Aena. Dirección del Aeropuerto de Alicante-Elche</t>
        </is>
      </c>
      <c r="I1938" s="2" t="inlineStr">
        <is>
          <t>Mejora Del Cerramiento Exterior Del Edificio Cela</t>
        </is>
      </c>
      <c r="J1938" s="2" t="inlineStr">
        <is>
          <t>ALC-41/2026</t>
        </is>
      </c>
      <c r="K1938" s="2" t="inlineStr">
        <is>
          <t>Normas internas</t>
        </is>
      </c>
      <c r="L1938" s="6" t="n"/>
      <c r="M1938" s="2" t="n"/>
      <c r="N1938" s="7" t="n">
        <v>0</v>
      </c>
      <c r="O1938" s="4" t="n"/>
      <c r="P1938" s="2" t="inlineStr">
        <is>
          <t>45443000</t>
        </is>
      </c>
      <c r="Q1938" s="8" t="inlineStr">
        <is>
          <t>Ver</t>
        </is>
      </c>
      <c r="R1938" s="8" t="inlineStr">
        <is>
          <t>PCAP</t>
        </is>
      </c>
      <c r="S1938" s="9" t="n">
        <v>46310</v>
      </c>
      <c r="T1938" s="3" t="n">
        <v>46303.40078703704</v>
      </c>
      <c r="U1938" s="2" t="n"/>
    </row>
    <row r="1939">
      <c r="A1939" s="2" t="inlineStr">
        <is>
          <t>Resuelta</t>
        </is>
      </c>
      <c r="B1939" s="3" t="n">
        <v>44784.99930555555</v>
      </c>
      <c r="C1939" s="5" t="n">
        <v>52931.89</v>
      </c>
      <c r="D1939" s="5" t="n">
        <v>52931.89</v>
      </c>
      <c r="E1939" s="2" t="inlineStr">
        <is>
          <t>Comunitat Valenciana</t>
        </is>
      </c>
      <c r="F1939" s="2" t="inlineStr">
        <is>
          <t>Castellón</t>
        </is>
      </c>
      <c r="G1939" s="2" t="n"/>
      <c r="H1939" s="2" t="inlineStr">
        <is>
          <t>Alcaldía del Ayuntamiento de Peñíscola</t>
        </is>
      </c>
      <c r="I1939" s="2" t="inlineStr">
        <is>
          <t>Construcción de 36 nuevas unidades de enterramiento en el Cementerio Municipal</t>
        </is>
      </c>
      <c r="J1939" s="2" t="inlineStr">
        <is>
          <t>2022/00002567R</t>
        </is>
      </c>
      <c r="K1939" s="2" t="inlineStr">
        <is>
          <t>Abierto simplificado</t>
        </is>
      </c>
      <c r="L1939" s="6" t="n">
        <v>1.4</v>
      </c>
      <c r="M1939" s="2" t="n"/>
      <c r="N1939" s="7" t="n">
        <v>0</v>
      </c>
      <c r="O1939" s="4" t="n"/>
      <c r="P1939" s="2" t="inlineStr">
        <is>
          <t>45215400</t>
        </is>
      </c>
      <c r="Q1939" s="8" t="inlineStr">
        <is>
          <t>Ver</t>
        </is>
      </c>
      <c r="R1939" s="8" t="inlineStr">
        <is>
          <t>PCAP</t>
        </is>
      </c>
      <c r="S1939" s="9" t="n">
        <v>46310</v>
      </c>
      <c r="T1939" s="3" t="n">
        <v>46303.39650462963</v>
      </c>
      <c r="U1939" s="2" t="n"/>
    </row>
    <row r="1940">
      <c r="A1940" s="2" t="inlineStr">
        <is>
          <t>Resuelta</t>
        </is>
      </c>
      <c r="B1940" s="3" t="n">
        <v>46197.5625</v>
      </c>
      <c r="C1940" s="5" t="n">
        <v>152601.06</v>
      </c>
      <c r="D1940" s="5" t="n">
        <v>152601.06</v>
      </c>
      <c r="E1940" s="2" t="inlineStr">
        <is>
          <t>Andalucía</t>
        </is>
      </c>
      <c r="F1940" s="2" t="inlineStr">
        <is>
          <t>Cádiz</t>
        </is>
      </c>
      <c r="G1940" s="2" t="n"/>
      <c r="H1940" s="2" t="inlineStr">
        <is>
          <t>Junta de Gobierno del Ayuntamiento de Chiclana de la Frontera</t>
        </is>
      </c>
      <c r="I1940" s="2" t="inlineStr">
        <is>
          <t>Obras de dotación de alumbrado público en varias calles del Pago Coto de la Campa en Chiclana de la Frontera.</t>
        </is>
      </c>
      <c r="J1940" s="2" t="inlineStr">
        <is>
          <t>15/2026</t>
        </is>
      </c>
      <c r="K1940" s="2" t="inlineStr">
        <is>
          <t>Abierto simplificado</t>
        </is>
      </c>
      <c r="L1940" s="6" t="n">
        <v>2</v>
      </c>
      <c r="M1940" s="2" t="n"/>
      <c r="N1940" s="7" t="n">
        <v>0</v>
      </c>
      <c r="O1940" s="4" t="n"/>
      <c r="P1940" s="2" t="inlineStr">
        <is>
          <t>45316000</t>
        </is>
      </c>
      <c r="Q1940" s="8" t="inlineStr">
        <is>
          <t>Ver</t>
        </is>
      </c>
      <c r="R1940" s="8" t="inlineStr">
        <is>
          <t>PCAP</t>
        </is>
      </c>
      <c r="S1940" s="9" t="n">
        <v>46310</v>
      </c>
      <c r="T1940" s="3" t="n">
        <v>46303.39591435185</v>
      </c>
      <c r="U1940" s="2" t="n"/>
    </row>
    <row r="1941">
      <c r="A1941" s="2" t="inlineStr">
        <is>
          <t>Resuelta</t>
        </is>
      </c>
      <c r="B1941" s="3" t="n">
        <v>46050.45833333334</v>
      </c>
      <c r="C1941" s="5" t="n">
        <v>5243442.19</v>
      </c>
      <c r="D1941" s="5" t="n">
        <v>5243442.19</v>
      </c>
      <c r="E1941" s="2" t="inlineStr">
        <is>
          <t>Andalucía</t>
        </is>
      </c>
      <c r="F1941" s="2" t="inlineStr">
        <is>
          <t>Sevilla</t>
        </is>
      </c>
      <c r="G1941" s="2" t="n"/>
      <c r="H1941" s="2" t="inlineStr">
        <is>
          <t>Comisión Ejecutiva de la Gerencia de Urbanismo de Sevilla</t>
        </is>
      </c>
      <c r="I1941" s="2" t="inlineStr">
        <is>
          <t>Proyecto de reordenación del entorno del Teatro Lope de Vega, Casino de la Exposición, Pabellones de Chile, Perú, Uruguay y Estados Unidos, Biblioteca Infanta Elena y Costurero de La Reina.</t>
        </is>
      </c>
      <c r="J1941" s="2" t="inlineStr">
        <is>
          <t>114/2025</t>
        </is>
      </c>
      <c r="K1941" s="2" t="inlineStr">
        <is>
          <t>Abierto</t>
        </is>
      </c>
      <c r="L1941" s="6" t="n">
        <v>13</v>
      </c>
      <c r="M1941" s="2" t="inlineStr">
        <is>
          <t>E1-3; K7-3; K6-2; G6-5</t>
        </is>
      </c>
      <c r="N1941" s="7" t="n">
        <v>0.4</v>
      </c>
      <c r="O1941" s="4" t="n"/>
      <c r="P1941" s="2" t="inlineStr">
        <is>
          <t>45000000</t>
        </is>
      </c>
      <c r="Q1941" s="8" t="inlineStr">
        <is>
          <t>Ver</t>
        </is>
      </c>
      <c r="R1941" s="8" t="inlineStr">
        <is>
          <t>PCAP</t>
        </is>
      </c>
      <c r="S1941" s="9" t="n">
        <v>46310</v>
      </c>
      <c r="T1941" s="3" t="n">
        <v>46303.39465277778</v>
      </c>
      <c r="U1941" s="2" t="n"/>
    </row>
    <row r="1942">
      <c r="A1942" s="2" t="inlineStr">
        <is>
          <t>Pendiente de adjudicación</t>
        </is>
      </c>
      <c r="B1942" s="3" t="n">
        <v>46245.99930555555</v>
      </c>
      <c r="C1942" s="5" t="n">
        <v>961573.97</v>
      </c>
      <c r="D1942" s="5" t="n">
        <v>961573.97</v>
      </c>
      <c r="E1942" s="2" t="inlineStr">
        <is>
          <t>Andalucía</t>
        </is>
      </c>
      <c r="F1942" s="2" t="inlineStr">
        <is>
          <t>Jaén</t>
        </is>
      </c>
      <c r="G1942" s="2" t="inlineStr">
        <is>
          <t>JAEN</t>
        </is>
      </c>
      <c r="H1942" s="2" t="inlineStr">
        <is>
          <t>Presidencia de la Diputación Provincial de Jaén</t>
        </is>
      </c>
      <c r="I1942" s="2" t="inlineStr">
        <is>
          <t>Contrato de obra JA-5400 Lopera a Arjona, mejora de firme.</t>
        </is>
      </c>
      <c r="J1942" s="2" t="inlineStr">
        <is>
          <t>CO-2025/002668</t>
        </is>
      </c>
      <c r="K1942" s="2" t="inlineStr">
        <is>
          <t>Abierto</t>
        </is>
      </c>
      <c r="L1942" s="6" t="n">
        <v>6</v>
      </c>
      <c r="M1942" s="2" t="inlineStr">
        <is>
          <t>G4-4</t>
        </is>
      </c>
      <c r="N1942" s="7" t="n">
        <v>0.4</v>
      </c>
      <c r="O1942" s="4" t="n"/>
      <c r="P1942" s="2" t="inlineStr">
        <is>
          <t>45233223</t>
        </is>
      </c>
      <c r="Q1942" s="8" t="inlineStr">
        <is>
          <t>Ver</t>
        </is>
      </c>
      <c r="R1942" s="8" t="inlineStr">
        <is>
          <t>PCAP</t>
        </is>
      </c>
      <c r="S1942" s="9" t="n">
        <v>46310</v>
      </c>
      <c r="T1942" s="3" t="n">
        <v>46303.38511574074</v>
      </c>
      <c r="U1942" s="2" t="n"/>
    </row>
    <row r="1943">
      <c r="A1943" s="2" t="inlineStr">
        <is>
          <t>Plazo vencido</t>
        </is>
      </c>
      <c r="B1943" s="3" t="n">
        <v>46318.99930555555</v>
      </c>
      <c r="C1943" s="5" t="n">
        <v>57756.65</v>
      </c>
      <c r="D1943" s="5" t="n">
        <v>57756.65</v>
      </c>
      <c r="E1943" s="2" t="inlineStr">
        <is>
          <t>Andalucía</t>
        </is>
      </c>
      <c r="F1943" s="2" t="inlineStr">
        <is>
          <t>Córdoba</t>
        </is>
      </c>
      <c r="G1943" s="2" t="inlineStr">
        <is>
          <t>Almedinilla</t>
        </is>
      </c>
      <c r="H1943" s="2" t="inlineStr">
        <is>
          <t>Alcaldía del Ayuntamiento de Almedinilla</t>
        </is>
      </c>
      <c r="I1943" s="2" t="inlineStr">
        <is>
          <t>Obras de reposición del pavimento en parte de la Ronda de Andalucía de Almedinilla, incluyendo fresado, asfaltado, paso peatonal elevado y señalización horizontal.</t>
        </is>
      </c>
      <c r="J1943" s="2" t="inlineStr">
        <is>
          <t>COPASS01/2026</t>
        </is>
      </c>
      <c r="K1943" s="2" t="inlineStr">
        <is>
          <t>Abierto simplificado</t>
        </is>
      </c>
      <c r="L1943" s="6" t="n">
        <v>1</v>
      </c>
      <c r="M1943" s="2" t="n"/>
      <c r="N1943" s="7" t="n">
        <v>0</v>
      </c>
      <c r="O1943" s="4" t="n"/>
      <c r="P1943" s="2" t="inlineStr">
        <is>
          <t>45233223</t>
        </is>
      </c>
      <c r="Q1943" s="8" t="inlineStr">
        <is>
          <t>Ver</t>
        </is>
      </c>
      <c r="R1943" s="8" t="inlineStr">
        <is>
          <t>PCAP</t>
        </is>
      </c>
      <c r="S1943" s="9" t="n">
        <v>46310</v>
      </c>
      <c r="T1943" s="3" t="n">
        <v>46303.38407407407</v>
      </c>
      <c r="U1943" s="2" t="n"/>
    </row>
    <row r="1944">
      <c r="A1944" s="2" t="inlineStr">
        <is>
          <t>Adjudicada</t>
        </is>
      </c>
      <c r="B1944" s="3" t="n">
        <v>46244.99930555555</v>
      </c>
      <c r="C1944" s="5" t="n">
        <v>371900.83</v>
      </c>
      <c r="D1944" s="5" t="n">
        <v>371900.83</v>
      </c>
      <c r="E1944" s="2" t="inlineStr">
        <is>
          <t>Andalucía</t>
        </is>
      </c>
      <c r="F1944" s="2" t="inlineStr">
        <is>
          <t>Huelva</t>
        </is>
      </c>
      <c r="G1944" s="2" t="n"/>
      <c r="H1944" s="2" t="inlineStr">
        <is>
          <t>Junta de Gobierno del Ayuntamiento de Almonte</t>
        </is>
      </c>
      <c r="I1944"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1944" s="2" t="inlineStr">
        <is>
          <t>16905/2025</t>
        </is>
      </c>
      <c r="K1944" s="2" t="inlineStr">
        <is>
          <t>Abierto simplificado</t>
        </is>
      </c>
      <c r="L1944" s="6" t="n">
        <v>9</v>
      </c>
      <c r="M1944" s="2" t="n"/>
      <c r="N1944" s="7" t="n">
        <v>0.25</v>
      </c>
      <c r="O1944" s="4" t="n"/>
      <c r="P1944" s="2" t="inlineStr">
        <is>
          <t>45212100</t>
        </is>
      </c>
      <c r="Q1944" s="8" t="inlineStr">
        <is>
          <t>Ver</t>
        </is>
      </c>
      <c r="R1944" s="8" t="inlineStr">
        <is>
          <t>PCAP</t>
        </is>
      </c>
      <c r="S1944" s="9" t="n">
        <v>46310</v>
      </c>
      <c r="T1944" s="3" t="n">
        <v>46303.38328703704</v>
      </c>
      <c r="U1944" s="2" t="n"/>
    </row>
    <row r="1945">
      <c r="A1945" s="2" t="inlineStr">
        <is>
          <t>Resuelta</t>
        </is>
      </c>
      <c r="B1945" s="3" t="n">
        <v>46300.58333333334</v>
      </c>
      <c r="C1945" s="5" t="n">
        <v>206656.44</v>
      </c>
      <c r="D1945" s="5" t="n">
        <v>206656.44</v>
      </c>
      <c r="E1945" s="2" t="inlineStr">
        <is>
          <t>Andalucía</t>
        </is>
      </c>
      <c r="F1945" s="2" t="inlineStr">
        <is>
          <t>Jaén</t>
        </is>
      </c>
      <c r="G1945" s="2" t="n"/>
      <c r="H1945" s="2" t="inlineStr">
        <is>
          <t>Alcaldía del Ayuntamiento de Baños de la Encina</t>
        </is>
      </c>
      <c r="I1945"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1945" s="2" t="inlineStr">
        <is>
          <t>1290/2025</t>
        </is>
      </c>
      <c r="K1945" s="2" t="inlineStr">
        <is>
          <t>Abierto simplificado</t>
        </is>
      </c>
      <c r="L1945" s="6" t="n">
        <v>12</v>
      </c>
      <c r="M1945" s="2" t="n"/>
      <c r="N1945" s="7" t="n"/>
      <c r="O1945" s="4" t="n"/>
      <c r="P1945" s="2" t="inlineStr">
        <is>
          <t>45212300</t>
        </is>
      </c>
      <c r="Q1945" s="8" t="inlineStr">
        <is>
          <t>Ver</t>
        </is>
      </c>
      <c r="R1945" s="8" t="inlineStr">
        <is>
          <t>PCAP</t>
        </is>
      </c>
      <c r="S1945" s="9" t="n">
        <v>46310</v>
      </c>
      <c r="T1945" s="3" t="n">
        <v>46303.37831018519</v>
      </c>
      <c r="U1945" s="2" t="n"/>
    </row>
    <row r="1946">
      <c r="A1946" s="2" t="inlineStr">
        <is>
          <t>En plazo</t>
        </is>
      </c>
      <c r="B1946" s="3" t="n">
        <v>46329.99930555555</v>
      </c>
      <c r="C1946" s="5" t="n">
        <v>2370624.52</v>
      </c>
      <c r="D1946" s="5" t="n">
        <v>2844749.42</v>
      </c>
      <c r="E1946" s="2" t="inlineStr">
        <is>
          <t>Andalucía</t>
        </is>
      </c>
      <c r="F1946" s="2" t="inlineStr">
        <is>
          <t>Almería</t>
        </is>
      </c>
      <c r="G1946" s="2" t="n"/>
      <c r="H1946" s="2" t="inlineStr">
        <is>
          <t>Junta de Gobierno Local del Ayuntamiento de El Ejido</t>
        </is>
      </c>
      <c r="I1946"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1946" s="2" t="inlineStr">
        <is>
          <t>2026 1137</t>
        </is>
      </c>
      <c r="K1946" s="2" t="inlineStr">
        <is>
          <t>Abierto</t>
        </is>
      </c>
      <c r="L1946" s="6" t="n">
        <v>6</v>
      </c>
      <c r="M1946" s="2" t="n"/>
      <c r="N1946" s="7" t="n">
        <v>0.25</v>
      </c>
      <c r="O1946" s="4" t="n"/>
      <c r="P1946" s="2" t="inlineStr">
        <is>
          <t>45200000</t>
        </is>
      </c>
      <c r="Q1946" s="8" t="inlineStr">
        <is>
          <t>Ver</t>
        </is>
      </c>
      <c r="R1946" s="8" t="inlineStr">
        <is>
          <t>PCAP</t>
        </is>
      </c>
      <c r="S1946" s="9" t="n">
        <v>46310</v>
      </c>
      <c r="T1946" s="3" t="n">
        <v>46303.37342592593</v>
      </c>
      <c r="U1946" s="2" t="n"/>
    </row>
    <row r="1947">
      <c r="A1947" s="2" t="inlineStr">
        <is>
          <t>En plazo</t>
        </is>
      </c>
      <c r="B1947" s="3" t="n">
        <v>46329.99930555555</v>
      </c>
      <c r="C1947" s="5" t="n">
        <v>495867.77</v>
      </c>
      <c r="D1947" s="5" t="n">
        <v>495867.77</v>
      </c>
      <c r="E1947" s="2" t="inlineStr">
        <is>
          <t>Andalucía</t>
        </is>
      </c>
      <c r="F1947" s="2" t="inlineStr">
        <is>
          <t>Jaén</t>
        </is>
      </c>
      <c r="G1947" s="2" t="inlineStr">
        <is>
          <t>Complejo medioaambiental Guadiel (Linares)</t>
        </is>
      </c>
      <c r="H1947" s="2" t="inlineStr">
        <is>
          <t>Presidencia de la Diputación Provincial de Jaén</t>
        </is>
      </c>
      <c r="I1947" s="2" t="inlineStr">
        <is>
          <t>Adecuación y ampliación del núcleo zoológico de Guadiel (JAÉN).</t>
        </is>
      </c>
      <c r="J1947" s="2" t="inlineStr">
        <is>
          <t>CO-2026/001387</t>
        </is>
      </c>
      <c r="K1947" s="2" t="inlineStr">
        <is>
          <t>Abierto</t>
        </is>
      </c>
      <c r="L1947" s="6" t="n">
        <v>6</v>
      </c>
      <c r="M1947" s="2" t="n"/>
      <c r="N1947" s="7" t="n">
        <v>0.5</v>
      </c>
      <c r="O1947" s="4" t="n"/>
      <c r="P1947" s="2" t="inlineStr">
        <is>
          <t>45000000</t>
        </is>
      </c>
      <c r="Q1947" s="8" t="inlineStr">
        <is>
          <t>Ver</t>
        </is>
      </c>
      <c r="R1947" s="8" t="inlineStr">
        <is>
          <t>PCAP</t>
        </is>
      </c>
      <c r="S1947" s="9" t="n">
        <v>46310</v>
      </c>
      <c r="T1947" s="3" t="n">
        <v>46303.37121527778</v>
      </c>
      <c r="U1947" s="2" t="n"/>
    </row>
    <row r="1948">
      <c r="A1948" s="2" t="inlineStr">
        <is>
          <t>Resuelta</t>
        </is>
      </c>
      <c r="B1948" s="3" t="n">
        <v>46265.54166666666</v>
      </c>
      <c r="C1948" s="5" t="n">
        <v>49394.58</v>
      </c>
      <c r="D1948" s="5" t="n">
        <v>49394.58</v>
      </c>
      <c r="E1948" s="2" t="inlineStr">
        <is>
          <t>Andalucía</t>
        </is>
      </c>
      <c r="F1948" s="2" t="inlineStr">
        <is>
          <t>Granada</t>
        </is>
      </c>
      <c r="G1948" s="2" t="n"/>
      <c r="H1948" s="2" t="inlineStr">
        <is>
          <t>Alcaldía del Ayuntamiento de Piñar</t>
        </is>
      </c>
      <c r="I1948"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1948" s="2" t="inlineStr">
        <is>
          <t>2023/4/PIDE-36</t>
        </is>
      </c>
      <c r="K1948" s="2" t="inlineStr">
        <is>
          <t>Abierto simplificado</t>
        </is>
      </c>
      <c r="L1948" s="6" t="n">
        <v>2</v>
      </c>
      <c r="M1948" s="2" t="n"/>
      <c r="N1948" s="7" t="n">
        <v>0</v>
      </c>
      <c r="O1948" s="4" t="n"/>
      <c r="P1948" s="2" t="inlineStr">
        <is>
          <t>45212000; 45212200</t>
        </is>
      </c>
      <c r="Q1948" s="8" t="inlineStr">
        <is>
          <t>Ver</t>
        </is>
      </c>
      <c r="R1948" s="8" t="inlineStr">
        <is>
          <t>PCAP</t>
        </is>
      </c>
      <c r="S1948" s="9" t="n">
        <v>46310</v>
      </c>
      <c r="T1948" s="3" t="n">
        <v>46303.36927083333</v>
      </c>
      <c r="U1948" s="2" t="n"/>
    </row>
    <row r="1949">
      <c r="A1949" s="2" t="inlineStr">
        <is>
          <t>Resuelta</t>
        </is>
      </c>
      <c r="B1949" s="3" t="n">
        <v>46273.99930555555</v>
      </c>
      <c r="C1949" s="5" t="n">
        <v>94445.69</v>
      </c>
      <c r="D1949" s="5" t="n">
        <v>94445.69</v>
      </c>
      <c r="E1949" s="2" t="inlineStr">
        <is>
          <t>Andalucía</t>
        </is>
      </c>
      <c r="F1949" s="2" t="inlineStr">
        <is>
          <t>Málaga</t>
        </is>
      </c>
      <c r="G1949" s="2" t="n"/>
      <c r="H1949" s="2" t="inlineStr">
        <is>
          <t>Alcaldía del Ayuntamiento de Estepona</t>
        </is>
      </c>
      <c r="I1949" s="2" t="inlineStr">
        <is>
          <t>Obras de reforma de los aseos del ala oeste del C.E.I.P. "Santo Tomás de Aquino", de Estepona</t>
        </is>
      </c>
      <c r="J1949" s="2" t="inlineStr">
        <is>
          <t>27713/2026</t>
        </is>
      </c>
      <c r="K1949" s="2" t="inlineStr">
        <is>
          <t>Abierto</t>
        </is>
      </c>
      <c r="L1949" s="6" t="n">
        <v>2</v>
      </c>
      <c r="M1949" s="2" t="n"/>
      <c r="N1949" s="7" t="n">
        <v>0</v>
      </c>
      <c r="O1949" s="4" t="n"/>
      <c r="P1949" s="2" t="inlineStr">
        <is>
          <t>45211310</t>
        </is>
      </c>
      <c r="Q1949" s="8" t="inlineStr">
        <is>
          <t>Ver</t>
        </is>
      </c>
      <c r="R1949" s="8" t="inlineStr">
        <is>
          <t>PCAP</t>
        </is>
      </c>
      <c r="S1949" s="9" t="n">
        <v>46310</v>
      </c>
      <c r="T1949" s="3" t="n">
        <v>46303.36236111111</v>
      </c>
      <c r="U1949" s="2" t="n"/>
    </row>
    <row r="1950">
      <c r="A1950" s="2" t="inlineStr">
        <is>
          <t>Resuelta</t>
        </is>
      </c>
      <c r="B1950" s="3" t="n">
        <v>46293.99930555555</v>
      </c>
      <c r="C1950" s="5" t="n">
        <v>708067.21</v>
      </c>
      <c r="D1950" s="5" t="n">
        <v>708067.21</v>
      </c>
      <c r="E1950" s="2" t="inlineStr">
        <is>
          <t>Andalucía</t>
        </is>
      </c>
      <c r="F1950" s="2" t="inlineStr">
        <is>
          <t>Almería</t>
        </is>
      </c>
      <c r="G1950" s="2" t="inlineStr">
        <is>
          <t>Almería</t>
        </is>
      </c>
      <c r="H1950" s="2" t="inlineStr">
        <is>
          <t>Junta de Gobierno del Ayuntamiento de Almería</t>
        </is>
      </c>
      <c r="I1950" s="2" t="inlineStr">
        <is>
          <t>Contratación de obras de "Adaptación de las plantas primera y segunda del antiguo Colegio Virgen del Socorro"</t>
        </is>
      </c>
      <c r="J1950" s="2" t="inlineStr">
        <is>
          <t>AYAL-2026000164</t>
        </is>
      </c>
      <c r="K1950" s="2" t="inlineStr">
        <is>
          <t>Abierto</t>
        </is>
      </c>
      <c r="L1950" s="6" t="n">
        <v>9</v>
      </c>
      <c r="M1950" s="2" t="inlineStr">
        <is>
          <t>C4-3; J2-3</t>
        </is>
      </c>
      <c r="N1950" s="7" t="n">
        <v>0.4</v>
      </c>
      <c r="O1950" s="4" t="n"/>
      <c r="P1950" s="2" t="inlineStr">
        <is>
          <t>45210000</t>
        </is>
      </c>
      <c r="Q1950" s="8" t="inlineStr">
        <is>
          <t>Ver</t>
        </is>
      </c>
      <c r="R1950" s="8" t="inlineStr">
        <is>
          <t>PCAP</t>
        </is>
      </c>
      <c r="S1950" s="9" t="n">
        <v>46310</v>
      </c>
      <c r="T1950" s="3" t="n">
        <v>46303.35611111111</v>
      </c>
      <c r="U1950" s="2" t="n"/>
    </row>
    <row r="1951">
      <c r="A1951" s="2" t="inlineStr">
        <is>
          <t>Resuelta</t>
        </is>
      </c>
      <c r="B1951" s="3" t="n">
        <v>46265.99930555555</v>
      </c>
      <c r="C1951" s="5" t="n">
        <v>174413.54</v>
      </c>
      <c r="D1951" s="5" t="n">
        <v>174413.54</v>
      </c>
      <c r="E1951" s="2" t="inlineStr">
        <is>
          <t>Comunitat Valenciana</t>
        </is>
      </c>
      <c r="F1951" s="2" t="inlineStr">
        <is>
          <t>Valencia</t>
        </is>
      </c>
      <c r="G1951" s="2" t="n"/>
      <c r="H1951" s="2" t="inlineStr">
        <is>
          <t>Alcaldía del Ayuntamiento de Alginet</t>
        </is>
      </c>
      <c r="I1951" s="2" t="inlineStr">
        <is>
          <t>Obras para la reforma del retén de la Policía Local d'Alginet por daños causados por la DANA</t>
        </is>
      </c>
      <c r="J1951" s="2" t="inlineStr">
        <is>
          <t>2544902M</t>
        </is>
      </c>
      <c r="K1951" s="2" t="inlineStr">
        <is>
          <t>Abierto simplificado</t>
        </is>
      </c>
      <c r="L1951" s="6" t="n">
        <v>6</v>
      </c>
      <c r="M1951" s="2" t="n"/>
      <c r="N1951" s="7" t="n">
        <v>0</v>
      </c>
      <c r="O1951" s="4" t="n"/>
      <c r="P1951" s="2" t="inlineStr">
        <is>
          <t>45216111; 45261000; 45210000</t>
        </is>
      </c>
      <c r="Q1951" s="8" t="inlineStr">
        <is>
          <t>Ver</t>
        </is>
      </c>
      <c r="R1951" s="8" t="inlineStr">
        <is>
          <t>PCAP</t>
        </is>
      </c>
      <c r="S1951" s="9" t="n">
        <v>46310</v>
      </c>
      <c r="T1951" s="3" t="n">
        <v>46303.35599537037</v>
      </c>
      <c r="U1951" s="2" t="n"/>
    </row>
    <row r="1952">
      <c r="A1952" s="2" t="inlineStr">
        <is>
          <t>En plazo</t>
        </is>
      </c>
      <c r="B1952" s="3" t="n">
        <v>46329.79166666666</v>
      </c>
      <c r="C1952" s="5" t="n">
        <v>13104056.72</v>
      </c>
      <c r="D1952" s="5" t="n">
        <v>13104056.72</v>
      </c>
      <c r="E1952" s="2" t="inlineStr">
        <is>
          <t>Andalucía</t>
        </is>
      </c>
      <c r="F1952" s="2" t="inlineStr">
        <is>
          <t>Jaén</t>
        </is>
      </c>
      <c r="G1952" s="2" t="n"/>
      <c r="H1952" s="2" t="inlineStr">
        <is>
          <t>Pleno del Ayuntamiento de Jaén</t>
        </is>
      </c>
      <c r="I1952"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1952" s="2" t="inlineStr">
        <is>
          <t>2026000083</t>
        </is>
      </c>
      <c r="K1952" s="2" t="inlineStr">
        <is>
          <t>Abierto</t>
        </is>
      </c>
      <c r="L1952" s="6" t="n">
        <v>4</v>
      </c>
      <c r="M1952" s="2" t="n"/>
      <c r="N1952" s="7" t="n">
        <v>0.25</v>
      </c>
      <c r="O1952" s="4" t="n">
        <v>6</v>
      </c>
      <c r="P1952" s="2" t="inlineStr">
        <is>
          <t>45233252; 45111100; 45262300; 45262522</t>
        </is>
      </c>
      <c r="Q1952" s="8" t="inlineStr">
        <is>
          <t>Ver</t>
        </is>
      </c>
      <c r="R1952" s="8" t="inlineStr">
        <is>
          <t>PCAP</t>
        </is>
      </c>
      <c r="S1952" s="9" t="n">
        <v>46310</v>
      </c>
      <c r="T1952" s="3" t="n">
        <v>46303.34646990741</v>
      </c>
      <c r="U1952" s="2" t="n"/>
    </row>
    <row r="1953">
      <c r="A1953" s="2" t="inlineStr">
        <is>
          <t>Pendiente de adjudicación</t>
        </is>
      </c>
      <c r="B1953" s="3" t="n">
        <v>46294.99930555555</v>
      </c>
      <c r="C1953" s="5" t="n">
        <v>221455.49</v>
      </c>
      <c r="D1953" s="5" t="n">
        <v>221455.49</v>
      </c>
      <c r="E1953" s="2" t="inlineStr">
        <is>
          <t>Andalucía</t>
        </is>
      </c>
      <c r="F1953" s="2" t="inlineStr">
        <is>
          <t>Córdoba</t>
        </is>
      </c>
      <c r="G1953" s="2" t="n"/>
      <c r="H1953" s="2" t="inlineStr">
        <is>
          <t>Diputado delegado de Infraestructuras, Sostenibilidad y Agricultura</t>
        </is>
      </c>
      <c r="I1953" s="2" t="inlineStr">
        <is>
          <t>Contratación de la obra de adecuación y reforma de la pista deportiva y su entorno del colegio en La Granjuela. Obra incluida en el Plan Provincial de Obras y Servicios 2024-2027.</t>
        </is>
      </c>
      <c r="J1953" s="2" t="inlineStr">
        <is>
          <t>350/26 BIS</t>
        </is>
      </c>
      <c r="K1953" s="2" t="inlineStr">
        <is>
          <t>Negociado sin publicidad</t>
        </is>
      </c>
      <c r="L1953" s="6" t="n">
        <v>4</v>
      </c>
      <c r="M1953" s="2" t="n"/>
      <c r="N1953" s="7" t="n">
        <v>0.3</v>
      </c>
      <c r="O1953" s="4" t="n"/>
      <c r="P1953" s="2" t="inlineStr">
        <is>
          <t>45212200</t>
        </is>
      </c>
      <c r="Q1953" s="8" t="inlineStr">
        <is>
          <t>Ver</t>
        </is>
      </c>
      <c r="R1953" s="8" t="inlineStr">
        <is>
          <t>PCAP</t>
        </is>
      </c>
      <c r="S1953" s="9" t="n">
        <v>46310</v>
      </c>
      <c r="T1953" s="3" t="n">
        <v>46303.34524305556</v>
      </c>
      <c r="U1953" s="2" t="n"/>
    </row>
    <row r="1954">
      <c r="A1954" s="2" t="inlineStr">
        <is>
          <t>Resuelta</t>
        </is>
      </c>
      <c r="B1954" s="3" t="n">
        <v>46202.99930555555</v>
      </c>
      <c r="C1954" s="5" t="n">
        <v>79836.17999999999</v>
      </c>
      <c r="D1954" s="5" t="n">
        <v>79836.17999999999</v>
      </c>
      <c r="E1954" s="2" t="inlineStr">
        <is>
          <t>Andalucía</t>
        </is>
      </c>
      <c r="F1954" s="2" t="inlineStr">
        <is>
          <t>Granada</t>
        </is>
      </c>
      <c r="G1954" s="2" t="inlineStr">
        <is>
          <t>HUESCAR</t>
        </is>
      </c>
      <c r="H1954" s="2" t="inlineStr">
        <is>
          <t>Presidencia de la Diputación Provincial de Granada</t>
        </is>
      </c>
      <c r="I1954" s="2" t="inlineStr">
        <is>
          <t>Huéscar, trabajos de construcción especializados dentro de las obras Pfea 2025 para acondicionamiento de parcela para la creación de Arboretum de frutales y hortalizas en finca los morales</t>
        </is>
      </c>
      <c r="J1954" s="2" t="inlineStr">
        <is>
          <t>OB-038/26</t>
        </is>
      </c>
      <c r="K1954" s="2" t="inlineStr">
        <is>
          <t>Abierto simplificado</t>
        </is>
      </c>
      <c r="L1954" s="6" t="n">
        <v>4</v>
      </c>
      <c r="M1954" s="2" t="inlineStr">
        <is>
          <t>G6-1; C6-1</t>
        </is>
      </c>
      <c r="N1954" s="7" t="n">
        <v>0</v>
      </c>
      <c r="O1954" s="4" t="n"/>
      <c r="P1954" s="2" t="inlineStr">
        <is>
          <t>45262600; 45233200</t>
        </is>
      </c>
      <c r="Q1954" s="8" t="inlineStr">
        <is>
          <t>Ver</t>
        </is>
      </c>
      <c r="R1954" s="8" t="inlineStr">
        <is>
          <t>PCAP</t>
        </is>
      </c>
      <c r="S1954" s="9" t="n">
        <v>46310</v>
      </c>
      <c r="T1954" s="3" t="n">
        <v>46303.34251157408</v>
      </c>
      <c r="U1954" s="2" t="n"/>
    </row>
    <row r="1955">
      <c r="A1955" s="2" t="inlineStr">
        <is>
          <t>Resuelta</t>
        </is>
      </c>
      <c r="B1955" s="3" t="n">
        <v>46253.58333333334</v>
      </c>
      <c r="C1955" s="5" t="n">
        <v>59453.43</v>
      </c>
      <c r="D1955" s="5" t="n">
        <v>59453.43</v>
      </c>
      <c r="E1955" s="2" t="inlineStr">
        <is>
          <t>Comunitat Valenciana</t>
        </is>
      </c>
      <c r="F1955" s="2" t="inlineStr">
        <is>
          <t>Valencia</t>
        </is>
      </c>
      <c r="G1955" s="2" t="inlineStr">
        <is>
          <t>Requena</t>
        </is>
      </c>
      <c r="H1955" s="2" t="inlineStr">
        <is>
          <t>Alcaldía del Ayuntamiento de Requena</t>
        </is>
      </c>
      <c r="I1955" s="2" t="inlineStr">
        <is>
          <t>Reforma y adecuación de vestuarios de pista de atletismo</t>
        </is>
      </c>
      <c r="J1955" s="2" t="inlineStr">
        <is>
          <t>2799122W</t>
        </is>
      </c>
      <c r="K1955" s="2" t="inlineStr">
        <is>
          <t>Abierto simplificado</t>
        </is>
      </c>
      <c r="L1955" s="6" t="n">
        <v>2</v>
      </c>
      <c r="M1955" s="2" t="n"/>
      <c r="N1955" s="7" t="n">
        <v>0</v>
      </c>
      <c r="O1955" s="4" t="n"/>
      <c r="P1955" s="2" t="inlineStr">
        <is>
          <t>45212000</t>
        </is>
      </c>
      <c r="Q1955" s="8" t="inlineStr">
        <is>
          <t>Ver</t>
        </is>
      </c>
      <c r="R1955" s="8" t="inlineStr">
        <is>
          <t>PCAP</t>
        </is>
      </c>
      <c r="S1955" s="9" t="n">
        <v>46310</v>
      </c>
      <c r="T1955" s="3" t="n">
        <v>46303.33954861111</v>
      </c>
      <c r="U1955" s="2" t="n"/>
    </row>
    <row r="1956">
      <c r="A1956" s="2" t="inlineStr">
        <is>
          <t>Resuelta</t>
        </is>
      </c>
      <c r="B1956" s="3" t="n">
        <v>46169.41666666666</v>
      </c>
      <c r="C1956" s="5" t="n">
        <v>310092.39</v>
      </c>
      <c r="D1956" s="5" t="n">
        <v>310092.39</v>
      </c>
      <c r="E1956" s="2" t="inlineStr">
        <is>
          <t>Comunitat Valenciana</t>
        </is>
      </c>
      <c r="F1956" s="2" t="inlineStr">
        <is>
          <t>Valencia</t>
        </is>
      </c>
      <c r="G1956" s="2" t="n"/>
      <c r="H1956" s="2" t="inlineStr">
        <is>
          <t>ADIF - Presidencia</t>
        </is>
      </c>
      <c r="I1956" s="2" t="inlineStr">
        <is>
          <t>Obras de ejecución del proyecto técnico instalación de iluminación led en terminal logística Adif – Sagunto.</t>
        </is>
      </c>
      <c r="J1956" s="2" t="inlineStr">
        <is>
          <t>3.26/23108.0065</t>
        </is>
      </c>
      <c r="K1956" s="2" t="inlineStr">
        <is>
          <t>Abierto simplificado</t>
        </is>
      </c>
      <c r="L1956" s="6" t="n">
        <v>3</v>
      </c>
      <c r="M1956" s="2" t="n"/>
      <c r="N1956" s="7" t="n">
        <v>0.25</v>
      </c>
      <c r="O1956" s="4" t="n"/>
      <c r="P1956" s="2" t="inlineStr">
        <is>
          <t>45316100</t>
        </is>
      </c>
      <c r="Q1956" s="8" t="inlineStr">
        <is>
          <t>Ver</t>
        </is>
      </c>
      <c r="R1956" s="8" t="inlineStr">
        <is>
          <t>PCAP</t>
        </is>
      </c>
      <c r="S1956" s="9" t="n">
        <v>46310</v>
      </c>
      <c r="T1956" s="3" t="n">
        <v>46303.33711805556</v>
      </c>
      <c r="U1956" s="2" t="n"/>
    </row>
    <row r="1957">
      <c r="A1957" s="2" t="inlineStr">
        <is>
          <t>Pendiente de adjudicación</t>
        </is>
      </c>
      <c r="B1957" s="3" t="n">
        <v>46294.54166666666</v>
      </c>
      <c r="C1957" s="5" t="n">
        <v>2301597.49</v>
      </c>
      <c r="D1957" s="5" t="n">
        <v>2301597.49</v>
      </c>
      <c r="E1957" s="2" t="inlineStr">
        <is>
          <t>Andalucía</t>
        </is>
      </c>
      <c r="F1957" s="2" t="inlineStr">
        <is>
          <t>Sevilla</t>
        </is>
      </c>
      <c r="G1957" s="2" t="n"/>
      <c r="H1957" s="2" t="inlineStr">
        <is>
          <t>Autoridad Portuaria de Sevilla</t>
        </is>
      </c>
      <c r="I1957" s="2" t="inlineStr">
        <is>
          <t>Optimización de accesos ferroviarios a nuevas terminales Sur.</t>
        </is>
      </c>
      <c r="J1957" s="2" t="inlineStr">
        <is>
          <t>CONT26021</t>
        </is>
      </c>
      <c r="K1957" s="2" t="inlineStr">
        <is>
          <t>Abierto</t>
        </is>
      </c>
      <c r="L1957" s="6" t="n">
        <v>10</v>
      </c>
      <c r="M1957" s="2" t="inlineStr">
        <is>
          <t>D1-4</t>
        </is>
      </c>
      <c r="N1957" s="7" t="n">
        <v>0.51</v>
      </c>
      <c r="O1957" s="4" t="n"/>
      <c r="P1957" s="2" t="inlineStr">
        <is>
          <t>45234100</t>
        </is>
      </c>
      <c r="Q1957" s="8" t="inlineStr">
        <is>
          <t>Ver</t>
        </is>
      </c>
      <c r="R1957" s="8" t="inlineStr">
        <is>
          <t>PCAP</t>
        </is>
      </c>
      <c r="S1957" s="9" t="n">
        <v>46310</v>
      </c>
      <c r="T1957" s="3" t="n">
        <v>46303.33484953704</v>
      </c>
      <c r="U1957" s="2" t="n"/>
    </row>
    <row r="1958">
      <c r="A1958" s="2" t="inlineStr">
        <is>
          <t>Pendiente de adjudicación</t>
        </is>
      </c>
      <c r="B1958" s="3" t="n">
        <v>46295.99930555555</v>
      </c>
      <c r="C1958" s="5" t="n">
        <v>164136.48</v>
      </c>
      <c r="D1958" s="5" t="n">
        <v>164136.48</v>
      </c>
      <c r="E1958" s="2" t="inlineStr">
        <is>
          <t>Andalucía</t>
        </is>
      </c>
      <c r="F1958" s="2" t="inlineStr">
        <is>
          <t>Córdoba</t>
        </is>
      </c>
      <c r="G1958" s="2" t="n"/>
      <c r="H1958" s="2" t="inlineStr">
        <is>
          <t>Diputado delegado de Infraestructuras, Sostenibilidad y Agricultura</t>
        </is>
      </c>
      <c r="I1958" s="2" t="inlineStr">
        <is>
          <t>Contrato de obra de ejecución de pasarela peatonal anexa a la CO-3314, T.M. de Córdoba</t>
        </is>
      </c>
      <c r="J1958" s="2" t="inlineStr">
        <is>
          <t>421/26 BIS</t>
        </is>
      </c>
      <c r="K1958" s="2" t="inlineStr">
        <is>
          <t>Negociado sin publicidad</t>
        </is>
      </c>
      <c r="L1958" s="6" t="n">
        <v>4</v>
      </c>
      <c r="M1958" s="2" t="n"/>
      <c r="N1958" s="7" t="n">
        <v>0.4</v>
      </c>
      <c r="O1958" s="4" t="n"/>
      <c r="P1958" s="2" t="inlineStr">
        <is>
          <t>45233100; 45233140; 45233160</t>
        </is>
      </c>
      <c r="Q1958" s="8" t="inlineStr">
        <is>
          <t>Ver</t>
        </is>
      </c>
      <c r="R1958" s="8" t="inlineStr">
        <is>
          <t>PCAP</t>
        </is>
      </c>
      <c r="S1958" s="9" t="n">
        <v>46310</v>
      </c>
      <c r="T1958" s="3" t="n">
        <v>46303.33181712963</v>
      </c>
      <c r="U1958" s="2" t="n"/>
    </row>
    <row r="1959">
      <c r="A1959" s="2" t="inlineStr">
        <is>
          <t>Pendiente de adjudicación</t>
        </is>
      </c>
      <c r="B1959" s="3" t="n">
        <v>46300.99930555555</v>
      </c>
      <c r="C1959" s="5" t="n">
        <v>90464.34</v>
      </c>
      <c r="D1959" s="5" t="n">
        <v>90464.34</v>
      </c>
      <c r="E1959" s="2" t="inlineStr">
        <is>
          <t>Comunitat Valenciana</t>
        </is>
      </c>
      <c r="F1959" s="2" t="inlineStr">
        <is>
          <t>Castellón</t>
        </is>
      </c>
      <c r="G1959" s="2" t="inlineStr">
        <is>
          <t>Santa Magdalena de Pulpis</t>
        </is>
      </c>
      <c r="H1959" s="2" t="inlineStr">
        <is>
          <t>Pleno del Ayuntamiento de Santa Magdalena de Pulpis</t>
        </is>
      </c>
      <c r="I1959" s="2" t="inlineStr">
        <is>
          <t>Adecuación de Espacio urbano anejo a la Avda. Doctor Luis Torres Morera</t>
        </is>
      </c>
      <c r="J1959" s="2" t="inlineStr">
        <is>
          <t>109/2026</t>
        </is>
      </c>
      <c r="K1959" s="2" t="inlineStr">
        <is>
          <t>Abierto</t>
        </is>
      </c>
      <c r="L1959" s="6" t="n">
        <v>4</v>
      </c>
      <c r="M1959" s="2" t="n"/>
      <c r="N1959" s="7" t="n">
        <v>0.429</v>
      </c>
      <c r="O1959" s="4" t="n"/>
      <c r="P1959" s="2" t="inlineStr">
        <is>
          <t>45236000</t>
        </is>
      </c>
      <c r="Q1959" s="8" t="inlineStr">
        <is>
          <t>Ver</t>
        </is>
      </c>
      <c r="R1959" s="8" t="inlineStr">
        <is>
          <t>PCAP</t>
        </is>
      </c>
      <c r="S1959" s="9" t="n">
        <v>46310</v>
      </c>
      <c r="T1959" s="3" t="n">
        <v>46302.85123842592</v>
      </c>
      <c r="U1959" s="2" t="n"/>
    </row>
    <row r="1960">
      <c r="A1960" s="2" t="inlineStr">
        <is>
          <t>Resuelta</t>
        </is>
      </c>
      <c r="B1960" s="3" t="n">
        <v>46218.58333333334</v>
      </c>
      <c r="C1960" s="5" t="n">
        <v>49521.9</v>
      </c>
      <c r="D1960" s="5" t="n">
        <v>49521.9</v>
      </c>
      <c r="E1960" s="2" t="inlineStr">
        <is>
          <t>Comunitat Valenciana</t>
        </is>
      </c>
      <c r="F1960" s="2" t="inlineStr">
        <is>
          <t>Alicante</t>
        </is>
      </c>
      <c r="G1960" s="2" t="n"/>
      <c r="H1960" s="2" t="inlineStr">
        <is>
          <t>Alcaldía del Ayuntamiento de Jacarilla</t>
        </is>
      </c>
      <c r="I1960" s="2" t="inlineStr">
        <is>
          <t>Renovación de la red de agua potable y acometidas en Camino Los Murcia de Jacarilla.</t>
        </is>
      </c>
      <c r="J1960" s="2" t="inlineStr">
        <is>
          <t>117/2026 Renovación Red agua Camino Los Murcia</t>
        </is>
      </c>
      <c r="K1960" s="2" t="inlineStr">
        <is>
          <t>Abierto simplificado</t>
        </is>
      </c>
      <c r="L1960" s="6" t="n">
        <v>1</v>
      </c>
      <c r="M1960" s="2" t="inlineStr">
        <is>
          <t>E*-1</t>
        </is>
      </c>
      <c r="N1960" s="7" t="n">
        <v>0</v>
      </c>
      <c r="O1960" s="4" t="n"/>
      <c r="P1960" s="2" t="inlineStr">
        <is>
          <t>45200000; 45231300; 45232130</t>
        </is>
      </c>
      <c r="Q1960" s="8" t="inlineStr">
        <is>
          <t>Ver</t>
        </is>
      </c>
      <c r="R1960" s="8" t="inlineStr">
        <is>
          <t>PCAP</t>
        </is>
      </c>
      <c r="S1960" s="9" t="n">
        <v>46310</v>
      </c>
      <c r="T1960" s="3" t="n">
        <v>46302.83383101852</v>
      </c>
      <c r="U1960" s="2" t="n"/>
    </row>
    <row r="1961">
      <c r="A1961" s="2" t="inlineStr">
        <is>
          <t>Pendiente de adjudicación</t>
        </is>
      </c>
      <c r="B1961" s="3" t="n">
        <v>46314.58333333334</v>
      </c>
      <c r="C1961" s="5" t="n">
        <v>112822.27</v>
      </c>
      <c r="D1961" s="5" t="n">
        <v>112822.27</v>
      </c>
      <c r="E1961" s="2" t="inlineStr">
        <is>
          <t>Comunitat Valenciana</t>
        </is>
      </c>
      <c r="F1961" s="2" t="inlineStr">
        <is>
          <t>Alicante</t>
        </is>
      </c>
      <c r="G1961" s="2" t="n"/>
      <c r="H1961" s="2" t="inlineStr">
        <is>
          <t>Alcaldia del Ayuntamiento de Confrides</t>
        </is>
      </c>
      <c r="I1961"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1961" s="2" t="inlineStr">
        <is>
          <t>548/2026</t>
        </is>
      </c>
      <c r="K1961" s="2" t="inlineStr">
        <is>
          <t>Negociado sin publicidad</t>
        </is>
      </c>
      <c r="L1961" s="6" t="n">
        <v>3</v>
      </c>
      <c r="M1961" s="2" t="n"/>
      <c r="N1961" s="7" t="n">
        <v>0.4</v>
      </c>
      <c r="O1961" s="4" t="n"/>
      <c r="P1961" s="2" t="inlineStr">
        <is>
          <t>45000000</t>
        </is>
      </c>
      <c r="Q1961" s="8" t="inlineStr">
        <is>
          <t>Ver</t>
        </is>
      </c>
      <c r="R1961" s="8" t="inlineStr">
        <is>
          <t>PCAP</t>
        </is>
      </c>
      <c r="S1961" s="9" t="n">
        <v>46310</v>
      </c>
      <c r="T1961" s="3" t="n">
        <v>46302.64869212963</v>
      </c>
      <c r="U1961" s="2" t="n"/>
    </row>
    <row r="1962">
      <c r="A1962" s="2" t="inlineStr">
        <is>
          <t>En plazo</t>
        </is>
      </c>
      <c r="B1962" s="3" t="n">
        <v>46324.58333333334</v>
      </c>
      <c r="C1962" s="5" t="n">
        <v>131306.59</v>
      </c>
      <c r="D1962" s="5" t="n">
        <v>131306.59</v>
      </c>
      <c r="E1962" s="2" t="inlineStr">
        <is>
          <t>Comunitat Valenciana</t>
        </is>
      </c>
      <c r="F1962" s="2" t="inlineStr">
        <is>
          <t>Valencia</t>
        </is>
      </c>
      <c r="G1962" s="2" t="n"/>
      <c r="H1962" s="2" t="inlineStr">
        <is>
          <t>Dirección General de la Ciudad de las Artes y de las Ciencias S.A.</t>
        </is>
      </c>
      <c r="I1962" s="2" t="inlineStr">
        <is>
          <t>Contratación de la ejecución de las obras de reforma de los sistemas de presurización de las escaleras de evacuación de los edificios mediterráneo y templados/ tropicales Oceanogràfic Valencia</t>
        </is>
      </c>
      <c r="J1962" s="2" t="inlineStr">
        <is>
          <t>0080-26</t>
        </is>
      </c>
      <c r="K1962" s="2" t="inlineStr">
        <is>
          <t>Abierto simplificado</t>
        </is>
      </c>
      <c r="L1962" s="6" t="n">
        <v>4</v>
      </c>
      <c r="M1962" s="2" t="n"/>
      <c r="N1962" s="7" t="n">
        <v>0</v>
      </c>
      <c r="O1962" s="4" t="n"/>
      <c r="P1962" s="2" t="inlineStr">
        <is>
          <t>45343200; 42521000; 45261420</t>
        </is>
      </c>
      <c r="Q1962" s="8" t="inlineStr">
        <is>
          <t>Ver</t>
        </is>
      </c>
      <c r="R1962" s="8" t="inlineStr">
        <is>
          <t>PCAP</t>
        </is>
      </c>
      <c r="S1962" s="9" t="n">
        <v>46310</v>
      </c>
      <c r="T1962" s="3" t="n">
        <v>46302.6440162037</v>
      </c>
      <c r="U1962" s="2" t="n"/>
    </row>
    <row r="1963">
      <c r="A1963" s="2" t="inlineStr">
        <is>
          <t>Plazo vencido</t>
        </is>
      </c>
      <c r="B1963" s="3" t="n">
        <v>46317.79166666666</v>
      </c>
      <c r="C1963" s="5" t="n">
        <v>56698.36</v>
      </c>
      <c r="D1963" s="5" t="n">
        <v>56698.36</v>
      </c>
      <c r="E1963" s="2" t="inlineStr">
        <is>
          <t>Comunitat Valenciana</t>
        </is>
      </c>
      <c r="F1963" s="2" t="inlineStr">
        <is>
          <t>Valencia</t>
        </is>
      </c>
      <c r="G1963" s="2" t="inlineStr">
        <is>
          <t>Catadau</t>
        </is>
      </c>
      <c r="H1963" s="2" t="inlineStr">
        <is>
          <t>Alcaldia del Ayuntamiento de Catadau</t>
        </is>
      </c>
      <c r="I1963" s="2" t="inlineStr">
        <is>
          <t>Contrato de obras de adecuación de camí Pucero dentro de las ayudas a entidades locales de acondicionamiento de caminos rurales.</t>
        </is>
      </c>
      <c r="J1963" s="2" t="inlineStr">
        <is>
          <t>2997932W</t>
        </is>
      </c>
      <c r="K1963" s="2" t="inlineStr">
        <is>
          <t>Abierto simplificado</t>
        </is>
      </c>
      <c r="L1963" s="6" t="n">
        <v>1</v>
      </c>
      <c r="M1963" s="2" t="n"/>
      <c r="N1963" s="7" t="n">
        <v>0</v>
      </c>
      <c r="O1963" s="4" t="n"/>
      <c r="P1963" s="2" t="inlineStr">
        <is>
          <t>45233222; 45233160</t>
        </is>
      </c>
      <c r="Q1963" s="8" t="inlineStr">
        <is>
          <t>Ver</t>
        </is>
      </c>
      <c r="R1963" s="8" t="inlineStr">
        <is>
          <t>PCAP</t>
        </is>
      </c>
      <c r="S1963" s="9" t="n">
        <v>46310</v>
      </c>
      <c r="T1963" s="3" t="n">
        <v>46302.63158564815</v>
      </c>
      <c r="U1963" s="2" t="n"/>
    </row>
    <row r="1964">
      <c r="A1964" s="2" t="inlineStr">
        <is>
          <t>Pendiente de adjudicación</t>
        </is>
      </c>
      <c r="B1964" s="3" t="n">
        <v>46267.99930555555</v>
      </c>
      <c r="C1964" s="5" t="n">
        <v>103171.41</v>
      </c>
      <c r="D1964" s="5" t="n">
        <v>103171.41</v>
      </c>
      <c r="E1964" s="2" t="inlineStr">
        <is>
          <t>Andalucía</t>
        </is>
      </c>
      <c r="F1964" s="2" t="inlineStr">
        <is>
          <t>Málaga</t>
        </is>
      </c>
      <c r="G1964" s="2" t="n"/>
      <c r="H1964" s="2" t="inlineStr">
        <is>
          <t>Alcaldía del Ayuntamiento de Istán</t>
        </is>
      </c>
      <c r="I1964" s="2" t="inlineStr">
        <is>
          <t>El presente contrato tiene por objeto la ejecución de las obras correspondientes al Tramo II del proyecto de sustitución de la conducción que suministra agua a las urbanizaciones situadas al sur del término municipal de Istán.</t>
        </is>
      </c>
      <c r="J1964" s="2" t="inlineStr">
        <is>
          <t>H405/2026</t>
        </is>
      </c>
      <c r="K1964" s="2" t="inlineStr">
        <is>
          <t>Abierto simplificado</t>
        </is>
      </c>
      <c r="L1964" s="6" t="n">
        <v>3</v>
      </c>
      <c r="M1964" s="2" t="n"/>
      <c r="N1964" s="7" t="n">
        <v>0</v>
      </c>
      <c r="O1964" s="4" t="n"/>
      <c r="P1964" s="2" t="inlineStr">
        <is>
          <t>45232150</t>
        </is>
      </c>
      <c r="Q1964" s="8" t="inlineStr">
        <is>
          <t>Ver</t>
        </is>
      </c>
      <c r="R1964" s="8" t="inlineStr">
        <is>
          <t>PCAP</t>
        </is>
      </c>
      <c r="S1964" s="9" t="n">
        <v>46310</v>
      </c>
      <c r="T1964" s="3" t="n">
        <v>46302.62054398148</v>
      </c>
      <c r="U1964" s="2" t="n"/>
    </row>
    <row r="1965">
      <c r="A1965" s="2" t="inlineStr">
        <is>
          <t>Pendiente de adjudicación</t>
        </is>
      </c>
      <c r="B1965" s="3" t="n">
        <v>46300.99930555555</v>
      </c>
      <c r="C1965" s="5" t="n">
        <v>125202.86</v>
      </c>
      <c r="D1965" s="5" t="n">
        <v>135219.09</v>
      </c>
      <c r="E1965" s="2" t="inlineStr">
        <is>
          <t>Andalucía</t>
        </is>
      </c>
      <c r="F1965" s="2" t="inlineStr">
        <is>
          <t>Sevilla</t>
        </is>
      </c>
      <c r="G1965" s="2" t="inlineStr">
        <is>
          <t>Sevilla</t>
        </is>
      </c>
      <c r="H1965" s="2" t="inlineStr">
        <is>
          <t>Junta de Gobierno del Ayuntamiento de Sevilla</t>
        </is>
      </c>
      <c r="I1965" s="2" t="inlineStr">
        <is>
          <t>Obras para adecuación de sótano de la sede de la BANDA MUNICIPAL de Sevilla, ubicada en el Distrito Nervión de Sevilla</t>
        </is>
      </c>
      <c r="J1965" s="2" t="inlineStr">
        <is>
          <t>2026/000776</t>
        </is>
      </c>
      <c r="K1965" s="2" t="inlineStr">
        <is>
          <t>Abierto simplificado</t>
        </is>
      </c>
      <c r="L1965" s="6" t="n">
        <v>4</v>
      </c>
      <c r="M1965" s="2" t="n"/>
      <c r="N1965" s="7" t="n">
        <v>0</v>
      </c>
      <c r="O1965" s="4" t="n"/>
      <c r="P1965" s="2" t="inlineStr">
        <is>
          <t>45000000</t>
        </is>
      </c>
      <c r="Q1965" s="8" t="inlineStr">
        <is>
          <t>Ver</t>
        </is>
      </c>
      <c r="R1965" s="8" t="inlineStr">
        <is>
          <t>PCAP</t>
        </is>
      </c>
      <c r="S1965" s="9" t="n">
        <v>46310</v>
      </c>
      <c r="T1965" s="3" t="n">
        <v>46302.6140162037</v>
      </c>
      <c r="U1965" s="2" t="n"/>
    </row>
    <row r="1966">
      <c r="A1966" s="2" t="inlineStr">
        <is>
          <t>Resuelta</t>
        </is>
      </c>
      <c r="B1966" s="3" t="n">
        <v>46279.41666666666</v>
      </c>
      <c r="C1966" s="5" t="n">
        <v>38012.53</v>
      </c>
      <c r="D1966" s="5" t="n">
        <v>38012.53</v>
      </c>
      <c r="E1966" s="2" t="inlineStr">
        <is>
          <t>Comunitat Valenciana</t>
        </is>
      </c>
      <c r="F1966" s="2" t="inlineStr">
        <is>
          <t>Castellón</t>
        </is>
      </c>
      <c r="G1966" s="2" t="inlineStr">
        <is>
          <t>Gaibiel</t>
        </is>
      </c>
      <c r="H1966" s="2" t="inlineStr">
        <is>
          <t>Alcaldía del Ayuntamiento de Gaibiel</t>
        </is>
      </c>
      <c r="I1966" s="2" t="inlineStr">
        <is>
          <t>Obra de "adecuación y repavimentación de diversas calles de Gaibiel”</t>
        </is>
      </c>
      <c r="J1966" s="2" t="inlineStr">
        <is>
          <t>170/2026</t>
        </is>
      </c>
      <c r="K1966" s="2" t="inlineStr">
        <is>
          <t>Abierto simplificado</t>
        </is>
      </c>
      <c r="L1966" s="6" t="n">
        <v>2</v>
      </c>
      <c r="M1966" s="2" t="n"/>
      <c r="N1966" s="7" t="n">
        <v>0</v>
      </c>
      <c r="O1966" s="4" t="n"/>
      <c r="P1966" s="2" t="inlineStr">
        <is>
          <t>45233252</t>
        </is>
      </c>
      <c r="Q1966" s="8" t="inlineStr">
        <is>
          <t>Ver</t>
        </is>
      </c>
      <c r="R1966" s="8" t="inlineStr">
        <is>
          <t>PCAP</t>
        </is>
      </c>
      <c r="S1966" s="9" t="n">
        <v>46310</v>
      </c>
      <c r="T1966" s="3" t="n">
        <v>46302.61098379629</v>
      </c>
      <c r="U1966" s="2" t="n"/>
    </row>
    <row r="1967">
      <c r="A1967" s="2" t="inlineStr">
        <is>
          <t>Resuelta</t>
        </is>
      </c>
      <c r="B1967" s="3" t="n">
        <v>46147.41666666666</v>
      </c>
      <c r="C1967" s="5" t="n">
        <v>98268.14999999999</v>
      </c>
      <c r="D1967" s="5" t="n">
        <v>98268.14999999999</v>
      </c>
      <c r="E1967" s="2" t="inlineStr">
        <is>
          <t>Andalucía</t>
        </is>
      </c>
      <c r="F1967" s="2" t="inlineStr">
        <is>
          <t>Cádiz</t>
        </is>
      </c>
      <c r="G1967" s="2" t="n"/>
      <c r="H1967" s="2" t="inlineStr">
        <is>
          <t>Comité Central de Compras de Navantia S.A., S.M.E.</t>
        </is>
      </c>
      <c r="I1967"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1967" s="2" t="inlineStr">
        <is>
          <t>5100063001-INSTALACION TORRES ALUMBRADO TBC Y TBP</t>
        </is>
      </c>
      <c r="K1967" s="2" t="inlineStr">
        <is>
          <t>Normas internas</t>
        </is>
      </c>
      <c r="L1967" s="6" t="n">
        <v>1.9</v>
      </c>
      <c r="M1967" s="2" t="n"/>
      <c r="N1967" s="7" t="n">
        <v>1</v>
      </c>
      <c r="O1967" s="4" t="n"/>
      <c r="P1967" s="2" t="inlineStr">
        <is>
          <t>45316100; 31527260; 31527200</t>
        </is>
      </c>
      <c r="Q1967" s="8" t="inlineStr">
        <is>
          <t>Ver</t>
        </is>
      </c>
      <c r="R1967" s="8" t="inlineStr">
        <is>
          <t>PCAP</t>
        </is>
      </c>
      <c r="S1967" s="9" t="n">
        <v>46310</v>
      </c>
      <c r="T1967" s="3" t="n">
        <v>46302.60949074074</v>
      </c>
      <c r="U1967" s="2" t="n"/>
    </row>
    <row r="1968">
      <c r="A1968" s="2" t="inlineStr">
        <is>
          <t>Resuelta</t>
        </is>
      </c>
      <c r="B1968" s="3" t="n">
        <v>46094.41666666666</v>
      </c>
      <c r="C1968" s="5" t="n">
        <v>128000</v>
      </c>
      <c r="D1968" s="5" t="n">
        <v>128000</v>
      </c>
      <c r="E1968" s="2" t="inlineStr">
        <is>
          <t>Andalucía</t>
        </is>
      </c>
      <c r="F1968" s="2" t="inlineStr">
        <is>
          <t>Cádiz</t>
        </is>
      </c>
      <c r="G1968" s="2" t="n"/>
      <c r="H1968" s="2" t="inlineStr">
        <is>
          <t>Comité Central de Compras de Navantia S.A., S.M.E.</t>
        </is>
      </c>
      <c r="I1968" s="2" t="inlineStr">
        <is>
          <t>La presente licitación tiene por objeto la contratación del servicio de redacción de proyecto y ejecución de la obra del nuevo almacén náutico en el centro de trabajo de Navantia San Fernando.</t>
        </is>
      </c>
      <c r="J1968" s="2" t="inlineStr">
        <is>
          <t>Proyecto y obra para nuevo almacén</t>
        </is>
      </c>
      <c r="K1968" s="2" t="inlineStr">
        <is>
          <t>Normas internas</t>
        </is>
      </c>
      <c r="L1968" s="6" t="n">
        <v>5</v>
      </c>
      <c r="M1968" s="2" t="n"/>
      <c r="N1968" s="7" t="n">
        <v>1</v>
      </c>
      <c r="O1968" s="4" t="n"/>
      <c r="P1968" s="2" t="inlineStr">
        <is>
          <t>45000000; 71242000; 71245000</t>
        </is>
      </c>
      <c r="Q1968" s="8" t="inlineStr">
        <is>
          <t>Ver</t>
        </is>
      </c>
      <c r="R1968" s="8" t="inlineStr">
        <is>
          <t>PCAP</t>
        </is>
      </c>
      <c r="S1968" s="9" t="n">
        <v>46310</v>
      </c>
      <c r="T1968" s="3" t="n">
        <v>46302.6066087963</v>
      </c>
      <c r="U1968" s="2" t="n"/>
    </row>
    <row r="1969">
      <c r="A1969" s="2" t="inlineStr">
        <is>
          <t>En plazo</t>
        </is>
      </c>
      <c r="B1969" s="3" t="n">
        <v>46325.99930555555</v>
      </c>
      <c r="C1969" s="5" t="n">
        <v>92718.33</v>
      </c>
      <c r="D1969" s="5" t="n">
        <v>92718.33</v>
      </c>
      <c r="E1969" s="2" t="inlineStr">
        <is>
          <t>Comunitat Valenciana</t>
        </is>
      </c>
      <c r="F1969" s="2" t="inlineStr">
        <is>
          <t>Valencia</t>
        </is>
      </c>
      <c r="G1969" s="2" t="inlineStr">
        <is>
          <t>Novetlè</t>
        </is>
      </c>
      <c r="H1969" s="2" t="inlineStr">
        <is>
          <t>Junta de Gobierno Local del Ayuntamiento de Novetlé</t>
        </is>
      </c>
      <c r="I1969" s="2" t="inlineStr">
        <is>
          <t>Reurbanización calles Sant Josep y Sant Didac</t>
        </is>
      </c>
      <c r="J1969" s="2" t="inlineStr">
        <is>
          <t>EXPEDIENTE 2874809Q</t>
        </is>
      </c>
      <c r="K1969" s="2" t="inlineStr">
        <is>
          <t>Abierto simplificado</t>
        </is>
      </c>
      <c r="L1969" s="6" t="n">
        <v>5</v>
      </c>
      <c r="M1969" s="2" t="n"/>
      <c r="N1969" s="7" t="n">
        <v>0</v>
      </c>
      <c r="O1969" s="4" t="n"/>
      <c r="P1969" s="2" t="inlineStr">
        <is>
          <t>45220000; 45231300; 45233252</t>
        </is>
      </c>
      <c r="Q1969" s="8" t="inlineStr">
        <is>
          <t>Ver</t>
        </is>
      </c>
      <c r="R1969" s="8" t="inlineStr">
        <is>
          <t>PCAP</t>
        </is>
      </c>
      <c r="S1969" s="9" t="n">
        <v>46310</v>
      </c>
      <c r="T1969" s="3" t="n">
        <v>46302.59822916667</v>
      </c>
      <c r="U1969" s="2" t="n"/>
    </row>
    <row r="1970">
      <c r="A1970" s="2" t="inlineStr">
        <is>
          <t>Resuelta</t>
        </is>
      </c>
      <c r="B1970" s="3" t="n">
        <v>46189.99930555555</v>
      </c>
      <c r="C1970" s="5" t="n">
        <v>272139.76</v>
      </c>
      <c r="D1970" s="5" t="n">
        <v>272139.76</v>
      </c>
      <c r="E1970" s="2" t="inlineStr">
        <is>
          <t>Comunitat Valenciana</t>
        </is>
      </c>
      <c r="F1970" s="2" t="inlineStr">
        <is>
          <t>Valencia</t>
        </is>
      </c>
      <c r="G1970" s="2" t="n"/>
      <c r="H1970" s="2" t="inlineStr">
        <is>
          <t>Alcaldía del Ayuntamiento de Quart de Poblet</t>
        </is>
      </c>
      <c r="I1970" s="2" t="inlineStr">
        <is>
          <t>Proyecto de construcción de espacio de juego neuroinclusivo en Polideportivo Municipal de Quart de Poblet. Adenda, incluido dentro del Pla Obert d'inversions de la Diputación Provincial de Valencia 24-27",</t>
        </is>
      </c>
      <c r="J1970" s="2" t="inlineStr">
        <is>
          <t>2688408A</t>
        </is>
      </c>
      <c r="K1970" s="2" t="inlineStr">
        <is>
          <t>Abierto simplificado</t>
        </is>
      </c>
      <c r="L1970" s="6" t="n">
        <v>3</v>
      </c>
      <c r="M1970" s="2" t="n"/>
      <c r="N1970" s="7" t="n">
        <v>0.25</v>
      </c>
      <c r="O1970" s="4" t="n"/>
      <c r="P1970" s="2" t="inlineStr">
        <is>
          <t>45212140; 37535200</t>
        </is>
      </c>
      <c r="Q1970" s="8" t="inlineStr">
        <is>
          <t>Ver</t>
        </is>
      </c>
      <c r="R1970" s="8" t="inlineStr">
        <is>
          <t>PCAP</t>
        </is>
      </c>
      <c r="S1970" s="9" t="n">
        <v>46310</v>
      </c>
      <c r="T1970" s="3" t="n">
        <v>46302.59681712963</v>
      </c>
      <c r="U1970" s="2" t="n"/>
    </row>
    <row r="1971">
      <c r="A1971" s="2" t="inlineStr">
        <is>
          <t>En plazo</t>
        </is>
      </c>
      <c r="B1971" s="3" t="n">
        <v>46328.58333333334</v>
      </c>
      <c r="C1971" s="5" t="n">
        <v>814296.7</v>
      </c>
      <c r="D1971" s="5" t="n">
        <v>814296.7</v>
      </c>
      <c r="E1971" s="2" t="inlineStr">
        <is>
          <t>Comunitat Valenciana</t>
        </is>
      </c>
      <c r="F1971" s="2" t="inlineStr">
        <is>
          <t>Valencia</t>
        </is>
      </c>
      <c r="G1971" s="2" t="inlineStr">
        <is>
          <t>Turís</t>
        </is>
      </c>
      <c r="H1971" s="2" t="inlineStr">
        <is>
          <t>Alcaldía del Ayuntamiento de Turis</t>
        </is>
      </c>
      <c r="I1971" s="2" t="inlineStr">
        <is>
          <t>Urbanización calles perimetrales parcela nuevo CEIP</t>
        </is>
      </c>
      <c r="J1971" s="2" t="inlineStr">
        <is>
          <t>3385/2026</t>
        </is>
      </c>
      <c r="K1971" s="2" t="inlineStr">
        <is>
          <t>Abierto simplificado</t>
        </is>
      </c>
      <c r="L1971" s="6" t="n">
        <v>5</v>
      </c>
      <c r="M1971" s="2" t="n"/>
      <c r="N1971" s="7" t="n">
        <v>0</v>
      </c>
      <c r="O1971" s="4" t="n"/>
      <c r="P1971" s="2" t="inlineStr">
        <is>
          <t>45233140</t>
        </is>
      </c>
      <c r="Q1971" s="8" t="inlineStr">
        <is>
          <t>Ver</t>
        </is>
      </c>
      <c r="R1971" s="8" t="inlineStr">
        <is>
          <t>PCAP</t>
        </is>
      </c>
      <c r="S1971" s="9" t="n">
        <v>46310</v>
      </c>
      <c r="T1971" s="3" t="n">
        <v>46302.59541666666</v>
      </c>
      <c r="U1971" s="2" t="n"/>
    </row>
    <row r="1972">
      <c r="A1972" s="2" t="inlineStr">
        <is>
          <t>Adjudicada</t>
        </is>
      </c>
      <c r="B1972" s="3" t="n">
        <v>46301.5</v>
      </c>
      <c r="C1972" s="5" t="n">
        <v>115378.06</v>
      </c>
      <c r="D1972" s="5" t="n">
        <v>115348.06</v>
      </c>
      <c r="E1972" s="2" t="inlineStr">
        <is>
          <t>Comunitat Valenciana</t>
        </is>
      </c>
      <c r="F1972" s="2" t="inlineStr">
        <is>
          <t>Valencia</t>
        </is>
      </c>
      <c r="G1972" s="2" t="inlineStr">
        <is>
          <t>Quartell</t>
        </is>
      </c>
      <c r="H1972" s="2" t="inlineStr">
        <is>
          <t>Alcaldía del Ayuntamiento de Quartell</t>
        </is>
      </c>
      <c r="I1972" s="2" t="inlineStr">
        <is>
          <t>Obra: Restauración de la cubierta del Palacio de los Condes de Orbe y piniés</t>
        </is>
      </c>
      <c r="J1972" s="2" t="inlineStr">
        <is>
          <t>851/2026 Restauracion Cubierta Palau (Fase 2.1)</t>
        </is>
      </c>
      <c r="K1972" s="2" t="inlineStr">
        <is>
          <t>Abierto</t>
        </is>
      </c>
      <c r="L1972" s="6" t="n">
        <v>3</v>
      </c>
      <c r="M1972" s="2" t="n"/>
      <c r="N1972" s="7" t="n">
        <v>0</v>
      </c>
      <c r="O1972" s="4" t="n"/>
      <c r="P1972" s="2" t="inlineStr">
        <is>
          <t>45212000; 45212300; 45212310</t>
        </is>
      </c>
      <c r="Q1972" s="8" t="inlineStr">
        <is>
          <t>Ver</t>
        </is>
      </c>
      <c r="R1972" s="8" t="inlineStr">
        <is>
          <t>PCAP</t>
        </is>
      </c>
      <c r="S1972" s="9" t="n">
        <v>46310</v>
      </c>
      <c r="T1972" s="3" t="n">
        <v>46302.59469907408</v>
      </c>
      <c r="U1972" s="2" t="n"/>
    </row>
    <row r="1973">
      <c r="A1973" s="2" t="inlineStr">
        <is>
          <t>En plazo</t>
        </is>
      </c>
      <c r="B1973" s="3" t="n">
        <v>46325.99930555555</v>
      </c>
      <c r="C1973" s="5" t="n">
        <v>91319.32000000001</v>
      </c>
      <c r="D1973" s="5" t="n">
        <v>91319.32000000001</v>
      </c>
      <c r="E1973" s="2" t="inlineStr">
        <is>
          <t>Comunitat Valenciana</t>
        </is>
      </c>
      <c r="F1973" s="2" t="inlineStr">
        <is>
          <t>Valencia</t>
        </is>
      </c>
      <c r="G1973" s="2" t="inlineStr">
        <is>
          <t>Novetlè</t>
        </is>
      </c>
      <c r="H1973" s="2" t="inlineStr">
        <is>
          <t>Junta de Gobierno Local del Ayuntamiento de Novetlé</t>
        </is>
      </c>
      <c r="I1973" s="2" t="inlineStr">
        <is>
          <t>Circuito runner y vestuarios</t>
        </is>
      </c>
      <c r="J1973" s="2" t="inlineStr">
        <is>
          <t>EXPEDIENTE 2762546W</t>
        </is>
      </c>
      <c r="K1973" s="2" t="inlineStr">
        <is>
          <t>Abierto simplificado</t>
        </is>
      </c>
      <c r="L1973" s="6" t="n">
        <v>6</v>
      </c>
      <c r="M1973" s="2" t="n"/>
      <c r="N1973" s="7" t="n">
        <v>0</v>
      </c>
      <c r="O1973" s="4" t="n"/>
      <c r="P1973" s="2" t="inlineStr">
        <is>
          <t>45200000</t>
        </is>
      </c>
      <c r="Q1973" s="8" t="inlineStr">
        <is>
          <t>Ver</t>
        </is>
      </c>
      <c r="R1973" s="8" t="inlineStr">
        <is>
          <t>PCAP</t>
        </is>
      </c>
      <c r="S1973" s="9" t="n">
        <v>46310</v>
      </c>
      <c r="T1973" s="3" t="n">
        <v>46302.59442129629</v>
      </c>
      <c r="U1973" s="2" t="n"/>
    </row>
    <row r="1974">
      <c r="A1974" s="2" t="inlineStr">
        <is>
          <t>Resuelta</t>
        </is>
      </c>
      <c r="B1974" s="3" t="n">
        <v>46237.99930555555</v>
      </c>
      <c r="C1974" s="5" t="n">
        <v>226213.05</v>
      </c>
      <c r="D1974" s="5" t="n">
        <v>226213.05</v>
      </c>
      <c r="E1974" s="2" t="inlineStr">
        <is>
          <t>Comunitat Valenciana</t>
        </is>
      </c>
      <c r="F1974" s="2" t="inlineStr">
        <is>
          <t>Alicante</t>
        </is>
      </c>
      <c r="G1974" s="2" t="n"/>
      <c r="H1974" s="2" t="inlineStr">
        <is>
          <t>Junta de Gobierno del Ayuntamiento de Elche</t>
        </is>
      </c>
      <c r="I1974" s="2" t="inlineStr">
        <is>
          <t>Obras para Instalación de velas tensadas en varios colegios públicos de Elche</t>
        </is>
      </c>
      <c r="J1974" s="2" t="inlineStr">
        <is>
          <t>OBR/ABR_SMPL/2026000057</t>
        </is>
      </c>
      <c r="K1974" s="2" t="inlineStr">
        <is>
          <t>Abierto simplificado</t>
        </is>
      </c>
      <c r="L1974" s="6" t="n">
        <v>2</v>
      </c>
      <c r="M1974" s="2" t="n"/>
      <c r="N1974" s="7" t="n">
        <v>0</v>
      </c>
      <c r="O1974" s="4" t="n"/>
      <c r="P1974" s="2" t="inlineStr">
        <is>
          <t>45210000; 45421144; 45255400; 45212190; 39522120</t>
        </is>
      </c>
      <c r="Q1974" s="8" t="inlineStr">
        <is>
          <t>Ver</t>
        </is>
      </c>
      <c r="R1974" s="8" t="inlineStr">
        <is>
          <t>PCAP</t>
        </is>
      </c>
      <c r="S1974" s="9" t="n">
        <v>46310</v>
      </c>
      <c r="T1974" s="3" t="n">
        <v>46302.59439814815</v>
      </c>
      <c r="U1974" s="2" t="n"/>
    </row>
    <row r="1975">
      <c r="A1975" s="2" t="inlineStr">
        <is>
          <t>En plazo</t>
        </is>
      </c>
      <c r="B1975" s="3" t="n">
        <v>46325.99930555555</v>
      </c>
      <c r="C1975" s="5" t="n">
        <v>46035.18</v>
      </c>
      <c r="D1975" s="5" t="n">
        <v>46035.48</v>
      </c>
      <c r="E1975" s="2" t="inlineStr">
        <is>
          <t>Comunitat Valenciana</t>
        </is>
      </c>
      <c r="F1975" s="2" t="inlineStr">
        <is>
          <t>Valencia</t>
        </is>
      </c>
      <c r="G1975" s="2" t="inlineStr">
        <is>
          <t>Novetlè</t>
        </is>
      </c>
      <c r="H1975" s="2" t="inlineStr">
        <is>
          <t>Alcaldía del Ayuntamiento de Novetlé</t>
        </is>
      </c>
      <c r="I1975" s="2" t="inlineStr">
        <is>
          <t>Desvío de conducción agua de riego por liberación de espacio para otras instalaciones</t>
        </is>
      </c>
      <c r="J1975" s="2" t="inlineStr">
        <is>
          <t>EXPEDIENTE 2761974A</t>
        </is>
      </c>
      <c r="K1975" s="2" t="inlineStr">
        <is>
          <t>Abierto simplificado</t>
        </is>
      </c>
      <c r="L1975" s="6" t="n">
        <v>2</v>
      </c>
      <c r="M1975" s="2" t="n"/>
      <c r="N1975" s="7" t="n">
        <v>0</v>
      </c>
      <c r="O1975" s="4" t="n"/>
      <c r="P1975" s="2" t="inlineStr">
        <is>
          <t>45232121</t>
        </is>
      </c>
      <c r="Q1975" s="8" t="inlineStr">
        <is>
          <t>Ver</t>
        </is>
      </c>
      <c r="R1975" s="8" t="inlineStr">
        <is>
          <t>PCAP</t>
        </is>
      </c>
      <c r="S1975" s="9" t="n">
        <v>46310</v>
      </c>
      <c r="T1975" s="3" t="n">
        <v>46302.5909375</v>
      </c>
      <c r="U1975" s="2" t="n"/>
    </row>
    <row r="1976">
      <c r="A1976" s="2" t="inlineStr">
        <is>
          <t>Adjudicada</t>
        </is>
      </c>
      <c r="B1976" s="3" t="n">
        <v>46280.58333333334</v>
      </c>
      <c r="C1976" s="5" t="n">
        <v>45228.93</v>
      </c>
      <c r="D1976" s="5" t="n">
        <v>45228.93</v>
      </c>
      <c r="E1976" s="2" t="inlineStr">
        <is>
          <t>Andalucía</t>
        </is>
      </c>
      <c r="F1976" s="2" t="inlineStr">
        <is>
          <t>Sevilla</t>
        </is>
      </c>
      <c r="G1976" s="2" t="n"/>
      <c r="H1976" s="2" t="inlineStr">
        <is>
          <t>Alcaldia del Ayuntamiento de San Nicolás del Puerto</t>
        </is>
      </c>
      <c r="I1976" s="2" t="inlineStr">
        <is>
          <t>PASA. Rehabilitación camino de los Parrales</t>
        </is>
      </c>
      <c r="J1976" s="2" t="inlineStr">
        <is>
          <t>P4108800F-2026/000025-PAAB</t>
        </is>
      </c>
      <c r="K1976" s="2" t="inlineStr">
        <is>
          <t>Abierto simplificado</t>
        </is>
      </c>
      <c r="L1976" s="6" t="n">
        <v>2</v>
      </c>
      <c r="M1976" s="2" t="n"/>
      <c r="N1976" s="7" t="n">
        <v>0</v>
      </c>
      <c r="O1976" s="4" t="n"/>
      <c r="P1976" s="2" t="inlineStr">
        <is>
          <t>45233160</t>
        </is>
      </c>
      <c r="Q1976" s="8" t="inlineStr">
        <is>
          <t>Ver</t>
        </is>
      </c>
      <c r="R1976" s="8" t="inlineStr">
        <is>
          <t>PCAP</t>
        </is>
      </c>
      <c r="S1976" s="9" t="n">
        <v>46310</v>
      </c>
      <c r="T1976" s="3" t="n">
        <v>46302.58684027778</v>
      </c>
      <c r="U1976" s="2" t="n"/>
    </row>
    <row r="1977">
      <c r="A1977" s="2" t="inlineStr">
        <is>
          <t>Plazo vencido</t>
        </is>
      </c>
      <c r="B1977" s="3" t="n">
        <v>46322.79166666666</v>
      </c>
      <c r="C1977" s="5" t="n">
        <v>73202.48</v>
      </c>
      <c r="D1977" s="5" t="n">
        <v>73202.48</v>
      </c>
      <c r="E1977" s="2" t="inlineStr">
        <is>
          <t>Comunitat Valenciana</t>
        </is>
      </c>
      <c r="F1977" s="2" t="inlineStr">
        <is>
          <t>Valencia</t>
        </is>
      </c>
      <c r="G1977" s="2" t="inlineStr">
        <is>
          <t>Corbera</t>
        </is>
      </c>
      <c r="H1977" s="2" t="inlineStr">
        <is>
          <t>Alcaldía del Ayuntamiento de Corbera</t>
        </is>
      </c>
      <c r="I1977" s="2" t="inlineStr">
        <is>
          <t>Proyecto de construcción de nuevos nichos al cementerio municipal.</t>
        </is>
      </c>
      <c r="J1977" s="2" t="inlineStr">
        <is>
          <t>1517/2026</t>
        </is>
      </c>
      <c r="K1977" s="2" t="inlineStr">
        <is>
          <t>Abierto simplificado</t>
        </is>
      </c>
      <c r="L1977" s="6" t="n">
        <v>4</v>
      </c>
      <c r="M1977" s="2" t="n"/>
      <c r="N1977" s="7" t="n">
        <v>0</v>
      </c>
      <c r="O1977" s="4" t="n"/>
      <c r="P1977" s="2" t="inlineStr">
        <is>
          <t>45223800; 45000000; 45215400</t>
        </is>
      </c>
      <c r="Q1977" s="8" t="inlineStr">
        <is>
          <t>Ver</t>
        </is>
      </c>
      <c r="R1977" s="8" t="inlineStr">
        <is>
          <t>PCAP</t>
        </is>
      </c>
      <c r="S1977" s="9" t="n">
        <v>46310</v>
      </c>
      <c r="T1977" s="3" t="n">
        <v>46302.57260416666</v>
      </c>
      <c r="U1977" s="2" t="n"/>
    </row>
    <row r="1978">
      <c r="A1978" s="2" t="inlineStr">
        <is>
          <t>En plazo</t>
        </is>
      </c>
      <c r="B1978" s="3" t="n">
        <v>46325.58333333334</v>
      </c>
      <c r="C1978" s="5" t="n">
        <v>1540129.68</v>
      </c>
      <c r="D1978" s="5" t="n">
        <v>1540129.68</v>
      </c>
      <c r="E1978" s="2" t="inlineStr">
        <is>
          <t>Andalucía</t>
        </is>
      </c>
      <c r="F1978" s="2" t="inlineStr">
        <is>
          <t>Granada</t>
        </is>
      </c>
      <c r="G1978" s="2" t="inlineStr">
        <is>
          <t>Granada</t>
        </is>
      </c>
      <c r="H1978" s="2" t="inlineStr">
        <is>
          <t>Secretaría General de la Agencia Estatal Consejo Superior de Investigaciones Científicas</t>
        </is>
      </c>
      <c r="I1978" s="2" t="inlineStr">
        <is>
          <t>Obras de nuevo edificio del Instituto de Astrofísica de Andalucía</t>
        </is>
      </c>
      <c r="J1978" s="2" t="inlineStr">
        <is>
          <t>35349/26</t>
        </is>
      </c>
      <c r="K1978" s="2" t="inlineStr">
        <is>
          <t>Abierto simplificado</t>
        </is>
      </c>
      <c r="L1978" s="6" t="n">
        <v>12</v>
      </c>
      <c r="M1978" s="2" t="n"/>
      <c r="N1978" s="7" t="n">
        <v>0.25</v>
      </c>
      <c r="O1978" s="4" t="n"/>
      <c r="P1978" s="2" t="inlineStr">
        <is>
          <t>45214000; 45214600; 45213150</t>
        </is>
      </c>
      <c r="Q1978" s="8" t="inlineStr">
        <is>
          <t>Ver</t>
        </is>
      </c>
      <c r="R1978" s="8" t="inlineStr">
        <is>
          <t>PCAP</t>
        </is>
      </c>
      <c r="S1978" s="9" t="n">
        <v>46310</v>
      </c>
      <c r="T1978" s="3" t="n">
        <v>46302.57195601852</v>
      </c>
      <c r="U1978" s="2" t="n"/>
    </row>
    <row r="1979">
      <c r="A1979" s="2" t="inlineStr">
        <is>
          <t>Pendiente de adjudicación</t>
        </is>
      </c>
      <c r="B1979" s="3" t="n">
        <v>46279.99930555555</v>
      </c>
      <c r="C1979" s="5" t="n">
        <v>82667.25999999999</v>
      </c>
      <c r="D1979" s="5" t="n">
        <v>82667.25999999999</v>
      </c>
      <c r="E1979" s="2" t="inlineStr">
        <is>
          <t>Andalucía</t>
        </is>
      </c>
      <c r="F1979" s="2" t="inlineStr">
        <is>
          <t>Granada</t>
        </is>
      </c>
      <c r="G1979" s="2" t="inlineStr">
        <is>
          <t>CHIMENEAS</t>
        </is>
      </c>
      <c r="H1979" s="2" t="inlineStr">
        <is>
          <t>Presidencia de la Diputación Provincial de Granada</t>
        </is>
      </c>
      <c r="I1979" s="2" t="inlineStr">
        <is>
          <t>2026/4/PPOYS-47/2 "Chimeneas, mejora del alumbrado público en Chimeneas"</t>
        </is>
      </c>
      <c r="J1979" s="2" t="inlineStr">
        <is>
          <t>OB-061/26</t>
        </is>
      </c>
      <c r="K1979" s="2" t="inlineStr">
        <is>
          <t>Abierto simplificado</t>
        </is>
      </c>
      <c r="L1979" s="6" t="n">
        <v>4</v>
      </c>
      <c r="M1979" s="2" t="inlineStr">
        <is>
          <t>G6-1; I1-1</t>
        </is>
      </c>
      <c r="N1979" s="7" t="n">
        <v>0</v>
      </c>
      <c r="O1979" s="4" t="n"/>
      <c r="P1979" s="2" t="inlineStr">
        <is>
          <t>45316100</t>
        </is>
      </c>
      <c r="Q1979" s="8" t="inlineStr">
        <is>
          <t>Ver</t>
        </is>
      </c>
      <c r="R1979" s="8" t="inlineStr">
        <is>
          <t>PCAP</t>
        </is>
      </c>
      <c r="S1979" s="9" t="n">
        <v>46310</v>
      </c>
      <c r="T1979" s="3" t="n">
        <v>46302.57063657408</v>
      </c>
      <c r="U1979" s="2" t="n"/>
    </row>
    <row r="1980">
      <c r="A1980" s="2" t="inlineStr">
        <is>
          <t>Pendiente de adjudicación</t>
        </is>
      </c>
      <c r="B1980" s="3" t="n">
        <v>46244.99930555555</v>
      </c>
      <c r="C1980" s="5" t="n">
        <v>2224067.77</v>
      </c>
      <c r="D1980" s="5" t="n">
        <v>2224067.77</v>
      </c>
      <c r="E1980" s="2" t="inlineStr">
        <is>
          <t>Andalucía</t>
        </is>
      </c>
      <c r="F1980" s="2" t="inlineStr">
        <is>
          <t>Sevilla</t>
        </is>
      </c>
      <c r="G1980" s="2" t="inlineStr">
        <is>
          <t>Marchena</t>
        </is>
      </c>
      <c r="H1980" s="2" t="inlineStr">
        <is>
          <t>Pleno del Ayuntamiento de Marchena</t>
        </is>
      </c>
      <c r="I1980" s="2" t="inlineStr">
        <is>
          <t>Restauración y puesta en valor de la Muralla Almohade y Palacio Ducal. Frente oriental de la Alcazaba Medieval. Marchena (Sevilla), a cargo de Fondos Propios Municipales, auxiliados por el FEAR de la Excma. Diputación Provincial de Sevilla.</t>
        </is>
      </c>
      <c r="J1980" s="2" t="inlineStr">
        <is>
          <t>2026/CTT_01/000040</t>
        </is>
      </c>
      <c r="K1980" s="2" t="inlineStr">
        <is>
          <t>Abierto</t>
        </is>
      </c>
      <c r="L1980" s="6" t="n">
        <v>18</v>
      </c>
      <c r="M1980" s="2" t="inlineStr">
        <is>
          <t>K4-1; K7-4; C3-1</t>
        </is>
      </c>
      <c r="N1980" s="7" t="n">
        <v>0</v>
      </c>
      <c r="O1980" s="4" t="n"/>
      <c r="P1980" s="2" t="inlineStr">
        <is>
          <t>45000000; 45212350</t>
        </is>
      </c>
      <c r="Q1980" s="8" t="inlineStr">
        <is>
          <t>Ver</t>
        </is>
      </c>
      <c r="R1980" s="8" t="inlineStr">
        <is>
          <t>PCAP</t>
        </is>
      </c>
      <c r="S1980" s="9" t="n">
        <v>46310</v>
      </c>
      <c r="T1980" s="3" t="n">
        <v>46302.56998842592</v>
      </c>
      <c r="U1980" s="2" t="n"/>
    </row>
    <row r="1981">
      <c r="A1981" s="2" t="inlineStr">
        <is>
          <t>Resuelta</t>
        </is>
      </c>
      <c r="B1981" s="3" t="n">
        <v>46182.58333333334</v>
      </c>
      <c r="C1981" s="5" t="n">
        <v>1032485.65</v>
      </c>
      <c r="D1981" s="5" t="n">
        <v>1032485.65</v>
      </c>
      <c r="E1981" s="2" t="inlineStr">
        <is>
          <t>Comunitat Valenciana</t>
        </is>
      </c>
      <c r="F1981" s="2" t="inlineStr">
        <is>
          <t>Alicante</t>
        </is>
      </c>
      <c r="G1981" s="2" t="inlineStr">
        <is>
          <t>Teulada</t>
        </is>
      </c>
      <c r="H1981" s="2" t="inlineStr">
        <is>
          <t>Junta de Gobierno del Ayuntamiento de Teulada</t>
        </is>
      </c>
      <c r="I1981" s="2" t="inlineStr">
        <is>
          <t>Ejecución de las obras "Aulario de 12 unidades para 1º y 2º ciclo de la etapa infantil en el Colegio Público CEIP San Vicente Ferrer de Teulada dentro del programa EDIFICANT de la Generalitat Valenciana" (terminación)</t>
        </is>
      </c>
      <c r="J1981" s="2" t="inlineStr">
        <is>
          <t>3964/2026</t>
        </is>
      </c>
      <c r="K1981" s="2" t="inlineStr">
        <is>
          <t>Negociado sin publicidad</t>
        </is>
      </c>
      <c r="L1981" s="6" t="n">
        <v>4</v>
      </c>
      <c r="M1981" s="2" t="inlineStr">
        <is>
          <t>B2-4</t>
        </is>
      </c>
      <c r="N1981" s="7" t="n">
        <v>0.2</v>
      </c>
      <c r="O1981" s="4" t="n"/>
      <c r="P1981" s="2" t="inlineStr">
        <is>
          <t>45214200; 45214210</t>
        </is>
      </c>
      <c r="Q1981" s="8" t="inlineStr">
        <is>
          <t>Ver</t>
        </is>
      </c>
      <c r="R1981" s="8" t="inlineStr">
        <is>
          <t>PCAP</t>
        </is>
      </c>
      <c r="S1981" s="9" t="n">
        <v>46310</v>
      </c>
      <c r="T1981" s="3" t="n">
        <v>46302.56949074074</v>
      </c>
      <c r="U1981" s="2" t="n"/>
    </row>
    <row r="1982">
      <c r="A1982" s="2" t="inlineStr">
        <is>
          <t>Pendiente de adjudicación</t>
        </is>
      </c>
      <c r="B1982" s="3" t="n">
        <v>46275.99930555555</v>
      </c>
      <c r="C1982" s="5" t="n">
        <v>26922.75</v>
      </c>
      <c r="D1982" s="5" t="n">
        <v>26922.75</v>
      </c>
      <c r="E1982" s="2" t="inlineStr">
        <is>
          <t>Andalucía</t>
        </is>
      </c>
      <c r="F1982" s="2" t="inlineStr">
        <is>
          <t>Córdoba</t>
        </is>
      </c>
      <c r="G1982" s="2" t="n"/>
      <c r="H1982" s="2" t="inlineStr">
        <is>
          <t>Alcalde de Ayuntamiento de Puente Genil</t>
        </is>
      </c>
      <c r="I1982" s="2" t="inlineStr">
        <is>
          <t>Las obras incluidas en la Memoria Técnica para el desarrollo del sistema de control y automatización en la piscina cubierta de Puente Genil (CÓRDOBA)</t>
        </is>
      </c>
      <c r="J1982" s="2" t="inlineStr">
        <is>
          <t>27/2026</t>
        </is>
      </c>
      <c r="K1982" s="2" t="inlineStr">
        <is>
          <t>Abierto simplificado</t>
        </is>
      </c>
      <c r="L1982" s="6" t="n">
        <v>2</v>
      </c>
      <c r="M1982" s="2" t="n"/>
      <c r="N1982" s="7" t="n">
        <v>0</v>
      </c>
      <c r="O1982" s="4" t="n"/>
      <c r="P1982" s="2" t="inlineStr">
        <is>
          <t>45315100</t>
        </is>
      </c>
      <c r="Q1982" s="8" t="inlineStr">
        <is>
          <t>Ver</t>
        </is>
      </c>
      <c r="R1982" s="8" t="inlineStr">
        <is>
          <t>PCAP</t>
        </is>
      </c>
      <c r="S1982" s="9" t="n">
        <v>46310</v>
      </c>
      <c r="T1982" s="3" t="n">
        <v>46302.56890046296</v>
      </c>
      <c r="U1982" s="2" t="n"/>
    </row>
    <row r="1983">
      <c r="A1983" s="2" t="inlineStr">
        <is>
          <t>Resuelta</t>
        </is>
      </c>
      <c r="B1983" s="3" t="n">
        <v>46294.41666666666</v>
      </c>
      <c r="C1983" s="5" t="n">
        <v>63000</v>
      </c>
      <c r="D1983" s="5" t="n">
        <v>63000</v>
      </c>
      <c r="E1983" s="2" t="inlineStr">
        <is>
          <t>Andalucía</t>
        </is>
      </c>
      <c r="F1983" s="2" t="inlineStr">
        <is>
          <t>Huelva</t>
        </is>
      </c>
      <c r="G1983" s="2" t="n"/>
      <c r="H1983" s="2" t="inlineStr">
        <is>
          <t>Empresa de Transformación Agraria S.A.,S.M.E., M.P., (TRAGSA)</t>
        </is>
      </c>
      <c r="I198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83" s="2" t="inlineStr">
        <is>
          <t>TSA0080057-263</t>
        </is>
      </c>
      <c r="K1983" s="2" t="inlineStr">
        <is>
          <t>Abierto</t>
        </is>
      </c>
      <c r="L1983" s="6" t="n">
        <v>8</v>
      </c>
      <c r="M1983" s="2" t="n"/>
      <c r="N1983" s="7" t="n">
        <v>0</v>
      </c>
      <c r="O1983" s="4" t="n"/>
      <c r="P1983" s="2" t="inlineStr">
        <is>
          <t>45500000</t>
        </is>
      </c>
      <c r="Q1983" s="8" t="inlineStr">
        <is>
          <t>Ver</t>
        </is>
      </c>
      <c r="R1983" s="8" t="inlineStr">
        <is>
          <t>PCAP</t>
        </is>
      </c>
      <c r="S1983" s="9" t="n">
        <v>46310</v>
      </c>
      <c r="T1983" s="3" t="n">
        <v>46302.56546296296</v>
      </c>
      <c r="U1983" s="2" t="n"/>
    </row>
    <row r="1984">
      <c r="A1984" s="2" t="inlineStr">
        <is>
          <t>Pendiente de adjudicación</t>
        </is>
      </c>
      <c r="B1984" s="3" t="n">
        <v>46286.99930555555</v>
      </c>
      <c r="C1984" s="5" t="n">
        <v>157024.74</v>
      </c>
      <c r="D1984" s="5" t="n">
        <v>157024.74</v>
      </c>
      <c r="E1984" s="2" t="inlineStr">
        <is>
          <t>Comunitat Valenciana</t>
        </is>
      </c>
      <c r="F1984" s="2" t="inlineStr">
        <is>
          <t>Valencia</t>
        </is>
      </c>
      <c r="G1984" s="2" t="n"/>
      <c r="H1984" s="2" t="inlineStr">
        <is>
          <t>Junta de Gobierno del Ayuntamiento de Alzira</t>
        </is>
      </c>
      <c r="I1984" s="2" t="inlineStr">
        <is>
          <t>Peatonalización de la calle Bernat Montagud (fase 2)</t>
        </is>
      </c>
      <c r="J1984" s="2" t="inlineStr">
        <is>
          <t>OC-7887/25</t>
        </is>
      </c>
      <c r="K1984" s="2" t="inlineStr">
        <is>
          <t>Abierto simplificado</t>
        </is>
      </c>
      <c r="L1984" s="6" t="n">
        <v>6</v>
      </c>
      <c r="M1984" s="2" t="n"/>
      <c r="N1984" s="7" t="n">
        <v>0</v>
      </c>
      <c r="O1984" s="4" t="n"/>
      <c r="P1984" s="2" t="inlineStr">
        <is>
          <t>45233252; 45112700</t>
        </is>
      </c>
      <c r="Q1984" s="8" t="inlineStr">
        <is>
          <t>Ver</t>
        </is>
      </c>
      <c r="R1984" s="8" t="inlineStr">
        <is>
          <t>PCAP</t>
        </is>
      </c>
      <c r="S1984" s="9" t="n">
        <v>46310</v>
      </c>
      <c r="T1984" s="3" t="n">
        <v>46302.56440972222</v>
      </c>
      <c r="U1984" s="2" t="n"/>
    </row>
    <row r="1985">
      <c r="A1985" s="2" t="inlineStr">
        <is>
          <t>Resuelta</t>
        </is>
      </c>
      <c r="B1985" s="3" t="n">
        <v>46294.41666666666</v>
      </c>
      <c r="C1985" s="5" t="n">
        <v>63000</v>
      </c>
      <c r="D1985" s="5" t="n">
        <v>63000</v>
      </c>
      <c r="E1985" s="2" t="inlineStr">
        <is>
          <t>Andalucía</t>
        </is>
      </c>
      <c r="F1985" s="2" t="inlineStr">
        <is>
          <t>Huelva</t>
        </is>
      </c>
      <c r="G1985" s="2" t="n"/>
      <c r="H1985" s="2" t="inlineStr">
        <is>
          <t>Empresa de Transformación Agraria S.A.,S.M.E., M.P., (TRAGSA)</t>
        </is>
      </c>
      <c r="I198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85" s="2" t="inlineStr">
        <is>
          <t>TSA0080057-262</t>
        </is>
      </c>
      <c r="K1985" s="2" t="inlineStr">
        <is>
          <t>Abierto</t>
        </is>
      </c>
      <c r="L1985" s="6" t="n">
        <v>8</v>
      </c>
      <c r="M1985" s="2" t="n"/>
      <c r="N1985" s="7" t="n">
        <v>0</v>
      </c>
      <c r="O1985" s="4" t="n"/>
      <c r="P1985" s="2" t="inlineStr">
        <is>
          <t>45500000</t>
        </is>
      </c>
      <c r="Q1985" s="8" t="inlineStr">
        <is>
          <t>Ver</t>
        </is>
      </c>
      <c r="R1985" s="8" t="inlineStr">
        <is>
          <t>PCAP</t>
        </is>
      </c>
      <c r="S1985" s="9" t="n">
        <v>46310</v>
      </c>
      <c r="T1985" s="3" t="n">
        <v>46302.56333333333</v>
      </c>
      <c r="U1985" s="2" t="n"/>
    </row>
    <row r="1986">
      <c r="A1986" s="2" t="inlineStr">
        <is>
          <t>En plazo</t>
        </is>
      </c>
      <c r="B1986" s="3" t="n">
        <v>46331.99930555555</v>
      </c>
      <c r="C1986" s="5" t="n">
        <v>2543636.15</v>
      </c>
      <c r="D1986" s="5" t="n">
        <v>2543636.15</v>
      </c>
      <c r="E1986" s="2" t="inlineStr">
        <is>
          <t>Andalucía</t>
        </is>
      </c>
      <c r="F1986" s="2" t="inlineStr">
        <is>
          <t>Sevilla</t>
        </is>
      </c>
      <c r="G1986" s="2" t="n"/>
      <c r="H1986" s="2" t="inlineStr">
        <is>
          <t>Presidencia de la Diputación Provincial de Sevilla</t>
        </is>
      </c>
      <c r="I1986" s="2" t="inlineStr">
        <is>
          <t>Obra para la mejora de la estación de bombeo de agua potable al Consorcio de Aguas Sierra Sur, nuevo depósito y sistemas antiariete, Osuna</t>
        </is>
      </c>
      <c r="J1986" s="2" t="inlineStr">
        <is>
          <t>2026/000697-PAA</t>
        </is>
      </c>
      <c r="K1986" s="2" t="inlineStr">
        <is>
          <t>Abierto</t>
        </is>
      </c>
      <c r="L1986" s="6" t="n">
        <v>8</v>
      </c>
      <c r="M1986" s="2" t="inlineStr">
        <is>
          <t>E1-5</t>
        </is>
      </c>
      <c r="N1986" s="7" t="n">
        <v>0.25</v>
      </c>
      <c r="O1986" s="4" t="n"/>
      <c r="P1986" s="2" t="inlineStr">
        <is>
          <t>45213260; 45232152</t>
        </is>
      </c>
      <c r="Q1986" s="8" t="inlineStr">
        <is>
          <t>Ver</t>
        </is>
      </c>
      <c r="R1986" s="8" t="inlineStr">
        <is>
          <t>PCAP</t>
        </is>
      </c>
      <c r="S1986" s="9" t="n">
        <v>46310</v>
      </c>
      <c r="T1986" s="3" t="n">
        <v>46302.55922453704</v>
      </c>
      <c r="U1986" s="2" t="n"/>
    </row>
    <row r="1987">
      <c r="A1987" s="2" t="inlineStr">
        <is>
          <t>Resuelta</t>
        </is>
      </c>
      <c r="B1987" s="3" t="n">
        <v>46294.41666666666</v>
      </c>
      <c r="C1987" s="5" t="n">
        <v>63000</v>
      </c>
      <c r="D1987" s="5" t="n">
        <v>63000</v>
      </c>
      <c r="E1987" s="2" t="inlineStr">
        <is>
          <t>Andalucía</t>
        </is>
      </c>
      <c r="F1987" s="2" t="inlineStr">
        <is>
          <t>Huelva</t>
        </is>
      </c>
      <c r="G1987" s="2" t="n"/>
      <c r="H1987" s="2" t="inlineStr">
        <is>
          <t>Empresa de Transformación Agraria S.A.,S.M.E., M.P., (TRAGSA)</t>
        </is>
      </c>
      <c r="I198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87" s="2" t="inlineStr">
        <is>
          <t>TSA0080057-261</t>
        </is>
      </c>
      <c r="K1987" s="2" t="inlineStr">
        <is>
          <t>Abierto</t>
        </is>
      </c>
      <c r="L1987" s="6" t="n">
        <v>8</v>
      </c>
      <c r="M1987" s="2" t="n"/>
      <c r="N1987" s="7" t="n">
        <v>0</v>
      </c>
      <c r="O1987" s="4" t="n"/>
      <c r="P1987" s="2" t="inlineStr">
        <is>
          <t>45500000</t>
        </is>
      </c>
      <c r="Q1987" s="8" t="inlineStr">
        <is>
          <t>Ver</t>
        </is>
      </c>
      <c r="R1987" s="8" t="inlineStr">
        <is>
          <t>PCAP</t>
        </is>
      </c>
      <c r="S1987" s="9" t="n">
        <v>46310</v>
      </c>
      <c r="T1987" s="3" t="n">
        <v>46302.55869212963</v>
      </c>
      <c r="U1987" s="2" t="n"/>
    </row>
    <row r="1988">
      <c r="A1988" s="2" t="inlineStr">
        <is>
          <t>Plazo vencido</t>
        </is>
      </c>
      <c r="B1988" s="3" t="n">
        <v>46322.99930555555</v>
      </c>
      <c r="C1988" s="5" t="n">
        <v>194381.95</v>
      </c>
      <c r="D1988" s="5" t="n">
        <v>194381.95</v>
      </c>
      <c r="E1988" s="2" t="inlineStr">
        <is>
          <t>Comunitat Valenciana</t>
        </is>
      </c>
      <c r="F1988" s="2" t="inlineStr">
        <is>
          <t>Valencia</t>
        </is>
      </c>
      <c r="G1988" s="2" t="n"/>
      <c r="H1988" s="2" t="inlineStr">
        <is>
          <t>Pleno del Ayuntamiento d'Almiserà</t>
        </is>
      </c>
      <c r="I1988" s="2" t="inlineStr">
        <is>
          <t>Ampliación cementerio municipal de Almisera. Fase 1</t>
        </is>
      </c>
      <c r="J1988" s="2" t="inlineStr">
        <is>
          <t>502/2026</t>
        </is>
      </c>
      <c r="K1988" s="2" t="inlineStr">
        <is>
          <t>Abierto simplificado</t>
        </is>
      </c>
      <c r="L1988" s="6" t="n">
        <v>4</v>
      </c>
      <c r="M1988" s="2" t="n"/>
      <c r="N1988" s="7" t="n">
        <v>0.25</v>
      </c>
      <c r="O1988" s="4" t="n"/>
      <c r="P1988" s="2" t="inlineStr">
        <is>
          <t>45215400; 45261000; 45220000; 45223000</t>
        </is>
      </c>
      <c r="Q1988" s="8" t="inlineStr">
        <is>
          <t>Ver</t>
        </is>
      </c>
      <c r="R1988" s="8" t="inlineStr">
        <is>
          <t>PCAP</t>
        </is>
      </c>
      <c r="S1988" s="9" t="n">
        <v>46310</v>
      </c>
      <c r="T1988" s="3" t="n">
        <v>46302.55758101852</v>
      </c>
      <c r="U1988" s="2" t="n"/>
    </row>
    <row r="1989">
      <c r="A1989" s="2" t="inlineStr">
        <is>
          <t>Resuelta</t>
        </is>
      </c>
      <c r="B1989" s="3" t="n">
        <v>46294.41666666666</v>
      </c>
      <c r="C1989" s="5" t="n">
        <v>63000</v>
      </c>
      <c r="D1989" s="5" t="n">
        <v>63000</v>
      </c>
      <c r="E1989" s="2" t="inlineStr">
        <is>
          <t>Andalucía</t>
        </is>
      </c>
      <c r="F1989" s="2" t="inlineStr">
        <is>
          <t>Huelva</t>
        </is>
      </c>
      <c r="G1989" s="2" t="n"/>
      <c r="H1989" s="2" t="inlineStr">
        <is>
          <t>Empresa de Transformación Agraria S.A.,S.M.E., M.P., (TRAGSA)</t>
        </is>
      </c>
      <c r="I198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89" s="2" t="inlineStr">
        <is>
          <t>TSA0080057-260</t>
        </is>
      </c>
      <c r="K1989" s="2" t="inlineStr">
        <is>
          <t>Abierto</t>
        </is>
      </c>
      <c r="L1989" s="6" t="n">
        <v>8</v>
      </c>
      <c r="M1989" s="2" t="n"/>
      <c r="N1989" s="7" t="n">
        <v>0</v>
      </c>
      <c r="O1989" s="4" t="n"/>
      <c r="P1989" s="2" t="inlineStr">
        <is>
          <t>45500000</t>
        </is>
      </c>
      <c r="Q1989" s="8" t="inlineStr">
        <is>
          <t>Ver</t>
        </is>
      </c>
      <c r="R1989" s="8" t="inlineStr">
        <is>
          <t>PCAP</t>
        </is>
      </c>
      <c r="S1989" s="9" t="n">
        <v>46310</v>
      </c>
      <c r="T1989" s="3" t="n">
        <v>46302.5552662037</v>
      </c>
      <c r="U1989" s="2" t="n"/>
    </row>
    <row r="1990">
      <c r="A1990" s="2" t="inlineStr">
        <is>
          <t>Resuelta</t>
        </is>
      </c>
      <c r="B1990" s="3" t="n">
        <v>46294.41666666666</v>
      </c>
      <c r="C1990" s="5" t="n">
        <v>63000</v>
      </c>
      <c r="D1990" s="5" t="n">
        <v>63000</v>
      </c>
      <c r="E1990" s="2" t="inlineStr">
        <is>
          <t>Andalucía</t>
        </is>
      </c>
      <c r="F1990" s="2" t="inlineStr">
        <is>
          <t>Huelva</t>
        </is>
      </c>
      <c r="G1990" s="2" t="n"/>
      <c r="H1990" s="2" t="inlineStr">
        <is>
          <t>Empresa de Transformación Agraria S.A.,S.M.E., M.P., (TRAGSA)</t>
        </is>
      </c>
      <c r="I199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90" s="2" t="inlineStr">
        <is>
          <t>TSA0080057-259</t>
        </is>
      </c>
      <c r="K1990" s="2" t="inlineStr">
        <is>
          <t>Abierto</t>
        </is>
      </c>
      <c r="L1990" s="6" t="n">
        <v>8</v>
      </c>
      <c r="M1990" s="2" t="n"/>
      <c r="N1990" s="7" t="n">
        <v>0</v>
      </c>
      <c r="O1990" s="4" t="n"/>
      <c r="P1990" s="2" t="inlineStr">
        <is>
          <t>45500000</t>
        </is>
      </c>
      <c r="Q1990" s="8" t="inlineStr">
        <is>
          <t>Ver</t>
        </is>
      </c>
      <c r="R1990" s="8" t="inlineStr">
        <is>
          <t>PCAP</t>
        </is>
      </c>
      <c r="S1990" s="9" t="n">
        <v>46310</v>
      </c>
      <c r="T1990" s="3" t="n">
        <v>46302.55335648148</v>
      </c>
      <c r="U1990" s="2" t="n"/>
    </row>
    <row r="1991">
      <c r="A1991" s="2" t="inlineStr">
        <is>
          <t>Pendiente de adjudicación</t>
        </is>
      </c>
      <c r="B1991" s="3" t="n">
        <v>46301.58333333334</v>
      </c>
      <c r="C1991" s="5" t="n">
        <v>59476.8</v>
      </c>
      <c r="D1991" s="5" t="n">
        <v>59476.8</v>
      </c>
      <c r="E1991" s="2" t="inlineStr">
        <is>
          <t>Comunitat Valenciana</t>
        </is>
      </c>
      <c r="F1991" s="2" t="inlineStr">
        <is>
          <t>Valencia</t>
        </is>
      </c>
      <c r="G1991" s="2" t="n"/>
      <c r="H1991" s="2" t="inlineStr">
        <is>
          <t>Alcaldía del Ayuntamiento de Alfarrasí</t>
        </is>
      </c>
      <c r="I1991" s="2" t="inlineStr">
        <is>
          <t>Reforma de inmueble existente para cambio de uso a Centre Jove</t>
        </is>
      </c>
      <c r="J1991" s="2" t="inlineStr">
        <is>
          <t>2440095X</t>
        </is>
      </c>
      <c r="K1991" s="2" t="inlineStr">
        <is>
          <t>Abierto simplificado</t>
        </is>
      </c>
      <c r="L1991" s="6" t="n">
        <v>6</v>
      </c>
      <c r="M1991" s="2" t="n"/>
      <c r="N1991" s="7" t="n"/>
      <c r="O1991" s="4" t="n"/>
      <c r="P1991" s="2" t="inlineStr">
        <is>
          <t>45000000; 45212000; 45210000</t>
        </is>
      </c>
      <c r="Q1991" s="8" t="inlineStr">
        <is>
          <t>Ver</t>
        </is>
      </c>
      <c r="R1991" s="8" t="inlineStr">
        <is>
          <t>PCAP</t>
        </is>
      </c>
      <c r="S1991" s="9" t="n">
        <v>46310</v>
      </c>
      <c r="T1991" s="3" t="n">
        <v>46302.55328703704</v>
      </c>
      <c r="U1991" s="2" t="n"/>
    </row>
    <row r="1992">
      <c r="A1992" s="2" t="inlineStr">
        <is>
          <t>Pendiente de adjudicación</t>
        </is>
      </c>
      <c r="B1992" s="3" t="n">
        <v>46288.99930555555</v>
      </c>
      <c r="C1992" s="5" t="n">
        <v>396694.21</v>
      </c>
      <c r="D1992" s="5" t="n">
        <v>396694.21</v>
      </c>
      <c r="E1992" s="2" t="inlineStr">
        <is>
          <t>Andalucía</t>
        </is>
      </c>
      <c r="F1992" s="2" t="inlineStr">
        <is>
          <t>Granada</t>
        </is>
      </c>
      <c r="G1992" s="2" t="inlineStr">
        <is>
          <t>SANTA FE</t>
        </is>
      </c>
      <c r="H1992" s="2" t="inlineStr">
        <is>
          <t>Presidencia de la Diputación Provincial de Granada</t>
        </is>
      </c>
      <c r="I1992" s="2" t="inlineStr">
        <is>
          <t>2025/4/CUART-1 "Santa Fe, proyecto de reforma de cuartel del Guardia Civil"</t>
        </is>
      </c>
      <c r="J1992" s="2" t="inlineStr">
        <is>
          <t>OB-034/26</t>
        </is>
      </c>
      <c r="K1992" s="2" t="inlineStr">
        <is>
          <t>Abierto simplificado</t>
        </is>
      </c>
      <c r="L1992" s="6" t="n">
        <v>8</v>
      </c>
      <c r="M1992" s="2" t="inlineStr">
        <is>
          <t>C*-3</t>
        </is>
      </c>
      <c r="N1992" s="7" t="n">
        <v>0</v>
      </c>
      <c r="O1992" s="4" t="n"/>
      <c r="P1992" s="2" t="inlineStr">
        <is>
          <t>45262700; 45453100; 45210000; 45300000</t>
        </is>
      </c>
      <c r="Q1992" s="8" t="inlineStr">
        <is>
          <t>Ver</t>
        </is>
      </c>
      <c r="R1992" s="8" t="inlineStr">
        <is>
          <t>PCAP</t>
        </is>
      </c>
      <c r="S1992" s="9" t="n">
        <v>46310</v>
      </c>
      <c r="T1992" s="3" t="n">
        <v>46302.55269675926</v>
      </c>
      <c r="U1992" s="2" t="n"/>
    </row>
    <row r="1993">
      <c r="A1993" s="2" t="inlineStr">
        <is>
          <t>Resuelta</t>
        </is>
      </c>
      <c r="B1993" s="3" t="n">
        <v>46202.99930555555</v>
      </c>
      <c r="C1993" s="5" t="n">
        <v>82644.63</v>
      </c>
      <c r="D1993" s="5" t="n">
        <v>82644.63</v>
      </c>
      <c r="E1993" s="2" t="inlineStr">
        <is>
          <t>Andalucía</t>
        </is>
      </c>
      <c r="F1993" s="2" t="inlineStr">
        <is>
          <t>Córdoba</t>
        </is>
      </c>
      <c r="G1993" s="2" t="n"/>
      <c r="H1993" s="2" t="inlineStr">
        <is>
          <t>Diputado delegado de Infraestructuras, Sostenibilidad y Agricultura</t>
        </is>
      </c>
      <c r="I1993" s="2" t="inlineStr">
        <is>
          <t>Contrato de obra de mejora de accesibilidad de instalaciones deportivas de la piscina municipal en Adamuz (Córdoba). Obra incluida en el Plan de Humanización de Entornos Urbanos y Agenda Rural 2024-2027</t>
        </is>
      </c>
      <c r="J1993" s="2" t="inlineStr">
        <is>
          <t>376/26</t>
        </is>
      </c>
      <c r="K1993" s="2" t="inlineStr">
        <is>
          <t>Abierto</t>
        </is>
      </c>
      <c r="L1993" s="6" t="n">
        <v>3</v>
      </c>
      <c r="M1993" s="2" t="n"/>
      <c r="N1993" s="7" t="n">
        <v>0.25</v>
      </c>
      <c r="O1993" s="4" t="n"/>
      <c r="P1993" s="2" t="inlineStr">
        <is>
          <t>45200000</t>
        </is>
      </c>
      <c r="Q1993" s="8" t="inlineStr">
        <is>
          <t>Ver</t>
        </is>
      </c>
      <c r="R1993" s="8" t="inlineStr">
        <is>
          <t>PCAP</t>
        </is>
      </c>
      <c r="S1993" s="9" t="n">
        <v>46310</v>
      </c>
      <c r="T1993" s="3" t="n">
        <v>46302.55195601852</v>
      </c>
      <c r="U1993" s="2" t="n"/>
    </row>
    <row r="1994">
      <c r="A1994" s="2" t="inlineStr">
        <is>
          <t>Resuelta</t>
        </is>
      </c>
      <c r="B1994" s="3" t="n">
        <v>46294.41666666666</v>
      </c>
      <c r="C1994" s="5" t="n">
        <v>63000</v>
      </c>
      <c r="D1994" s="5" t="n">
        <v>63000</v>
      </c>
      <c r="E1994" s="2" t="inlineStr">
        <is>
          <t>Andalucía</t>
        </is>
      </c>
      <c r="F1994" s="2" t="inlineStr">
        <is>
          <t>Huelva</t>
        </is>
      </c>
      <c r="G1994" s="2" t="n"/>
      <c r="H1994" s="2" t="inlineStr">
        <is>
          <t>Empresa de Transformación Agraria S.A.,S.M.E., M.P., (TRAGSA)</t>
        </is>
      </c>
      <c r="I199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94" s="2" t="inlineStr">
        <is>
          <t>TSA0080057-258</t>
        </is>
      </c>
      <c r="K1994" s="2" t="inlineStr">
        <is>
          <t>Abierto</t>
        </is>
      </c>
      <c r="L1994" s="6" t="n">
        <v>8</v>
      </c>
      <c r="M1994" s="2" t="n"/>
      <c r="N1994" s="7" t="n">
        <v>0</v>
      </c>
      <c r="O1994" s="4" t="n"/>
      <c r="P1994" s="2" t="inlineStr">
        <is>
          <t>45500000</t>
        </is>
      </c>
      <c r="Q1994" s="8" t="inlineStr">
        <is>
          <t>Ver</t>
        </is>
      </c>
      <c r="R1994" s="8" t="inlineStr">
        <is>
          <t>PCAP</t>
        </is>
      </c>
      <c r="S1994" s="9" t="n">
        <v>46310</v>
      </c>
      <c r="T1994" s="3" t="n">
        <v>46302.55006944444</v>
      </c>
      <c r="U1994" s="2" t="n"/>
    </row>
    <row r="1995">
      <c r="A1995" s="2" t="inlineStr">
        <is>
          <t>En plazo</t>
        </is>
      </c>
      <c r="B1995" s="3" t="n">
        <v>48099.58333333334</v>
      </c>
      <c r="C1995" s="5" t="n">
        <v>3000000</v>
      </c>
      <c r="D1995" s="5" t="n">
        <v>3000000</v>
      </c>
      <c r="E1995" s="2" t="inlineStr">
        <is>
          <t>Andalucía</t>
        </is>
      </c>
      <c r="F1995" s="2" t="inlineStr">
        <is>
          <t>Córdoba</t>
        </is>
      </c>
      <c r="G1995" s="2" t="inlineStr">
        <is>
          <t>Córdoba</t>
        </is>
      </c>
      <c r="H1995" s="2" t="inlineStr">
        <is>
          <t>Consejo de Administración de la Empresa Municipal de Aguas de Córdoba, S.A. (EMACSA)</t>
        </is>
      </c>
      <c r="I1995" s="2" t="inlineStr">
        <is>
          <t>Sistema dinámico de adquisición de obras en redes e instalaciones para la Empresa Municipal de Aguas de Córdoba, S.A.</t>
        </is>
      </c>
      <c r="J1995" s="2" t="inlineStr">
        <is>
          <t>SDA32/2026</t>
        </is>
      </c>
      <c r="K1995" s="2" t="inlineStr">
        <is>
          <t>Restringido</t>
        </is>
      </c>
      <c r="L1995" s="6" t="n"/>
      <c r="M1995" s="2" t="n"/>
      <c r="N1995" s="7" t="n">
        <v>0</v>
      </c>
      <c r="O1995" s="4" t="n">
        <v>2</v>
      </c>
      <c r="P1995" s="2" t="inlineStr">
        <is>
          <t>45231110; 45232152; 45252100; 45231300; 45232423; 45232411; 45252120; 45232150; 45232400; 45232410; 45232151</t>
        </is>
      </c>
      <c r="Q1995" s="8" t="inlineStr">
        <is>
          <t>Ver</t>
        </is>
      </c>
      <c r="R1995" s="8" t="inlineStr">
        <is>
          <t>PCAP</t>
        </is>
      </c>
      <c r="S1995" s="9" t="n">
        <v>46310</v>
      </c>
      <c r="T1995" s="3" t="n">
        <v>46302.54614583333</v>
      </c>
      <c r="U1995" s="2" t="n"/>
    </row>
    <row r="1996">
      <c r="A1996" s="2" t="inlineStr">
        <is>
          <t>Plazo vencido</t>
        </is>
      </c>
      <c r="B1996" s="3" t="n">
        <v>46323.58333333334</v>
      </c>
      <c r="C1996" s="5" t="n">
        <v>235206.8</v>
      </c>
      <c r="D1996" s="5" t="n">
        <v>235206.8</v>
      </c>
      <c r="E1996" s="2" t="inlineStr">
        <is>
          <t>Comunitat Valenciana</t>
        </is>
      </c>
      <c r="F1996" s="2" t="inlineStr">
        <is>
          <t>Valencia</t>
        </is>
      </c>
      <c r="G1996" s="2" t="n"/>
      <c r="H1996" s="2" t="inlineStr">
        <is>
          <t>Empresa de Transformación Agraria S.A.,S.M.E., M.P., (TRAGSA)</t>
        </is>
      </c>
      <c r="I1996" s="2" t="inlineStr">
        <is>
          <t>UT2 Obras de asfaltado mediante mezclas bituminosas en caliente para el proyecto de obras ambientales y de modernización de Regadíos de la Acequia Real del Júcar. redes de distribución sectores 26 y 33. TT.MM. de Alginet, Algemesí y Sollana (Valencia).</t>
        </is>
      </c>
      <c r="J1996" s="2" t="inlineStr">
        <is>
          <t>TSA0084229</t>
        </is>
      </c>
      <c r="K1996" s="2" t="inlineStr">
        <is>
          <t>Abierto simplificado</t>
        </is>
      </c>
      <c r="L1996" s="6" t="n">
        <v>12</v>
      </c>
      <c r="M1996" s="2" t="inlineStr">
        <is>
          <t>G4-2</t>
        </is>
      </c>
      <c r="N1996" s="7" t="n">
        <v>0</v>
      </c>
      <c r="O1996" s="4" t="n"/>
      <c r="P1996" s="2" t="inlineStr">
        <is>
          <t>45233222</t>
        </is>
      </c>
      <c r="Q1996" s="8" t="inlineStr">
        <is>
          <t>Ver</t>
        </is>
      </c>
      <c r="R1996" s="8" t="inlineStr">
        <is>
          <t>PCAP</t>
        </is>
      </c>
      <c r="S1996" s="9" t="n">
        <v>46310</v>
      </c>
      <c r="T1996" s="3" t="n">
        <v>46302.54582175926</v>
      </c>
      <c r="U1996" s="2" t="n"/>
    </row>
    <row r="1997">
      <c r="A1997" s="2" t="inlineStr">
        <is>
          <t>Plazo vencido</t>
        </is>
      </c>
      <c r="B1997" s="3" t="n">
        <v>46322.99930555555</v>
      </c>
      <c r="C1997" s="5" t="n">
        <v>1408264.46</v>
      </c>
      <c r="D1997" s="5" t="n">
        <v>1408264.46</v>
      </c>
      <c r="E1997" s="2" t="inlineStr">
        <is>
          <t>Andalucía</t>
        </is>
      </c>
      <c r="F1997" s="2" t="inlineStr">
        <is>
          <t>Almería</t>
        </is>
      </c>
      <c r="G1997" s="2" t="n"/>
      <c r="H1997" s="2" t="inlineStr">
        <is>
          <t>Junta de Gobierno de la Diputación Provincial de Almería</t>
        </is>
      </c>
      <c r="I1997" s="2" t="inlineStr">
        <is>
          <t>Obras De Urbanización Para Un Complejo Deportivo. Vera 72PPOS24-27BI</t>
        </is>
      </c>
      <c r="J1997" s="2" t="inlineStr">
        <is>
          <t>2026/D31000/006-013/00078</t>
        </is>
      </c>
      <c r="K1997" s="2" t="inlineStr">
        <is>
          <t>Abierto simplificado</t>
        </is>
      </c>
      <c r="L1997" s="6" t="n">
        <v>12.2</v>
      </c>
      <c r="M1997" s="2" t="inlineStr">
        <is>
          <t>G6-4</t>
        </is>
      </c>
      <c r="N1997" s="7" t="n">
        <v>0.25</v>
      </c>
      <c r="O1997" s="4" t="n"/>
      <c r="P1997" s="2" t="inlineStr">
        <is>
          <t>45233200</t>
        </is>
      </c>
      <c r="Q1997" s="8" t="inlineStr">
        <is>
          <t>Ver</t>
        </is>
      </c>
      <c r="R1997" s="8" t="inlineStr">
        <is>
          <t>PCAP</t>
        </is>
      </c>
      <c r="S1997" s="9" t="n">
        <v>46310</v>
      </c>
      <c r="T1997" s="3" t="n">
        <v>46302.53921296296</v>
      </c>
      <c r="U1997" s="2" t="n"/>
    </row>
    <row r="1998">
      <c r="A1998" s="2" t="inlineStr">
        <is>
          <t>Resuelta</t>
        </is>
      </c>
      <c r="B1998" s="3" t="n">
        <v>46294.41666666666</v>
      </c>
      <c r="C1998" s="5" t="n">
        <v>63000</v>
      </c>
      <c r="D1998" s="5" t="n">
        <v>63000</v>
      </c>
      <c r="E1998" s="2" t="inlineStr">
        <is>
          <t>Andalucía</t>
        </is>
      </c>
      <c r="F1998" s="2" t="inlineStr">
        <is>
          <t>Huelva</t>
        </is>
      </c>
      <c r="G1998" s="2" t="n"/>
      <c r="H1998" s="2" t="inlineStr">
        <is>
          <t>Empresa de Transformación Agraria S.A.,S.M.E., M.P., (TRAGSA)</t>
        </is>
      </c>
      <c r="I199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98" s="2" t="inlineStr">
        <is>
          <t>TSA0080057-257</t>
        </is>
      </c>
      <c r="K1998" s="2" t="inlineStr">
        <is>
          <t>Abierto</t>
        </is>
      </c>
      <c r="L1998" s="6" t="n">
        <v>8</v>
      </c>
      <c r="M1998" s="2" t="n"/>
      <c r="N1998" s="7" t="n">
        <v>0</v>
      </c>
      <c r="O1998" s="4" t="n"/>
      <c r="P1998" s="2" t="inlineStr">
        <is>
          <t>45500000</t>
        </is>
      </c>
      <c r="Q1998" s="8" t="inlineStr">
        <is>
          <t>Ver</t>
        </is>
      </c>
      <c r="R1998" s="8" t="inlineStr">
        <is>
          <t>PCAP</t>
        </is>
      </c>
      <c r="S1998" s="9" t="n">
        <v>46310</v>
      </c>
      <c r="T1998" s="3" t="n">
        <v>46302.53783564815</v>
      </c>
      <c r="U1998" s="2" t="n"/>
    </row>
    <row r="1999">
      <c r="A1999" s="2" t="inlineStr">
        <is>
          <t>Resuelta</t>
        </is>
      </c>
      <c r="B1999" s="3" t="n">
        <v>46294.41666666666</v>
      </c>
      <c r="C1999" s="5" t="n">
        <v>63000</v>
      </c>
      <c r="D1999" s="5" t="n">
        <v>63000</v>
      </c>
      <c r="E1999" s="2" t="inlineStr">
        <is>
          <t>Andalucía</t>
        </is>
      </c>
      <c r="F1999" s="2" t="inlineStr">
        <is>
          <t>Huelva</t>
        </is>
      </c>
      <c r="G1999" s="2" t="n"/>
      <c r="H1999" s="2" t="inlineStr">
        <is>
          <t>Empresa de Transformación Agraria S.A.,S.M.E., M.P., (TRAGSA)</t>
        </is>
      </c>
      <c r="I199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99" s="2" t="inlineStr">
        <is>
          <t>TSA0080057-256</t>
        </is>
      </c>
      <c r="K1999" s="2" t="inlineStr">
        <is>
          <t>Abierto</t>
        </is>
      </c>
      <c r="L1999" s="6" t="n">
        <v>8</v>
      </c>
      <c r="M1999" s="2" t="n"/>
      <c r="N1999" s="7" t="n">
        <v>0</v>
      </c>
      <c r="O1999" s="4" t="n"/>
      <c r="P1999" s="2" t="inlineStr">
        <is>
          <t>45500000</t>
        </is>
      </c>
      <c r="Q1999" s="8" t="inlineStr">
        <is>
          <t>Ver</t>
        </is>
      </c>
      <c r="R1999" s="8" t="inlineStr">
        <is>
          <t>PCAP</t>
        </is>
      </c>
      <c r="S1999" s="9" t="n">
        <v>46310</v>
      </c>
      <c r="T1999" s="3" t="n">
        <v>46302.53592592593</v>
      </c>
      <c r="U1999" s="2" t="n"/>
    </row>
    <row r="2000">
      <c r="A2000" s="2" t="inlineStr">
        <is>
          <t>Resuelta</t>
        </is>
      </c>
      <c r="B2000" s="3" t="n">
        <v>46294.41666666666</v>
      </c>
      <c r="C2000" s="5" t="n">
        <v>63000</v>
      </c>
      <c r="D2000" s="5" t="n">
        <v>63000</v>
      </c>
      <c r="E2000" s="2" t="inlineStr">
        <is>
          <t>Andalucía</t>
        </is>
      </c>
      <c r="F2000" s="2" t="inlineStr">
        <is>
          <t>Huelva</t>
        </is>
      </c>
      <c r="G2000" s="2" t="n"/>
      <c r="H2000" s="2" t="inlineStr">
        <is>
          <t>Empresa de Transformación Agraria S.A.,S.M.E., M.P., (TRAGSA)</t>
        </is>
      </c>
      <c r="I200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000" s="2" t="inlineStr">
        <is>
          <t>TSA0080057-255</t>
        </is>
      </c>
      <c r="K2000" s="2" t="inlineStr">
        <is>
          <t>Abierto</t>
        </is>
      </c>
      <c r="L2000" s="6" t="n">
        <v>8</v>
      </c>
      <c r="M2000" s="2" t="n"/>
      <c r="N2000" s="7" t="n">
        <v>0</v>
      </c>
      <c r="O2000" s="4" t="n"/>
      <c r="P2000" s="2" t="inlineStr">
        <is>
          <t>45500000</t>
        </is>
      </c>
      <c r="Q2000" s="8" t="inlineStr">
        <is>
          <t>Ver</t>
        </is>
      </c>
      <c r="R2000" s="8" t="inlineStr">
        <is>
          <t>PCAP</t>
        </is>
      </c>
      <c r="S2000" s="9" t="n">
        <v>46310</v>
      </c>
      <c r="T2000" s="3" t="n">
        <v>46302.53444444444</v>
      </c>
      <c r="U2000" s="2" t="n"/>
    </row>
    <row r="2001">
      <c r="A2001" s="2" t="inlineStr">
        <is>
          <t>Pendiente de adjudicación</t>
        </is>
      </c>
      <c r="B2001" s="3" t="n">
        <v>46206.99930555555</v>
      </c>
      <c r="C2001" s="5" t="n">
        <v>2120367.12</v>
      </c>
      <c r="D2001" s="5" t="n">
        <v>2120367.12</v>
      </c>
      <c r="E2001" s="2" t="inlineStr">
        <is>
          <t>Comunitat Valenciana</t>
        </is>
      </c>
      <c r="F2001" s="2" t="inlineStr">
        <is>
          <t>Alicante</t>
        </is>
      </c>
      <c r="G2001" s="2" t="inlineStr">
        <is>
          <t>Xixona</t>
        </is>
      </c>
      <c r="H2001" s="2" t="inlineStr">
        <is>
          <t>Junta de Gobierno del Ayuntamiento de Xixona</t>
        </is>
      </c>
      <c r="I2001" s="2" t="inlineStr">
        <is>
          <t>Ejecución de las obras de "consolidación estructural del edificio de la Casa Aracil" dentro del Plan de Recuperación, Transformación y Resiliencia - Financiado por la Unión Europea - Next generationEU.</t>
        </is>
      </c>
      <c r="J2001" s="2" t="inlineStr">
        <is>
          <t>2026/501</t>
        </is>
      </c>
      <c r="K2001" s="2" t="inlineStr">
        <is>
          <t>Abierto</t>
        </is>
      </c>
      <c r="L2001" s="6" t="n">
        <v>15</v>
      </c>
      <c r="M2001" s="2" t="inlineStr">
        <is>
          <t>K7-3; C3-3</t>
        </is>
      </c>
      <c r="N2001" s="7" t="n">
        <v>0</v>
      </c>
      <c r="O2001" s="4" t="n"/>
      <c r="P2001" s="2" t="inlineStr">
        <is>
          <t>45454000; 45454100; 45212350</t>
        </is>
      </c>
      <c r="Q2001" s="8" t="inlineStr">
        <is>
          <t>Ver</t>
        </is>
      </c>
      <c r="R2001" s="8" t="inlineStr">
        <is>
          <t>PCAP</t>
        </is>
      </c>
      <c r="S2001" s="9" t="n">
        <v>46310</v>
      </c>
      <c r="T2001" s="3" t="n">
        <v>46302.53166666667</v>
      </c>
      <c r="U2001" s="2" t="n"/>
    </row>
    <row r="2002">
      <c r="A2002" s="2" t="inlineStr">
        <is>
          <t>Resuelta</t>
        </is>
      </c>
      <c r="B2002" s="3" t="n">
        <v>46218.99930555555</v>
      </c>
      <c r="C2002" s="5" t="n">
        <v>48702.4</v>
      </c>
      <c r="D2002" s="5" t="n">
        <v>48702.4</v>
      </c>
      <c r="E2002" s="2" t="inlineStr">
        <is>
          <t>Andalucía</t>
        </is>
      </c>
      <c r="F2002" s="2" t="inlineStr">
        <is>
          <t>Córdoba</t>
        </is>
      </c>
      <c r="G2002" s="2" t="n"/>
      <c r="H2002" s="2" t="inlineStr">
        <is>
          <t>Diputado delegado de Infraestructuras, Sostenibilidad y Agricultura</t>
        </is>
      </c>
      <c r="I2002" s="2" t="inlineStr">
        <is>
          <t>Contratación de la obra Nuevo pavimento de césped artificial sobre pista de futbito en Céspedes, en Hornachuelos (Córdoba). Obra incluida en el Plan de Aldeas 2024-2027.</t>
        </is>
      </c>
      <c r="J2002" s="2" t="inlineStr">
        <is>
          <t>390/26 BIS</t>
        </is>
      </c>
      <c r="K2002" s="2" t="inlineStr">
        <is>
          <t>Abierto simplificado</t>
        </is>
      </c>
      <c r="L2002" s="6" t="n">
        <v>3</v>
      </c>
      <c r="M2002" s="2" t="n"/>
      <c r="N2002" s="7" t="n">
        <v>0</v>
      </c>
      <c r="O2002" s="4" t="n"/>
      <c r="P2002" s="2" t="inlineStr">
        <is>
          <t>45212200; 45450000</t>
        </is>
      </c>
      <c r="Q2002" s="8" t="inlineStr">
        <is>
          <t>Ver</t>
        </is>
      </c>
      <c r="R2002" s="8" t="inlineStr">
        <is>
          <t>PCAP</t>
        </is>
      </c>
      <c r="S2002" s="9" t="n">
        <v>46310</v>
      </c>
      <c r="T2002" s="3" t="n">
        <v>46302.5296875</v>
      </c>
      <c r="U2002" s="2" t="n"/>
    </row>
    <row r="2003">
      <c r="A2003" s="2" t="inlineStr">
        <is>
          <t>Resuelta</t>
        </is>
      </c>
      <c r="B2003" s="3" t="n">
        <v>46238.99930555555</v>
      </c>
      <c r="C2003" s="5" t="n">
        <v>149910.14</v>
      </c>
      <c r="D2003" s="5" t="n">
        <v>149910.14</v>
      </c>
      <c r="E2003" s="2" t="inlineStr">
        <is>
          <t>Comunitat Valenciana</t>
        </is>
      </c>
      <c r="F2003" s="2" t="inlineStr">
        <is>
          <t>Alicante</t>
        </is>
      </c>
      <c r="G2003" s="2" t="inlineStr">
        <is>
          <t>Novelda</t>
        </is>
      </c>
      <c r="H2003" s="2" t="inlineStr">
        <is>
          <t>Junta de Gobierno del Ayuntamiento de Novelda</t>
        </is>
      </c>
      <c r="I2003" s="2" t="inlineStr">
        <is>
          <t>Construcción de Nuevos Nichos y Columbarios en el Cementerio Municipal de Novelda</t>
        </is>
      </c>
      <c r="J2003" s="2" t="inlineStr">
        <is>
          <t>2026/5296L</t>
        </is>
      </c>
      <c r="K2003" s="2" t="inlineStr">
        <is>
          <t>Abierto simplificado</t>
        </is>
      </c>
      <c r="L2003" s="6" t="n">
        <v>3</v>
      </c>
      <c r="M2003" s="2" t="n"/>
      <c r="N2003" s="7" t="n">
        <v>0</v>
      </c>
      <c r="O2003" s="4" t="n"/>
      <c r="P2003" s="2" t="inlineStr">
        <is>
          <t>45223820; 45215400</t>
        </is>
      </c>
      <c r="Q2003" s="8" t="inlineStr">
        <is>
          <t>Ver</t>
        </is>
      </c>
      <c r="R2003" s="8" t="inlineStr">
        <is>
          <t>PCAP</t>
        </is>
      </c>
      <c r="S2003" s="9" t="n">
        <v>46310</v>
      </c>
      <c r="T2003" s="3" t="n">
        <v>46302.52868055556</v>
      </c>
      <c r="U2003" s="2" t="n"/>
    </row>
    <row r="2004">
      <c r="A2004" s="2" t="inlineStr">
        <is>
          <t>En plazo</t>
        </is>
      </c>
      <c r="B2004" s="3" t="n">
        <v>46332.99930555555</v>
      </c>
      <c r="C2004" s="5" t="n">
        <v>1089694.08</v>
      </c>
      <c r="D2004" s="5" t="n">
        <v>1089694.08</v>
      </c>
      <c r="E2004" s="2" t="inlineStr">
        <is>
          <t>Andalucía</t>
        </is>
      </c>
      <c r="F2004" s="2" t="inlineStr">
        <is>
          <t>Sevilla</t>
        </is>
      </c>
      <c r="G2004" s="2" t="n"/>
      <c r="H2004" s="2" t="inlineStr">
        <is>
          <t>Alcaldia del Ayuntamiento de San Nicolás del Puerto</t>
        </is>
      </c>
      <c r="I2004" s="2" t="inlineStr">
        <is>
          <t>PAS. Construcción de Piscina Municipal y de vesturarios en San Nicolás del Puerto. Plan ACTUA 2022 Diputación.</t>
        </is>
      </c>
      <c r="J2004" s="2" t="inlineStr">
        <is>
          <t>P4108800F-2026/000032-PAAS</t>
        </is>
      </c>
      <c r="K2004" s="2" t="inlineStr">
        <is>
          <t>Abierto simplificado</t>
        </is>
      </c>
      <c r="L2004" s="6" t="n">
        <v>10</v>
      </c>
      <c r="M2004" s="2" t="inlineStr">
        <is>
          <t>C6-6; C*-4; C4-4</t>
        </is>
      </c>
      <c r="N2004" s="7" t="n">
        <v>0</v>
      </c>
      <c r="O2004" s="4" t="n"/>
      <c r="P2004" s="2" t="inlineStr">
        <is>
          <t>45000000</t>
        </is>
      </c>
      <c r="Q2004" s="8" t="inlineStr">
        <is>
          <t>Ver</t>
        </is>
      </c>
      <c r="R2004" s="8" t="inlineStr">
        <is>
          <t>PCAP</t>
        </is>
      </c>
      <c r="S2004" s="9" t="n">
        <v>46310</v>
      </c>
      <c r="T2004" s="3" t="n">
        <v>46302.52152777778</v>
      </c>
      <c r="U2004" s="2" t="n"/>
    </row>
    <row r="2005">
      <c r="A2005" s="2" t="inlineStr">
        <is>
          <t>Resuelta</t>
        </is>
      </c>
      <c r="B2005" s="3" t="n">
        <v>46232.99930555555</v>
      </c>
      <c r="C2005" s="5" t="n">
        <v>95200</v>
      </c>
      <c r="D2005" s="5" t="n">
        <v>95200</v>
      </c>
      <c r="E2005" s="2" t="inlineStr">
        <is>
          <t>Andalucía</t>
        </is>
      </c>
      <c r="F2005" s="2" t="inlineStr">
        <is>
          <t>Cádiz</t>
        </is>
      </c>
      <c r="G2005" s="2" t="inlineStr">
        <is>
          <t>Chipiona</t>
        </is>
      </c>
      <c r="H2005" s="2" t="inlineStr">
        <is>
          <t>Alcaldía del Ayuntamiento de Chipiona</t>
        </is>
      </c>
      <c r="I2005" s="2" t="inlineStr">
        <is>
          <t>Obras de "Sustitución de Material de cubrición de la cubierta de la Piscina Municipal</t>
        </is>
      </c>
      <c r="J2005" s="2" t="inlineStr">
        <is>
          <t>4867 PAS Obras cubierta Piscina</t>
        </is>
      </c>
      <c r="K2005" s="2" t="inlineStr">
        <is>
          <t>Abierto simplificado</t>
        </is>
      </c>
      <c r="L2005" s="6" t="n">
        <v>3</v>
      </c>
      <c r="M2005" s="2" t="n"/>
      <c r="N2005" s="7" t="n">
        <v>0</v>
      </c>
      <c r="O2005" s="4" t="n"/>
      <c r="P2005" s="2" t="inlineStr">
        <is>
          <t>45212212; 39522100; 45261000</t>
        </is>
      </c>
      <c r="Q2005" s="8" t="inlineStr">
        <is>
          <t>Ver</t>
        </is>
      </c>
      <c r="R2005" s="8" t="inlineStr">
        <is>
          <t>PCAP</t>
        </is>
      </c>
      <c r="S2005" s="9" t="n">
        <v>46310</v>
      </c>
      <c r="T2005" s="3" t="n">
        <v>46302.52120370371</v>
      </c>
      <c r="U2005" s="2" t="n"/>
    </row>
    <row r="2006">
      <c r="A2006" s="2" t="inlineStr">
        <is>
          <t>Plazo vencido</t>
        </is>
      </c>
      <c r="B2006" s="3" t="n">
        <v>46322.58333333334</v>
      </c>
      <c r="C2006" s="5" t="n">
        <v>385429.12</v>
      </c>
      <c r="D2006" s="5" t="n">
        <v>385429.12</v>
      </c>
      <c r="E2006" s="2" t="inlineStr">
        <is>
          <t>Andalucía</t>
        </is>
      </c>
      <c r="F2006" s="2" t="inlineStr">
        <is>
          <t>Cádiz</t>
        </is>
      </c>
      <c r="G2006" s="2" t="n"/>
      <c r="H2006" s="2" t="inlineStr">
        <is>
          <t>Presidencia de la Autoridad Portuaria de la Bahía de Algeciras</t>
        </is>
      </c>
      <c r="I2006" s="2" t="inlineStr">
        <is>
          <t>Proyecto básico y ejecución de mejora de sala de espera y redistribución de dependencias varias en Estación Marítima de Tarifa</t>
        </is>
      </c>
      <c r="J2006" s="2" t="inlineStr">
        <is>
          <t>2026-064</t>
        </is>
      </c>
      <c r="K2006" s="2" t="inlineStr">
        <is>
          <t>Abierto simplificado</t>
        </is>
      </c>
      <c r="L2006" s="6" t="n">
        <v>4</v>
      </c>
      <c r="M2006" s="2" t="inlineStr">
        <is>
          <t>C4-2</t>
        </is>
      </c>
      <c r="N2006" s="7" t="n">
        <v>0.25</v>
      </c>
      <c r="O2006" s="4" t="n"/>
      <c r="P2006" s="2" t="inlineStr">
        <is>
          <t>45453000; 45259900</t>
        </is>
      </c>
      <c r="Q2006" s="8" t="inlineStr">
        <is>
          <t>Ver</t>
        </is>
      </c>
      <c r="R2006" s="8" t="inlineStr">
        <is>
          <t>PCAP</t>
        </is>
      </c>
      <c r="S2006" s="9" t="n">
        <v>46310</v>
      </c>
      <c r="T2006" s="3" t="n">
        <v>46302.51771990741</v>
      </c>
      <c r="U2006" s="2" t="n"/>
    </row>
    <row r="2007">
      <c r="A2007" s="2" t="inlineStr">
        <is>
          <t>Resuelta</t>
        </is>
      </c>
      <c r="B2007" s="3" t="n">
        <v>46213.99930555555</v>
      </c>
      <c r="C2007" s="5" t="n">
        <v>245000</v>
      </c>
      <c r="D2007" s="5" t="n">
        <v>490000</v>
      </c>
      <c r="E2007" s="2" t="inlineStr">
        <is>
          <t>Andalucía</t>
        </is>
      </c>
      <c r="F2007" s="2" t="inlineStr">
        <is>
          <t>Córdoba</t>
        </is>
      </c>
      <c r="G2007" s="2" t="n"/>
      <c r="H2007" s="2" t="inlineStr">
        <is>
          <t>Presidencia del Consejo Rector de la Gerencia Municipal de Urbanismo del Ayuntamiento de Córdoba</t>
        </is>
      </c>
      <c r="I2007"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2007" s="2" t="inlineStr">
        <is>
          <t>27/2026</t>
        </is>
      </c>
      <c r="K2007" s="2" t="inlineStr">
        <is>
          <t>Negociado sin publicidad</t>
        </is>
      </c>
      <c r="L2007" s="6" t="n">
        <v>12</v>
      </c>
      <c r="M2007" s="2" t="n"/>
      <c r="N2007" s="7" t="n">
        <v>0</v>
      </c>
      <c r="O2007" s="4" t="n"/>
      <c r="P2007" s="2" t="inlineStr">
        <is>
          <t>45000000</t>
        </is>
      </c>
      <c r="Q2007" s="8" t="inlineStr">
        <is>
          <t>Ver</t>
        </is>
      </c>
      <c r="R2007" s="8" t="inlineStr">
        <is>
          <t>PCAP</t>
        </is>
      </c>
      <c r="S2007" s="9" t="n">
        <v>46310</v>
      </c>
      <c r="T2007" s="3" t="n">
        <v>46302.50761574074</v>
      </c>
      <c r="U2007" s="2" t="n"/>
    </row>
    <row r="2008">
      <c r="A2008" s="2" t="inlineStr">
        <is>
          <t>Plazo vencido</t>
        </is>
      </c>
      <c r="B2008" s="3" t="n">
        <v>46318.99930555555</v>
      </c>
      <c r="C2008" s="5" t="n">
        <v>76160</v>
      </c>
      <c r="D2008" s="5" t="n">
        <v>76160</v>
      </c>
      <c r="E2008" s="2" t="inlineStr">
        <is>
          <t>Comunitat Valenciana</t>
        </is>
      </c>
      <c r="F2008" s="2" t="inlineStr">
        <is>
          <t>Castellón</t>
        </is>
      </c>
      <c r="G2008" s="2" t="n"/>
      <c r="H2008" s="2" t="inlineStr">
        <is>
          <t>Alcaldía del Ayuntamiento de Segorbe</t>
        </is>
      </c>
      <c r="I2008" s="2" t="inlineStr">
        <is>
          <t>Obras de rehabilitación parcial de la Capilla de la Virgen de Gracia de Segorbe</t>
        </is>
      </c>
      <c r="J2008" s="2" t="inlineStr">
        <is>
          <t>245/2026</t>
        </is>
      </c>
      <c r="K2008" s="2" t="inlineStr">
        <is>
          <t>Abierto simplificado</t>
        </is>
      </c>
      <c r="L2008" s="6" t="n">
        <v>1</v>
      </c>
      <c r="M2008" s="2" t="n"/>
      <c r="N2008" s="7" t="n">
        <v>0</v>
      </c>
      <c r="O2008" s="4" t="n"/>
      <c r="P2008" s="2" t="inlineStr">
        <is>
          <t>45200000</t>
        </is>
      </c>
      <c r="Q2008" s="8" t="inlineStr">
        <is>
          <t>Ver</t>
        </is>
      </c>
      <c r="R2008" s="8" t="inlineStr">
        <is>
          <t>PCAP</t>
        </is>
      </c>
      <c r="S2008" s="9" t="n">
        <v>46310</v>
      </c>
      <c r="T2008" s="3" t="n">
        <v>46302.50759259259</v>
      </c>
      <c r="U2008" s="2" t="n"/>
    </row>
    <row r="2009">
      <c r="A2009" s="2" t="inlineStr">
        <is>
          <t>Pendiente de adjudicación</t>
        </is>
      </c>
      <c r="B2009" s="3" t="n">
        <v>46300.99930555555</v>
      </c>
      <c r="C2009" s="5" t="n">
        <v>421394.27</v>
      </c>
      <c r="D2009" s="5" t="n">
        <v>442463.98</v>
      </c>
      <c r="E2009" s="2" t="inlineStr">
        <is>
          <t>Andalucía</t>
        </is>
      </c>
      <c r="F2009" s="2" t="inlineStr">
        <is>
          <t>Sevilla</t>
        </is>
      </c>
      <c r="G2009" s="2" t="inlineStr">
        <is>
          <t>Sevilla</t>
        </is>
      </c>
      <c r="H2009" s="2" t="inlineStr">
        <is>
          <t>Junta de Gobierno del Ayuntamiento de Sevilla</t>
        </is>
      </c>
      <c r="I2009" s="2" t="inlineStr">
        <is>
          <t>Obras para revitalización de zona de educación infantil en el CEIP JOAQUÍN TURINA, ubicado en el Distrito Sur de Sevilla</t>
        </is>
      </c>
      <c r="J2009" s="2" t="inlineStr">
        <is>
          <t>2026/000848</t>
        </is>
      </c>
      <c r="K2009" s="2" t="inlineStr">
        <is>
          <t>Abierto simplificado</t>
        </is>
      </c>
      <c r="L2009" s="6" t="n">
        <v>6</v>
      </c>
      <c r="M2009" s="2" t="n"/>
      <c r="N2009" s="7" t="n">
        <v>0</v>
      </c>
      <c r="O2009" s="4" t="n"/>
      <c r="P2009" s="2" t="inlineStr">
        <is>
          <t>45000000</t>
        </is>
      </c>
      <c r="Q2009" s="8" t="inlineStr">
        <is>
          <t>Ver</t>
        </is>
      </c>
      <c r="R2009" s="8" t="inlineStr">
        <is>
          <t>PCAP</t>
        </is>
      </c>
      <c r="S2009" s="9" t="n">
        <v>46310</v>
      </c>
      <c r="T2009" s="3" t="n">
        <v>46302.50697916667</v>
      </c>
      <c r="U2009" s="2" t="n"/>
    </row>
    <row r="2010">
      <c r="A2010" s="2" t="inlineStr">
        <is>
          <t>Resuelta</t>
        </is>
      </c>
      <c r="B2010" s="3" t="n">
        <v>46259.99930555555</v>
      </c>
      <c r="C2010" s="5" t="n">
        <v>528633.86</v>
      </c>
      <c r="D2010" s="5" t="n">
        <v>528633.86</v>
      </c>
      <c r="E2010" s="2" t="inlineStr">
        <is>
          <t>Comunitat Valenciana</t>
        </is>
      </c>
      <c r="F2010" s="2" t="inlineStr">
        <is>
          <t>Valencia</t>
        </is>
      </c>
      <c r="G2010" s="2" t="n"/>
      <c r="H2010" s="2" t="inlineStr">
        <is>
          <t>Alcaldía del Ajuntament de Massamagrell</t>
        </is>
      </c>
      <c r="I2010" s="2" t="inlineStr">
        <is>
          <t>El objeto del contrato es la ejecución de las obras para la Reforma e instalación de la Cubierta del Trinquet, de acuerdo con las características técnicas indicadas en el proyecto de ejecución.</t>
        </is>
      </c>
      <c r="J2010" s="2" t="inlineStr">
        <is>
          <t>436/2026</t>
        </is>
      </c>
      <c r="K2010" s="2" t="inlineStr">
        <is>
          <t>Abierto simplificado</t>
        </is>
      </c>
      <c r="L2010" s="6" t="n">
        <v>7</v>
      </c>
      <c r="M2010" s="2" t="inlineStr">
        <is>
          <t>C3-3</t>
        </is>
      </c>
      <c r="N2010" s="7" t="n">
        <v>0</v>
      </c>
      <c r="O2010" s="4" t="n"/>
      <c r="P2010" s="2" t="inlineStr">
        <is>
          <t>45000000; 45200000; 45261000; 45260000</t>
        </is>
      </c>
      <c r="Q2010" s="8" t="inlineStr">
        <is>
          <t>Ver</t>
        </is>
      </c>
      <c r="R2010" s="8" t="inlineStr">
        <is>
          <t>PCAP</t>
        </is>
      </c>
      <c r="S2010" s="9" t="n">
        <v>46310</v>
      </c>
      <c r="T2010" s="3" t="n">
        <v>46302.50638888889</v>
      </c>
      <c r="U2010" s="2" t="n"/>
    </row>
    <row r="2011">
      <c r="A2011" s="2" t="inlineStr">
        <is>
          <t>Pendiente de adjudicación</t>
        </is>
      </c>
      <c r="B2011" s="3" t="n">
        <v>46300.99930555555</v>
      </c>
      <c r="C2011" s="5" t="n">
        <v>130216.51</v>
      </c>
      <c r="D2011" s="5" t="n">
        <v>136727.33</v>
      </c>
      <c r="E2011" s="2" t="inlineStr">
        <is>
          <t>Andalucía</t>
        </is>
      </c>
      <c r="F2011" s="2" t="inlineStr">
        <is>
          <t>Sevilla</t>
        </is>
      </c>
      <c r="G2011" s="2" t="inlineStr">
        <is>
          <t>Sevilla</t>
        </is>
      </c>
      <c r="H2011" s="2" t="inlineStr">
        <is>
          <t>Junta de Gobierno del Ayuntamiento de Sevilla</t>
        </is>
      </c>
      <c r="I2011" s="2" t="inlineStr">
        <is>
          <t>Obras de sustitución de carpintería exterior en el CEI SANTA CATALINA, ubicado en el Distrito Macarena de Sevilla</t>
        </is>
      </c>
      <c r="J2011" s="2" t="inlineStr">
        <is>
          <t>2026/000839</t>
        </is>
      </c>
      <c r="K2011" s="2" t="inlineStr">
        <is>
          <t>Abierto simplificado</t>
        </is>
      </c>
      <c r="L2011" s="6" t="n">
        <v>4</v>
      </c>
      <c r="M2011" s="2" t="n"/>
      <c r="N2011" s="7" t="n">
        <v>0</v>
      </c>
      <c r="O2011" s="4" t="n"/>
      <c r="P2011" s="2" t="inlineStr">
        <is>
          <t>45000000</t>
        </is>
      </c>
      <c r="Q2011" s="8" t="inlineStr">
        <is>
          <t>Ver</t>
        </is>
      </c>
      <c r="R2011" s="8" t="inlineStr">
        <is>
          <t>PCAP</t>
        </is>
      </c>
      <c r="S2011" s="9" t="n">
        <v>46310</v>
      </c>
      <c r="T2011" s="3" t="n">
        <v>46302.50623842593</v>
      </c>
      <c r="U2011" s="2" t="n"/>
    </row>
    <row r="2012">
      <c r="A2012" s="2" t="inlineStr">
        <is>
          <t>Resuelta</t>
        </is>
      </c>
      <c r="B2012" s="3" t="n">
        <v>46246.625</v>
      </c>
      <c r="C2012" s="5" t="n">
        <v>227344.28</v>
      </c>
      <c r="D2012" s="5" t="n">
        <v>227344.28</v>
      </c>
      <c r="E2012" s="2" t="inlineStr">
        <is>
          <t>Comunitat Valenciana</t>
        </is>
      </c>
      <c r="F2012" s="2" t="inlineStr">
        <is>
          <t>Alicante</t>
        </is>
      </c>
      <c r="G2012" s="2" t="inlineStr">
        <is>
          <t>Alicante (Alacant)</t>
        </is>
      </c>
      <c r="H2012" s="2" t="inlineStr">
        <is>
          <t>Junta de Gobierno del Ayuntamiento de La Nucía</t>
        </is>
      </c>
      <c r="I2012" s="2" t="inlineStr">
        <is>
          <t>Obras de mejora de las condiciones de accesibilidad al medio físico en l'ermita de Sant Rafel</t>
        </is>
      </c>
      <c r="J2012" s="2" t="inlineStr">
        <is>
          <t>9564/2026</t>
        </is>
      </c>
      <c r="K2012" s="2" t="inlineStr">
        <is>
          <t>Abierto simplificado</t>
        </is>
      </c>
      <c r="L2012" s="6" t="n">
        <v>3</v>
      </c>
      <c r="M2012" s="2" t="n"/>
      <c r="N2012" s="7" t="n"/>
      <c r="O2012" s="4" t="n"/>
      <c r="P2012" s="2" t="inlineStr">
        <is>
          <t>45233252; 45316000</t>
        </is>
      </c>
      <c r="Q2012" s="8" t="inlineStr">
        <is>
          <t>Ver</t>
        </is>
      </c>
      <c r="R2012" s="2" t="n"/>
      <c r="S2012" s="9" t="n">
        <v>46310</v>
      </c>
      <c r="T2012" s="3" t="n">
        <v>46302.50244212963</v>
      </c>
      <c r="U2012" s="2" t="n"/>
    </row>
    <row r="2013">
      <c r="A2013" s="2" t="inlineStr">
        <is>
          <t>Plazo vencido</t>
        </is>
      </c>
      <c r="B2013" s="3" t="n">
        <v>46317.79166666666</v>
      </c>
      <c r="C2013" s="5" t="n">
        <v>76029.75</v>
      </c>
      <c r="D2013" s="5" t="n">
        <v>76029.75</v>
      </c>
      <c r="E2013" s="2" t="inlineStr">
        <is>
          <t>Andalucía</t>
        </is>
      </c>
      <c r="F2013" s="2" t="inlineStr">
        <is>
          <t>Cádiz</t>
        </is>
      </c>
      <c r="G2013" s="2" t="inlineStr">
        <is>
          <t>TAHIVILLA</t>
        </is>
      </c>
      <c r="H2013" s="2" t="inlineStr">
        <is>
          <t>Presidencia Entidad Autónoma de Tahivilla</t>
        </is>
      </c>
      <c r="I2013" s="2" t="inlineStr">
        <is>
          <t>Mejoras de camino público La Dehesilla, Tahivilla</t>
        </is>
      </c>
      <c r="J2013" s="2" t="inlineStr">
        <is>
          <t>2026/6567</t>
        </is>
      </c>
      <c r="K2013" s="2" t="inlineStr">
        <is>
          <t>Abierto simplificado</t>
        </is>
      </c>
      <c r="L2013" s="6" t="n">
        <v>0.5</v>
      </c>
      <c r="M2013" s="2" t="n"/>
      <c r="N2013" s="7" t="n">
        <v>0</v>
      </c>
      <c r="O2013" s="4" t="n"/>
      <c r="P2013" s="2" t="inlineStr">
        <is>
          <t>45233200; 45233000</t>
        </is>
      </c>
      <c r="Q2013" s="8" t="inlineStr">
        <is>
          <t>Ver</t>
        </is>
      </c>
      <c r="R2013" s="8" t="inlineStr">
        <is>
          <t>PCAP</t>
        </is>
      </c>
      <c r="S2013" s="9" t="n">
        <v>46310</v>
      </c>
      <c r="T2013" s="3" t="n">
        <v>46302.49341435185</v>
      </c>
      <c r="U2013" s="2" t="n"/>
    </row>
    <row r="2014">
      <c r="A2014" s="2" t="inlineStr">
        <is>
          <t>Adjudicada</t>
        </is>
      </c>
      <c r="B2014" s="3" t="n">
        <v>46232.79166666666</v>
      </c>
      <c r="C2014" s="5" t="n">
        <v>198347.11</v>
      </c>
      <c r="D2014" s="5" t="n">
        <v>198347.11</v>
      </c>
      <c r="E2014" s="2" t="inlineStr">
        <is>
          <t>Comunitat Valenciana</t>
        </is>
      </c>
      <c r="F2014" s="2" t="inlineStr">
        <is>
          <t>Valencia</t>
        </is>
      </c>
      <c r="G2014" s="2" t="inlineStr">
        <is>
          <t>Valencia</t>
        </is>
      </c>
      <c r="H2014" s="2" t="inlineStr">
        <is>
          <t>Hospital Pare Jofré. Dirección Económica-Gerencia</t>
        </is>
      </c>
      <c r="I2014"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2014" s="2" t="inlineStr">
        <is>
          <t>1191/2026</t>
        </is>
      </c>
      <c r="K2014" s="2" t="inlineStr">
        <is>
          <t>Abierto</t>
        </is>
      </c>
      <c r="L2014" s="6" t="n">
        <v>6</v>
      </c>
      <c r="M2014" s="2" t="inlineStr">
        <is>
          <t>J2-2</t>
        </is>
      </c>
      <c r="N2014" s="7" t="n">
        <v>0</v>
      </c>
      <c r="O2014" s="4" t="n"/>
      <c r="P2014" s="2" t="inlineStr">
        <is>
          <t>45200000; 45331000; 42512300; 45000000</t>
        </is>
      </c>
      <c r="Q2014" s="8" t="inlineStr">
        <is>
          <t>Ver</t>
        </is>
      </c>
      <c r="R2014" s="8" t="inlineStr">
        <is>
          <t>PCAP</t>
        </is>
      </c>
      <c r="S2014" s="9" t="n">
        <v>46310</v>
      </c>
      <c r="T2014" s="3" t="n">
        <v>46302.49180555555</v>
      </c>
      <c r="U2014" s="2" t="n"/>
    </row>
    <row r="2015">
      <c r="A2015" s="2" t="inlineStr">
        <is>
          <t>Plazo vencido</t>
        </is>
      </c>
      <c r="B2015" s="3" t="n">
        <v>46322.99930555555</v>
      </c>
      <c r="C2015" s="5" t="n">
        <v>66494.02</v>
      </c>
      <c r="D2015" s="5" t="n">
        <v>66494.02</v>
      </c>
      <c r="E2015" s="2" t="inlineStr">
        <is>
          <t>Andalucía</t>
        </is>
      </c>
      <c r="F2015" s="2" t="inlineStr">
        <is>
          <t>Cádiz</t>
        </is>
      </c>
      <c r="G2015" s="2" t="n"/>
      <c r="H2015" s="2" t="inlineStr">
        <is>
          <t>Alcaldía del Ayuntamiento de Algeciras</t>
        </is>
      </c>
      <c r="I2015" s="2" t="inlineStr">
        <is>
          <t>Renovación a tecnología led de la iluminación de las pistas de atletismo de la instalación municipal enrique talavera</t>
        </is>
      </c>
      <c r="J2015" s="2" t="inlineStr">
        <is>
          <t>37082/2026</t>
        </is>
      </c>
      <c r="K2015" s="2" t="inlineStr">
        <is>
          <t>Abierto simplificado</t>
        </is>
      </c>
      <c r="L2015" s="6" t="n">
        <v>1.9</v>
      </c>
      <c r="M2015" s="2" t="n"/>
      <c r="N2015" s="7" t="n">
        <v>0</v>
      </c>
      <c r="O2015" s="4" t="n">
        <v>2</v>
      </c>
      <c r="P2015" s="2" t="inlineStr">
        <is>
          <t>45310000; 71317210</t>
        </is>
      </c>
      <c r="Q2015" s="8" t="inlineStr">
        <is>
          <t>Ver</t>
        </is>
      </c>
      <c r="R2015" s="8" t="inlineStr">
        <is>
          <t>PCAP</t>
        </is>
      </c>
      <c r="S2015" s="9" t="n">
        <v>46310</v>
      </c>
      <c r="T2015" s="3" t="n">
        <v>46302.48219907407</v>
      </c>
      <c r="U2015" s="2" t="n"/>
    </row>
    <row r="2016">
      <c r="A2016" s="2" t="inlineStr">
        <is>
          <t>Resuelta</t>
        </is>
      </c>
      <c r="B2016" s="3" t="n">
        <v>46279.99930555555</v>
      </c>
      <c r="C2016" s="5" t="n">
        <v>228586.76</v>
      </c>
      <c r="D2016" s="5" t="n">
        <v>228586.76</v>
      </c>
      <c r="E2016" s="2" t="inlineStr">
        <is>
          <t>Comunitat Valenciana</t>
        </is>
      </c>
      <c r="F2016" s="2" t="inlineStr">
        <is>
          <t>Valencia</t>
        </is>
      </c>
      <c r="G2016" s="2" t="n"/>
      <c r="H2016" s="2" t="inlineStr">
        <is>
          <t>Alcaldia del Ayuntamiento de Alcasser</t>
        </is>
      </c>
      <c r="I2016" s="2" t="inlineStr">
        <is>
          <t>Reurbanización calle Dels Argenters - P.I. L'Alter</t>
        </is>
      </c>
      <c r="J2016" s="2" t="inlineStr">
        <is>
          <t>2636/2026</t>
        </is>
      </c>
      <c r="K2016" s="2" t="inlineStr">
        <is>
          <t>Abierto simplificado</t>
        </is>
      </c>
      <c r="L2016" s="6" t="n">
        <v>2.3</v>
      </c>
      <c r="M2016" s="2" t="n"/>
      <c r="N2016" s="7" t="n">
        <v>0</v>
      </c>
      <c r="O2016" s="4" t="n"/>
      <c r="P2016" s="2" t="inlineStr">
        <is>
          <t>45233250; 45232130; 45233252; 45232450</t>
        </is>
      </c>
      <c r="Q2016" s="8" t="inlineStr">
        <is>
          <t>Ver</t>
        </is>
      </c>
      <c r="R2016" s="8" t="inlineStr">
        <is>
          <t>PCAP</t>
        </is>
      </c>
      <c r="S2016" s="9" t="n">
        <v>46310</v>
      </c>
      <c r="T2016" s="3" t="n">
        <v>46302.47586805555</v>
      </c>
      <c r="U2016" s="2" t="n"/>
    </row>
    <row r="2017">
      <c r="A2017" s="2" t="inlineStr">
        <is>
          <t>Adjudicada</t>
        </is>
      </c>
      <c r="B2017" s="3" t="n">
        <v>46167.4375</v>
      </c>
      <c r="C2017" s="5" t="n">
        <v>3702515.21</v>
      </c>
      <c r="D2017" s="5" t="n">
        <v>4072766.73</v>
      </c>
      <c r="E2017" s="2" t="inlineStr">
        <is>
          <t>Comunitat Valenciana</t>
        </is>
      </c>
      <c r="F2017" s="2" t="inlineStr">
        <is>
          <t>Valencia</t>
        </is>
      </c>
      <c r="G2017" s="2" t="inlineStr">
        <is>
          <t>Valencia</t>
        </is>
      </c>
      <c r="H2017" s="2" t="inlineStr">
        <is>
          <t>Presidencia de la Autoridad Portuaria de Valencia</t>
        </is>
      </c>
      <c r="I2017" s="2" t="inlineStr">
        <is>
          <t>Nuevo centro de reparto alimentado desde CT23 y obra civil para conexión con canalizaciones existentes</t>
        </is>
      </c>
      <c r="J2017" s="2" t="inlineStr">
        <is>
          <t>EC26-C02-01070</t>
        </is>
      </c>
      <c r="K2017" s="2" t="inlineStr">
        <is>
          <t>Abierto</t>
        </is>
      </c>
      <c r="L2017" s="6" t="n">
        <v>6</v>
      </c>
      <c r="M2017" s="2" t="inlineStr">
        <is>
          <t>I5-4</t>
        </is>
      </c>
      <c r="N2017" s="7" t="n">
        <v>0.49</v>
      </c>
      <c r="O2017" s="4" t="n"/>
      <c r="P2017" s="2" t="inlineStr">
        <is>
          <t>45231400; 45315400</t>
        </is>
      </c>
      <c r="Q2017" s="8" t="inlineStr">
        <is>
          <t>Ver</t>
        </is>
      </c>
      <c r="R2017" s="8" t="inlineStr">
        <is>
          <t>PCAP</t>
        </is>
      </c>
      <c r="S2017" s="9" t="n">
        <v>46310</v>
      </c>
      <c r="T2017" s="3" t="n">
        <v>46302.46299768519</v>
      </c>
      <c r="U2017" s="2" t="n"/>
    </row>
    <row r="2018">
      <c r="A2018" s="2" t="inlineStr">
        <is>
          <t>Plazo vencido</t>
        </is>
      </c>
      <c r="B2018" s="3" t="n">
        <v>46322.625</v>
      </c>
      <c r="C2018" s="5" t="n">
        <v>80165.28999999999</v>
      </c>
      <c r="D2018" s="5" t="n">
        <v>80165.28999999999</v>
      </c>
      <c r="E2018" s="2" t="inlineStr">
        <is>
          <t>Andalucía</t>
        </is>
      </c>
      <c r="F2018" s="2" t="inlineStr">
        <is>
          <t>Málaga</t>
        </is>
      </c>
      <c r="G2018" s="2" t="inlineStr">
        <is>
          <t>fuente de piedra</t>
        </is>
      </c>
      <c r="H2018" s="2" t="inlineStr">
        <is>
          <t>Junta de Gobierno Local del Ayuntamiento de Fuente de Piedra</t>
        </is>
      </c>
      <c r="I2018" s="2" t="inlineStr">
        <is>
          <t>la ejecución de las obras contenidas en el "Proyecto Básico y de Ejecución para Mejora de Redes de Abastecimiento (PO-AG 35/2026)" en las calles María Zambrano, Vicente Aleixandre y Antonio Gala del municipio de Fuente de Piedra (Málaga</t>
        </is>
      </c>
      <c r="J2018" s="2" t="inlineStr">
        <is>
          <t>857/2026</t>
        </is>
      </c>
      <c r="K2018" s="2" t="inlineStr">
        <is>
          <t>Abierto simplificado</t>
        </is>
      </c>
      <c r="L2018" s="6" t="n">
        <v>4</v>
      </c>
      <c r="M2018" s="2" t="n"/>
      <c r="N2018" s="7" t="n">
        <v>0</v>
      </c>
      <c r="O2018" s="4" t="n"/>
      <c r="P2018" s="2" t="inlineStr">
        <is>
          <t>45231300; 45232150</t>
        </is>
      </c>
      <c r="Q2018" s="8" t="inlineStr">
        <is>
          <t>Ver</t>
        </is>
      </c>
      <c r="R2018" s="8" t="inlineStr">
        <is>
          <t>PCAP</t>
        </is>
      </c>
      <c r="S2018" s="9" t="n">
        <v>46310</v>
      </c>
      <c r="T2018" s="3" t="n">
        <v>46302.46170138889</v>
      </c>
      <c r="U2018" s="2" t="n"/>
    </row>
    <row r="2019">
      <c r="A2019" s="2" t="inlineStr">
        <is>
          <t>Pendiente de adjudicación</t>
        </is>
      </c>
      <c r="B2019" s="3" t="n">
        <v>46272.79166666666</v>
      </c>
      <c r="C2019" s="5" t="n">
        <v>334340.88</v>
      </c>
      <c r="D2019" s="5" t="n">
        <v>401209.06</v>
      </c>
      <c r="E2019" s="2" t="inlineStr">
        <is>
          <t>Andalucía</t>
        </is>
      </c>
      <c r="F2019" s="2" t="inlineStr">
        <is>
          <t>Sevilla</t>
        </is>
      </c>
      <c r="G2019" s="2" t="inlineStr">
        <is>
          <t>Bormujos</t>
        </is>
      </c>
      <c r="H2019" s="2" t="inlineStr">
        <is>
          <t>Gerencia de la Empresa Mancomunada del Aljarafe, S.A. (ALJARAFESA)</t>
        </is>
      </c>
      <c r="I2019" s="2" t="inlineStr">
        <is>
          <t>Proyecto de Mejora del Abastecimiento en la Calle Jacaranda, en el municipio de Bormujos (Sevilla)</t>
        </is>
      </c>
      <c r="J2019" s="2" t="inlineStr">
        <is>
          <t>PAA/164/2026</t>
        </is>
      </c>
      <c r="K2019" s="2" t="inlineStr">
        <is>
          <t>Abierto</t>
        </is>
      </c>
      <c r="L2019" s="6" t="n">
        <v>5</v>
      </c>
      <c r="M2019" s="2" t="inlineStr">
        <is>
          <t>G6-2; E1-2</t>
        </is>
      </c>
      <c r="N2019" s="7" t="n">
        <v>0</v>
      </c>
      <c r="O2019" s="4" t="n"/>
      <c r="P2019" s="2" t="inlineStr">
        <is>
          <t>45231300; 45233251</t>
        </is>
      </c>
      <c r="Q2019" s="8" t="inlineStr">
        <is>
          <t>Ver</t>
        </is>
      </c>
      <c r="R2019" s="8" t="inlineStr">
        <is>
          <t>PCAP</t>
        </is>
      </c>
      <c r="S2019" s="9" t="n">
        <v>46310</v>
      </c>
      <c r="T2019" s="3" t="n">
        <v>46302.4521875</v>
      </c>
      <c r="U2019" s="2" t="n"/>
    </row>
    <row r="2020">
      <c r="A2020" s="2" t="inlineStr">
        <is>
          <t>Pendiente de adjudicación</t>
        </is>
      </c>
      <c r="B2020" s="3" t="n">
        <v>46300.99930555555</v>
      </c>
      <c r="C2020" s="5" t="n">
        <v>403932.13</v>
      </c>
      <c r="D2020" s="5" t="n">
        <v>403932.13</v>
      </c>
      <c r="E2020" s="2" t="inlineStr">
        <is>
          <t>Comunitat Valenciana</t>
        </is>
      </c>
      <c r="F2020" s="2" t="inlineStr">
        <is>
          <t>Valencia</t>
        </is>
      </c>
      <c r="G2020" s="2" t="n"/>
      <c r="H2020" s="2" t="inlineStr">
        <is>
          <t>Alcaldía del Ayuntamiento de Foios</t>
        </is>
      </c>
      <c r="I2020" s="2" t="inlineStr">
        <is>
          <t>Obra "Ampliación del Centro Social de Foios"</t>
        </is>
      </c>
      <c r="J2020" s="2" t="inlineStr">
        <is>
          <t>2026/1990</t>
        </is>
      </c>
      <c r="K2020" s="2" t="inlineStr">
        <is>
          <t>Abierto simplificado</t>
        </is>
      </c>
      <c r="L2020" s="6" t="n">
        <v>10</v>
      </c>
      <c r="M2020" s="2" t="n"/>
      <c r="N2020" s="7" t="n">
        <v>0</v>
      </c>
      <c r="O2020" s="4" t="n"/>
      <c r="P2020" s="2" t="inlineStr">
        <is>
          <t>45210000</t>
        </is>
      </c>
      <c r="Q2020" s="8" t="inlineStr">
        <is>
          <t>Ver</t>
        </is>
      </c>
      <c r="R2020" s="8" t="inlineStr">
        <is>
          <t>PCAP</t>
        </is>
      </c>
      <c r="S2020" s="9" t="n">
        <v>46310</v>
      </c>
      <c r="T2020" s="3" t="n">
        <v>46302.450625</v>
      </c>
      <c r="U2020" s="2" t="n"/>
    </row>
    <row r="2021">
      <c r="A2021" s="2" t="inlineStr">
        <is>
          <t>Resuelta</t>
        </is>
      </c>
      <c r="B2021" s="3" t="n">
        <v>46210.54166666666</v>
      </c>
      <c r="C2021" s="5" t="n">
        <v>670270.6</v>
      </c>
      <c r="D2021" s="5" t="n">
        <v>737297.66</v>
      </c>
      <c r="E2021" s="2" t="inlineStr">
        <is>
          <t>Comunitat Valenciana</t>
        </is>
      </c>
      <c r="F2021" s="2" t="inlineStr">
        <is>
          <t>Valencia</t>
        </is>
      </c>
      <c r="G2021" s="2" t="n"/>
      <c r="H2021" s="2" t="inlineStr">
        <is>
          <t>Presidencia de la Diputación Provincial de Valencia</t>
        </is>
      </c>
      <c r="I2021" s="2" t="inlineStr">
        <is>
          <t>V-213CIT/O. Mejora de caminos de el término municipal de Alpuente.</t>
        </is>
      </c>
      <c r="J2021" s="2" t="inlineStr">
        <is>
          <t>243/26/CAR</t>
        </is>
      </c>
      <c r="K2021" s="2" t="inlineStr">
        <is>
          <t>Abierto</t>
        </is>
      </c>
      <c r="L2021" s="6" t="n">
        <v>5</v>
      </c>
      <c r="M2021" s="2" t="inlineStr">
        <is>
          <t>G4-3</t>
        </is>
      </c>
      <c r="N2021" s="7" t="n">
        <v>0.45</v>
      </c>
      <c r="O2021" s="4" t="n"/>
      <c r="P2021" s="2" t="inlineStr">
        <is>
          <t>45233120</t>
        </is>
      </c>
      <c r="Q2021" s="8" t="inlineStr">
        <is>
          <t>Ver</t>
        </is>
      </c>
      <c r="R2021" s="8" t="inlineStr">
        <is>
          <t>PCAP</t>
        </is>
      </c>
      <c r="S2021" s="9" t="n">
        <v>46310</v>
      </c>
      <c r="T2021" s="3" t="n">
        <v>46302.44865740741</v>
      </c>
      <c r="U2021" s="2" t="n"/>
    </row>
    <row r="2022">
      <c r="A2022" s="2" t="inlineStr">
        <is>
          <t>Plazo vencido</t>
        </is>
      </c>
      <c r="B2022" s="3" t="n">
        <v>46322.99930555555</v>
      </c>
      <c r="C2022" s="5" t="n">
        <v>826446.28</v>
      </c>
      <c r="D2022" s="5" t="n">
        <v>826446.28</v>
      </c>
      <c r="E2022" s="2" t="inlineStr">
        <is>
          <t>Andalucía</t>
        </is>
      </c>
      <c r="F2022" s="2" t="inlineStr">
        <is>
          <t>Almería</t>
        </is>
      </c>
      <c r="G2022" s="2" t="n"/>
      <c r="H2022" s="2" t="inlineStr">
        <is>
          <t>Junta de Gobierno de la Diputación Provincial de Almería</t>
        </is>
      </c>
      <c r="I2022" s="2" t="inlineStr">
        <is>
          <t>Rehabilitación Y Mejora De Edificios Municipales. Benahadux 19PPOS24-27BII</t>
        </is>
      </c>
      <c r="J2022" s="2" t="inlineStr">
        <is>
          <t>2026/D31000/006-013/00009</t>
        </is>
      </c>
      <c r="K2022" s="2" t="inlineStr">
        <is>
          <t>Abierto simplificado</t>
        </is>
      </c>
      <c r="L2022" s="6" t="n">
        <v>15</v>
      </c>
      <c r="M2022" s="2" t="inlineStr">
        <is>
          <t>C6-3; C4-3</t>
        </is>
      </c>
      <c r="N2022" s="7" t="n">
        <v>0.25</v>
      </c>
      <c r="O2022" s="4" t="n"/>
      <c r="P2022" s="2" t="inlineStr">
        <is>
          <t>45214000</t>
        </is>
      </c>
      <c r="Q2022" s="8" t="inlineStr">
        <is>
          <t>Ver</t>
        </is>
      </c>
      <c r="R2022" s="8" t="inlineStr">
        <is>
          <t>PCAP</t>
        </is>
      </c>
      <c r="S2022" s="9" t="n">
        <v>46310</v>
      </c>
      <c r="T2022" s="3" t="n">
        <v>46302.4315625</v>
      </c>
      <c r="U2022" s="2" t="n"/>
    </row>
    <row r="2023">
      <c r="A2023" s="2" t="inlineStr">
        <is>
          <t>Resuelta</t>
        </is>
      </c>
      <c r="B2023" s="3" t="n">
        <v>46196.99930555555</v>
      </c>
      <c r="C2023" s="5" t="n">
        <v>92385.09</v>
      </c>
      <c r="D2023" s="5" t="n">
        <v>101623.6</v>
      </c>
      <c r="E2023" s="2" t="inlineStr">
        <is>
          <t>Comunitat Valenciana</t>
        </is>
      </c>
      <c r="F2023" s="2" t="inlineStr">
        <is>
          <t>Alicante</t>
        </is>
      </c>
      <c r="G2023" s="2" t="inlineStr">
        <is>
          <t>Alicante</t>
        </is>
      </c>
      <c r="H2023" s="2" t="inlineStr">
        <is>
          <t>Departamento de Salud Alicante. Dirección Económica-Gerencia</t>
        </is>
      </c>
      <c r="I2023" s="2" t="inlineStr">
        <is>
          <t>Obra de conexión hall principal con vestíbulo-cafetería del Hospital General Universitario Doctor Balmis de Alicante</t>
        </is>
      </c>
      <c r="J2023" s="2" t="inlineStr">
        <is>
          <t>PAS 125/2026</t>
        </is>
      </c>
      <c r="K2023" s="2" t="inlineStr">
        <is>
          <t>Abierto simplificado</t>
        </is>
      </c>
      <c r="L2023" s="6" t="n">
        <v>3</v>
      </c>
      <c r="M2023" s="2" t="n"/>
      <c r="N2023" s="7" t="n">
        <v>0.25</v>
      </c>
      <c r="O2023" s="4" t="n"/>
      <c r="P2023" s="2" t="inlineStr">
        <is>
          <t>45220000</t>
        </is>
      </c>
      <c r="Q2023" s="8" t="inlineStr">
        <is>
          <t>Ver</t>
        </is>
      </c>
      <c r="R2023" s="8" t="inlineStr">
        <is>
          <t>PCAP</t>
        </is>
      </c>
      <c r="S2023" s="9" t="n">
        <v>46310</v>
      </c>
      <c r="T2023" s="3" t="n">
        <v>46302.42903935185</v>
      </c>
      <c r="U2023" s="2" t="n"/>
    </row>
    <row r="2024">
      <c r="A2024" s="2" t="inlineStr">
        <is>
          <t>Resuelta</t>
        </is>
      </c>
      <c r="B2024" s="3" t="n">
        <v>46174.75</v>
      </c>
      <c r="C2024" s="5" t="n">
        <v>570165.2</v>
      </c>
      <c r="D2024" s="5" t="n">
        <v>570165.2</v>
      </c>
      <c r="E2024" s="2" t="inlineStr">
        <is>
          <t>Andalucía</t>
        </is>
      </c>
      <c r="F2024" s="2" t="inlineStr">
        <is>
          <t>Almería</t>
        </is>
      </c>
      <c r="G2024" s="2" t="inlineStr">
        <is>
          <t>Almería</t>
        </is>
      </c>
      <c r="H2024" s="2" t="inlineStr">
        <is>
          <t>Presidencia de la Autoridad Portuaria de Almería</t>
        </is>
      </c>
      <c r="I2024" s="2" t="inlineStr">
        <is>
          <t>Adaptación de la Estación Marítima para el acceso a cruceros</t>
        </is>
      </c>
      <c r="J2024" s="2" t="inlineStr">
        <is>
          <t>07/O/AS/AL26.BIS</t>
        </is>
      </c>
      <c r="K2024" s="2" t="inlineStr">
        <is>
          <t>Abierto simplificado</t>
        </is>
      </c>
      <c r="L2024" s="6" t="n">
        <v>4</v>
      </c>
      <c r="M2024" s="2" t="inlineStr">
        <is>
          <t>C4-3; C*-4</t>
        </is>
      </c>
      <c r="N2024" s="7" t="n">
        <v>0.25</v>
      </c>
      <c r="O2024" s="4" t="n"/>
      <c r="P2024" s="2" t="inlineStr">
        <is>
          <t>45200000; 45233200; 34931300</t>
        </is>
      </c>
      <c r="Q2024" s="8" t="inlineStr">
        <is>
          <t>Ver</t>
        </is>
      </c>
      <c r="R2024" s="2" t="n"/>
      <c r="S2024" s="9" t="n">
        <v>46310</v>
      </c>
      <c r="T2024" s="3" t="n">
        <v>46302.42858796296</v>
      </c>
      <c r="U2024" s="2" t="n"/>
    </row>
    <row r="2025">
      <c r="A2025" s="2" t="inlineStr">
        <is>
          <t>Pendiente de adjudicación</t>
        </is>
      </c>
      <c r="B2025" s="3" t="n">
        <v>46253.99930555555</v>
      </c>
      <c r="C2025" s="5" t="n">
        <v>195554.7</v>
      </c>
      <c r="D2025" s="5" t="n">
        <v>195554.7</v>
      </c>
      <c r="E2025" s="2" t="inlineStr">
        <is>
          <t>Comunitat Valenciana</t>
        </is>
      </c>
      <c r="F2025" s="2" t="inlineStr">
        <is>
          <t>Alicante</t>
        </is>
      </c>
      <c r="G2025" s="2" t="n"/>
      <c r="H2025" s="2" t="inlineStr">
        <is>
          <t>Junta de Gobierno del Ayuntamiento Dénia</t>
        </is>
      </c>
      <c r="I2025" s="2" t="inlineStr">
        <is>
          <t>Obras de adecuación del Paseo de la Playa de la Marineta Cassiana</t>
        </is>
      </c>
      <c r="J2025" s="2" t="inlineStr">
        <is>
          <t>OBR/2026000044</t>
        </is>
      </c>
      <c r="K2025" s="2" t="inlineStr">
        <is>
          <t>Abierto simplificado</t>
        </is>
      </c>
      <c r="L2025" s="6" t="n">
        <v>4</v>
      </c>
      <c r="M2025" s="2" t="inlineStr">
        <is>
          <t>G6-2</t>
        </is>
      </c>
      <c r="N2025" s="7" t="n">
        <v>0</v>
      </c>
      <c r="O2025" s="4" t="n"/>
      <c r="P2025" s="2" t="inlineStr">
        <is>
          <t>45233252</t>
        </is>
      </c>
      <c r="Q2025" s="8" t="inlineStr">
        <is>
          <t>Ver</t>
        </is>
      </c>
      <c r="R2025" s="8" t="inlineStr">
        <is>
          <t>PCAP</t>
        </is>
      </c>
      <c r="S2025" s="9" t="n">
        <v>46310</v>
      </c>
      <c r="T2025" s="3" t="n">
        <v>46302.42760416667</v>
      </c>
      <c r="U2025" s="2" t="n"/>
    </row>
    <row r="2026">
      <c r="A2026" s="2" t="inlineStr">
        <is>
          <t>Plazo vencido</t>
        </is>
      </c>
      <c r="B2026" s="3" t="n">
        <v>46322.99930555555</v>
      </c>
      <c r="C2026" s="5" t="n">
        <v>100173.95</v>
      </c>
      <c r="D2026" s="5" t="n">
        <v>100173.95</v>
      </c>
      <c r="E2026" s="2" t="inlineStr">
        <is>
          <t>Comunitat Valenciana</t>
        </is>
      </c>
      <c r="F2026" s="2" t="inlineStr">
        <is>
          <t>Alicante</t>
        </is>
      </c>
      <c r="G2026" s="2" t="n"/>
      <c r="H2026" s="2" t="inlineStr">
        <is>
          <t>Junta de Gobierno del Ayuntamiento de Benissa</t>
        </is>
      </c>
      <c r="I2026" s="2" t="inlineStr">
        <is>
          <t>Instalación de ascensores. Dos lotes. Lote 1:Instalacion de ascensor en la Escuela de Música y Lote 2: Instalación de ascensor en el Centro Social Bernia</t>
        </is>
      </c>
      <c r="J2026" s="2" t="inlineStr">
        <is>
          <t>6136/2026</t>
        </is>
      </c>
      <c r="K2026" s="2" t="inlineStr">
        <is>
          <t>Abierto simplificado</t>
        </is>
      </c>
      <c r="L2026" s="6" t="n">
        <v>4</v>
      </c>
      <c r="M2026" s="2" t="n"/>
      <c r="N2026" s="7" t="n">
        <v>0</v>
      </c>
      <c r="O2026" s="4" t="n">
        <v>2</v>
      </c>
      <c r="P2026" s="2" t="inlineStr">
        <is>
          <t>45313100</t>
        </is>
      </c>
      <c r="Q2026" s="8" t="inlineStr">
        <is>
          <t>Ver</t>
        </is>
      </c>
      <c r="R2026" s="8" t="inlineStr">
        <is>
          <t>PCAP</t>
        </is>
      </c>
      <c r="S2026" s="9" t="n">
        <v>46310</v>
      </c>
      <c r="T2026" s="3" t="n">
        <v>46302.4108449074</v>
      </c>
      <c r="U2026" s="2" t="n"/>
    </row>
    <row r="2027">
      <c r="A2027" s="2" t="inlineStr">
        <is>
          <t>Plazo vencido</t>
        </is>
      </c>
      <c r="B2027" s="3" t="n">
        <v>46316.58333333334</v>
      </c>
      <c r="C2027" s="5" t="n">
        <v>15000000</v>
      </c>
      <c r="D2027" s="5" t="n">
        <v>15000000</v>
      </c>
      <c r="E2027" s="2" t="inlineStr">
        <is>
          <t>Andalucía</t>
        </is>
      </c>
      <c r="F2027" s="2" t="inlineStr">
        <is>
          <t>Córdoba</t>
        </is>
      </c>
      <c r="G2027" s="2" t="n"/>
      <c r="H2027" s="2" t="inlineStr">
        <is>
          <t>Empresa de Transformación Agraria S.A.,S.M.E., M.P., (TRAGSA)</t>
        </is>
      </c>
      <c r="I2027" s="2" t="inlineStr">
        <is>
          <t>Conclusión del Acuerdo Marco para Alquiler de Maquinaria de Obra Civil, Agrícola y Forestal, y Camiones, dotada de operario, para Las Actuaciones de La Gerencia Provincial de Tragsa en Córdoba, incluidas obras Financiadas con Fondos Europeos</t>
        </is>
      </c>
      <c r="J2027" s="2" t="inlineStr">
        <is>
          <t>TSA0084239</t>
        </is>
      </c>
      <c r="K2027" s="2" t="inlineStr">
        <is>
          <t>Abierto</t>
        </is>
      </c>
      <c r="L2027" s="6" t="n">
        <v>24</v>
      </c>
      <c r="M2027" s="2" t="inlineStr">
        <is>
          <t>C*-1; A*-1; K*-1; E*-1; D*-1; G*-1</t>
        </is>
      </c>
      <c r="N2027" s="7" t="n">
        <v>0</v>
      </c>
      <c r="O2027" s="4" t="n"/>
      <c r="P2027" s="2" t="inlineStr">
        <is>
          <t>45500000</t>
        </is>
      </c>
      <c r="Q2027" s="8" t="inlineStr">
        <is>
          <t>Ver</t>
        </is>
      </c>
      <c r="R2027" s="8" t="inlineStr">
        <is>
          <t>PCAP</t>
        </is>
      </c>
      <c r="S2027" s="9" t="n">
        <v>46310</v>
      </c>
      <c r="T2027" s="3" t="n">
        <v>46302.40373842593</v>
      </c>
      <c r="U2027" s="2" t="n"/>
    </row>
    <row r="2028">
      <c r="A2028" s="2" t="inlineStr">
        <is>
          <t>En plazo</t>
        </is>
      </c>
      <c r="B2028" s="3" t="n">
        <v>46324.625</v>
      </c>
      <c r="C2028" s="5" t="n">
        <v>45307.47</v>
      </c>
      <c r="D2028" s="5" t="n">
        <v>45307.47</v>
      </c>
      <c r="E2028" s="2" t="inlineStr">
        <is>
          <t>Comunitat Valenciana</t>
        </is>
      </c>
      <c r="F2028" s="2" t="inlineStr">
        <is>
          <t>Alicante</t>
        </is>
      </c>
      <c r="G2028" s="2" t="inlineStr">
        <is>
          <t>Muro de Alcoi</t>
        </is>
      </c>
      <c r="H2028" s="2" t="inlineStr">
        <is>
          <t>Departamento de Salud Alcoy. Dirección Económica-Gerencia</t>
        </is>
      </c>
      <c r="I2028" s="2" t="inlineStr">
        <is>
          <t>Obra de instalación de ventanas para la mejora de la eficiencia energética del CS de Muro.</t>
        </is>
      </c>
      <c r="J2028" s="2" t="inlineStr">
        <is>
          <t>PASA 1186/2026</t>
        </is>
      </c>
      <c r="K2028" s="2" t="inlineStr">
        <is>
          <t>Abierto simplificado</t>
        </is>
      </c>
      <c r="L2028" s="6" t="n">
        <v>1</v>
      </c>
      <c r="M2028" s="2" t="n"/>
      <c r="N2028" s="7" t="n">
        <v>0</v>
      </c>
      <c r="O2028" s="4" t="n"/>
      <c r="P2028" s="2" t="inlineStr">
        <is>
          <t>45421132; 44221100</t>
        </is>
      </c>
      <c r="Q2028" s="8" t="inlineStr">
        <is>
          <t>Ver</t>
        </is>
      </c>
      <c r="R2028" s="8" t="inlineStr">
        <is>
          <t>PCAP</t>
        </is>
      </c>
      <c r="S2028" s="9" t="n">
        <v>46310</v>
      </c>
      <c r="T2028" s="3" t="n">
        <v>46302.40362268518</v>
      </c>
      <c r="U2028" s="2" t="n"/>
    </row>
    <row r="2029">
      <c r="A2029" s="2" t="inlineStr">
        <is>
          <t>Resuelta</t>
        </is>
      </c>
      <c r="B2029" s="3" t="n">
        <v>46076.99930555555</v>
      </c>
      <c r="C2029" s="5" t="n">
        <v>645826.91</v>
      </c>
      <c r="D2029" s="5" t="n">
        <v>645826.91</v>
      </c>
      <c r="E2029" s="2" t="inlineStr">
        <is>
          <t>Comunitat Valenciana</t>
        </is>
      </c>
      <c r="F2029" s="2" t="inlineStr">
        <is>
          <t>Valencia</t>
        </is>
      </c>
      <c r="G2029" s="2" t="inlineStr">
        <is>
          <t>Valencia</t>
        </is>
      </c>
      <c r="H2029" s="2" t="inlineStr">
        <is>
          <t>Rectorado de la Universitat Politècnica de València</t>
        </is>
      </c>
      <c r="I2029" s="2" t="inlineStr">
        <is>
          <t>Obra de reforma de climatización y ventilación en el bloque 5E de la Escuela Técnica Superior de Ingeniería Industrial del campus de Vera de la Universitat Politècnica de València</t>
        </is>
      </c>
      <c r="J2029" s="2" t="inlineStr">
        <is>
          <t>MY26/VICC/O/5</t>
        </is>
      </c>
      <c r="K2029" s="2" t="inlineStr">
        <is>
          <t>Abierto</t>
        </is>
      </c>
      <c r="L2029" s="6" t="n">
        <v>6.1</v>
      </c>
      <c r="M2029" s="2" t="inlineStr">
        <is>
          <t>J2-3</t>
        </is>
      </c>
      <c r="N2029" s="7" t="n">
        <v>0.45</v>
      </c>
      <c r="O2029" s="4" t="n"/>
      <c r="P2029" s="2" t="inlineStr">
        <is>
          <t>45331000</t>
        </is>
      </c>
      <c r="Q2029" s="8" t="inlineStr">
        <is>
          <t>Ver</t>
        </is>
      </c>
      <c r="R2029" s="2" t="n"/>
      <c r="S2029" s="9" t="n">
        <v>46310</v>
      </c>
      <c r="T2029" s="3" t="n">
        <v>46302.4033449074</v>
      </c>
      <c r="U2029" s="2" t="n"/>
    </row>
    <row r="2030">
      <c r="A2030" s="2" t="inlineStr">
        <is>
          <t>Resuelta</t>
        </is>
      </c>
      <c r="B2030" s="3" t="n">
        <v>46289.99930555555</v>
      </c>
      <c r="C2030" s="5" t="n">
        <v>281304.1</v>
      </c>
      <c r="D2030" s="5" t="n">
        <v>281304.1</v>
      </c>
      <c r="E2030" s="2" t="inlineStr">
        <is>
          <t>Andalucía</t>
        </is>
      </c>
      <c r="F2030" s="2" t="inlineStr">
        <is>
          <t>Málaga</t>
        </is>
      </c>
      <c r="G2030" s="2" t="inlineStr">
        <is>
          <t>Nerja</t>
        </is>
      </c>
      <c r="H2030" s="2" t="inlineStr">
        <is>
          <t>Junta de Gobierno del Ayuntamiento de Nerja</t>
        </is>
      </c>
      <c r="I2030" s="2" t="inlineStr">
        <is>
          <t>Obras correspondientes al Proyecto de Reurbanización de Calle Cantarero, en Maro (Nerja) Actualizado</t>
        </is>
      </c>
      <c r="J2030" s="2" t="inlineStr">
        <is>
          <t>2026/4/S245</t>
        </is>
      </c>
      <c r="K2030" s="2" t="inlineStr">
        <is>
          <t>Abierto simplificado</t>
        </is>
      </c>
      <c r="L2030" s="6" t="n">
        <v>4</v>
      </c>
      <c r="M2030" s="2" t="n"/>
      <c r="N2030" s="7" t="n">
        <v>0.25</v>
      </c>
      <c r="O2030" s="4" t="n"/>
      <c r="P2030" s="2" t="inlineStr">
        <is>
          <t>45231100; 45233252; 45233140; 45220000</t>
        </is>
      </c>
      <c r="Q2030" s="8" t="inlineStr">
        <is>
          <t>Ver</t>
        </is>
      </c>
      <c r="R2030" s="8" t="inlineStr">
        <is>
          <t>PCAP</t>
        </is>
      </c>
      <c r="S2030" s="9" t="n">
        <v>46310</v>
      </c>
      <c r="T2030" s="3" t="n">
        <v>46302.39099537037</v>
      </c>
      <c r="U2030" s="2" t="n"/>
    </row>
    <row r="2031">
      <c r="A2031" s="2" t="inlineStr">
        <is>
          <t>Plazo vencido</t>
        </is>
      </c>
      <c r="B2031" s="3" t="n">
        <v>46322.99930555555</v>
      </c>
      <c r="C2031" s="5" t="n">
        <v>206611.57</v>
      </c>
      <c r="D2031" s="5" t="n">
        <v>206611.57</v>
      </c>
      <c r="E2031" s="2" t="inlineStr">
        <is>
          <t>Andalucía</t>
        </is>
      </c>
      <c r="F2031" s="2" t="inlineStr">
        <is>
          <t>Almería</t>
        </is>
      </c>
      <c r="G2031" s="2" t="n"/>
      <c r="H2031" s="2" t="inlineStr">
        <is>
          <t>Junta de Gobierno de la Diputación Provincial de Almería</t>
        </is>
      </c>
      <c r="I2031" s="2" t="inlineStr">
        <is>
          <t>Restauración Y Puesta En Valor Del Molino Del Lugar En Zurgena. Este Proyecto Podrá Ser Cofinanciado Por La Unión Europea A Través Del Fondo Europeo De Desarrollo Regional (feder) En El Marco Del Prog 3PAI-ALMANZORA30</t>
        </is>
      </c>
      <c r="J2031" s="2" t="inlineStr">
        <is>
          <t>2026/D31000/006-013/00081</t>
        </is>
      </c>
      <c r="K2031" s="2" t="inlineStr">
        <is>
          <t>Abierto simplificado</t>
        </is>
      </c>
      <c r="L2031" s="6" t="n">
        <v>12</v>
      </c>
      <c r="M2031" s="2" t="n"/>
      <c r="N2031" s="7" t="n">
        <v>0.25</v>
      </c>
      <c r="O2031" s="4" t="n"/>
      <c r="P2031" s="2" t="inlineStr">
        <is>
          <t>45200000</t>
        </is>
      </c>
      <c r="Q2031" s="8" t="inlineStr">
        <is>
          <t>Ver</t>
        </is>
      </c>
      <c r="R2031" s="8" t="inlineStr">
        <is>
          <t>PCAP</t>
        </is>
      </c>
      <c r="S2031" s="9" t="n">
        <v>46310</v>
      </c>
      <c r="T2031" s="3" t="n">
        <v>46302.38836805556</v>
      </c>
      <c r="U2031" s="2" t="n"/>
    </row>
    <row r="2032">
      <c r="A2032" s="2" t="inlineStr">
        <is>
          <t>Resuelta</t>
        </is>
      </c>
      <c r="B2032" s="3" t="n">
        <v>46260.99930555555</v>
      </c>
      <c r="C2032" s="5" t="n">
        <v>104059.95</v>
      </c>
      <c r="D2032" s="5" t="n">
        <v>104059.95</v>
      </c>
      <c r="E2032" s="2" t="inlineStr">
        <is>
          <t>Andalucía</t>
        </is>
      </c>
      <c r="F2032" s="2" t="inlineStr">
        <is>
          <t>Granada</t>
        </is>
      </c>
      <c r="G2032" s="2" t="n"/>
      <c r="H2032" s="2" t="inlineStr">
        <is>
          <t>Dirección Gerente de la Empresa Municipal de Abastecimiento y Saneamiento de Granada, S.A.</t>
        </is>
      </c>
      <c r="I2032" s="2" t="inlineStr">
        <is>
          <t>Proyecto de ejecución de fuente recreativa transitable en el parque 28 de febrero de Granada.</t>
        </is>
      </c>
      <c r="J2032" s="2" t="inlineStr">
        <is>
          <t>Obra 2026-00021</t>
        </is>
      </c>
      <c r="K2032" s="2" t="inlineStr">
        <is>
          <t>Abierto</t>
        </is>
      </c>
      <c r="L2032" s="6" t="n">
        <v>2</v>
      </c>
      <c r="M2032" s="2" t="n"/>
      <c r="N2032" s="7" t="n">
        <v>0.4</v>
      </c>
      <c r="O2032" s="4" t="n"/>
      <c r="P2032" s="2" t="inlineStr">
        <is>
          <t>45240000</t>
        </is>
      </c>
      <c r="Q2032" s="8" t="inlineStr">
        <is>
          <t>Ver</t>
        </is>
      </c>
      <c r="R2032" s="8" t="inlineStr">
        <is>
          <t>PCAP</t>
        </is>
      </c>
      <c r="S2032" s="9" t="n">
        <v>46310</v>
      </c>
      <c r="T2032" s="3" t="n">
        <v>46302.38613425926</v>
      </c>
      <c r="U2032" s="2" t="n"/>
    </row>
    <row r="2033">
      <c r="A2033" s="2" t="inlineStr">
        <is>
          <t>Adjudicada</t>
        </is>
      </c>
      <c r="B2033" s="3" t="n">
        <v>46238.99930555555</v>
      </c>
      <c r="C2033" s="5" t="n">
        <v>777869.6800000001</v>
      </c>
      <c r="D2033" s="5" t="n">
        <v>777869.6800000001</v>
      </c>
      <c r="E2033" s="2" t="inlineStr">
        <is>
          <t>Comunitat Valenciana</t>
        </is>
      </c>
      <c r="F2033" s="2" t="inlineStr">
        <is>
          <t>Valencia</t>
        </is>
      </c>
      <c r="G2033" s="2" t="n"/>
      <c r="H2033" s="2" t="inlineStr">
        <is>
          <t>Junta de Gobierno del Ayuntamiento de Burjassot</t>
        </is>
      </c>
      <c r="I2033" s="2" t="inlineStr">
        <is>
          <t>Obras del proyecto de renovación de parques municipales de Burjassot. Mejora y ampliación de zonas verdes. Pla Obert d'Inversions 2024-2027 de la Diputació De València (POI2024-2027).</t>
        </is>
      </c>
      <c r="J2033" s="2" t="inlineStr">
        <is>
          <t>2026/9591J</t>
        </is>
      </c>
      <c r="K2033" s="2" t="inlineStr">
        <is>
          <t>Abierto simplificado</t>
        </is>
      </c>
      <c r="L2033" s="6" t="n">
        <v>4</v>
      </c>
      <c r="M2033" s="2" t="n"/>
      <c r="N2033" s="7" t="n">
        <v>0</v>
      </c>
      <c r="O2033" s="4" t="n">
        <v>7</v>
      </c>
      <c r="P2033" s="2" t="inlineStr">
        <is>
          <t>45236210; 43325000; 37535200; 45112000</t>
        </is>
      </c>
      <c r="Q2033" s="8" t="inlineStr">
        <is>
          <t>Ver</t>
        </is>
      </c>
      <c r="R2033" s="8" t="inlineStr">
        <is>
          <t>PCAP</t>
        </is>
      </c>
      <c r="S2033" s="9" t="n">
        <v>46310</v>
      </c>
      <c r="T2033" s="3" t="n">
        <v>46302.3779050926</v>
      </c>
      <c r="U2033" s="2" t="n"/>
    </row>
    <row r="2034">
      <c r="A2034" s="2" t="inlineStr">
        <is>
          <t>Resuelta</t>
        </is>
      </c>
      <c r="B2034" s="3" t="n">
        <v>45653.99930555555</v>
      </c>
      <c r="C2034" s="5" t="n">
        <v>4359578.08</v>
      </c>
      <c r="D2034" s="5" t="n">
        <v>4359578.08</v>
      </c>
      <c r="E2034" s="2" t="inlineStr">
        <is>
          <t>Comunitat Valenciana</t>
        </is>
      </c>
      <c r="F2034" s="2" t="inlineStr">
        <is>
          <t>Alicante</t>
        </is>
      </c>
      <c r="G2034" s="2" t="n"/>
      <c r="H2034" s="2" t="inlineStr">
        <is>
          <t>Pleno del Ayuntamiento de Novelda</t>
        </is>
      </c>
      <c r="I2034" s="2" t="inlineStr">
        <is>
          <t>Contratación De La Ejecución De Las Obras De “Construcción De Aulario Para Ciclos Formativos Y Conserjería, Climatización Y Eficiencia Energética, Accesibilidad Y Evacuación Del Centro I.E.S. La Mola”</t>
        </is>
      </c>
      <c r="J2034" s="2" t="inlineStr">
        <is>
          <t>2024/8456S</t>
        </is>
      </c>
      <c r="K2034" s="2" t="inlineStr">
        <is>
          <t>Abierto</t>
        </is>
      </c>
      <c r="L2034" s="6" t="n">
        <v>12</v>
      </c>
      <c r="M2034" s="2" t="inlineStr">
        <is>
          <t>I9-1; C2-1</t>
        </is>
      </c>
      <c r="N2034" s="7" t="n">
        <v>0.49</v>
      </c>
      <c r="O2034" s="4" t="n"/>
      <c r="P2034" s="2" t="inlineStr">
        <is>
          <t>45214220; 45214310</t>
        </is>
      </c>
      <c r="Q2034" s="8" t="inlineStr">
        <is>
          <t>Ver</t>
        </is>
      </c>
      <c r="R2034" s="8" t="inlineStr">
        <is>
          <t>PCAP</t>
        </is>
      </c>
      <c r="S2034" s="9" t="n">
        <v>46310</v>
      </c>
      <c r="T2034" s="3" t="n">
        <v>46302.375</v>
      </c>
      <c r="U2034" s="2" t="n"/>
    </row>
    <row r="2035">
      <c r="A2035" s="2" t="inlineStr">
        <is>
          <t>Resuelta</t>
        </is>
      </c>
      <c r="B2035" s="3" t="n">
        <v>46233.99930555555</v>
      </c>
      <c r="C2035" s="5" t="n">
        <v>390763.14</v>
      </c>
      <c r="D2035" s="5" t="n">
        <v>390763.14</v>
      </c>
      <c r="E2035" s="2" t="inlineStr">
        <is>
          <t>Comunitat Valenciana</t>
        </is>
      </c>
      <c r="F2035" s="2" t="inlineStr">
        <is>
          <t>Valencia</t>
        </is>
      </c>
      <c r="G2035" s="2" t="inlineStr">
        <is>
          <t>Torrent</t>
        </is>
      </c>
      <c r="H2035" s="2" t="inlineStr">
        <is>
          <t>Junta de Gobierno del Ayuntamiento de Torrent</t>
        </is>
      </c>
      <c r="I2035" s="2" t="inlineStr">
        <is>
          <t>Obra para el mantenimiento y reparación interior del edificio existente, compuesto por 4 viviendas y local en planta baja en C/ Maestro Fortea, nº 4 de Torrent</t>
        </is>
      </c>
      <c r="J2035" s="2" t="inlineStr">
        <is>
          <t>26002/2026</t>
        </is>
      </c>
      <c r="K2035" s="2" t="inlineStr">
        <is>
          <t>Abierto</t>
        </is>
      </c>
      <c r="L2035" s="6" t="n">
        <v>4</v>
      </c>
      <c r="M2035" s="2" t="n"/>
      <c r="N2035" s="7" t="n">
        <v>0</v>
      </c>
      <c r="O2035" s="4" t="n"/>
      <c r="P2035" s="2" t="inlineStr">
        <is>
          <t>45211100</t>
        </is>
      </c>
      <c r="Q2035" s="8" t="inlineStr">
        <is>
          <t>Ver</t>
        </is>
      </c>
      <c r="R2035" s="8" t="inlineStr">
        <is>
          <t>PCAP</t>
        </is>
      </c>
      <c r="S2035" s="9" t="n">
        <v>46310</v>
      </c>
      <c r="T2035" s="3" t="n">
        <v>46302.37027777778</v>
      </c>
      <c r="U2035" s="2" t="n"/>
    </row>
    <row r="2036">
      <c r="A2036" s="2" t="inlineStr">
        <is>
          <t>Resuelta</t>
        </is>
      </c>
      <c r="B2036" s="3" t="n">
        <v>45615.75</v>
      </c>
      <c r="C2036" s="5" t="n">
        <v>1604081.59</v>
      </c>
      <c r="D2036" s="5" t="n">
        <v>1604081.59</v>
      </c>
      <c r="E2036" s="2" t="inlineStr">
        <is>
          <t>Andalucía</t>
        </is>
      </c>
      <c r="F2036" s="2" t="inlineStr">
        <is>
          <t>Sevilla</t>
        </is>
      </c>
      <c r="G2036" s="2" t="n"/>
      <c r="H2036" s="2" t="inlineStr">
        <is>
          <t>Rectorado de la Universidad de Sevilla</t>
        </is>
      </c>
      <c r="I2036" s="2" t="inlineStr">
        <is>
          <t>Obra de Rehabilitación y Museografía de la Sala Cero del Museo de la Universidad de Sevilla en el edificio Bien de Interés Cultural de la Antigua Fábrica de Tabacos</t>
        </is>
      </c>
      <c r="J2036" s="2" t="inlineStr">
        <is>
          <t>24/ANT/58381</t>
        </is>
      </c>
      <c r="K2036" s="2" t="inlineStr">
        <is>
          <t>Abierto simplificado</t>
        </is>
      </c>
      <c r="L2036" s="6" t="n">
        <v>6</v>
      </c>
      <c r="M2036" s="2" t="inlineStr">
        <is>
          <t>K*-4</t>
        </is>
      </c>
      <c r="N2036" s="7" t="n">
        <v>0</v>
      </c>
      <c r="O2036" s="4" t="n"/>
      <c r="P2036" s="2" t="inlineStr">
        <is>
          <t>45214400</t>
        </is>
      </c>
      <c r="Q2036" s="8" t="inlineStr">
        <is>
          <t>Ver</t>
        </is>
      </c>
      <c r="R2036" s="8" t="inlineStr">
        <is>
          <t>PCAP</t>
        </is>
      </c>
      <c r="S2036" s="9" t="n">
        <v>46310</v>
      </c>
      <c r="T2036" s="3" t="n">
        <v>46302.35969907408</v>
      </c>
      <c r="U2036" s="2" t="n"/>
    </row>
    <row r="2037">
      <c r="A2037" s="2" t="inlineStr">
        <is>
          <t>Resuelta</t>
        </is>
      </c>
      <c r="B2037" s="3" t="n">
        <v>46251.99930555555</v>
      </c>
      <c r="C2037" s="5" t="n">
        <v>232971.31</v>
      </c>
      <c r="D2037" s="5" t="n">
        <v>232971.31</v>
      </c>
      <c r="E2037" s="2" t="inlineStr">
        <is>
          <t>Andalucía</t>
        </is>
      </c>
      <c r="F2037" s="2" t="inlineStr">
        <is>
          <t>Málaga</t>
        </is>
      </c>
      <c r="G2037" s="2" t="inlineStr">
        <is>
          <t>Alhaurín el Grande</t>
        </is>
      </c>
      <c r="H2037" s="2" t="inlineStr">
        <is>
          <t>Alcaldía del Ayuntamiento de Alhaurín el Grande</t>
        </is>
      </c>
      <c r="I2037" s="2" t="inlineStr">
        <is>
          <t>Proyecto de obras de rehabilitación cubierta del Pabellón nº 2 del Polideportivo Municipal de Alhaurín el Grande</t>
        </is>
      </c>
      <c r="J2037" s="2" t="inlineStr">
        <is>
          <t>22873/2026 CUBIERTA PABELLON</t>
        </is>
      </c>
      <c r="K2037" s="2" t="inlineStr">
        <is>
          <t>Abierto simplificado</t>
        </is>
      </c>
      <c r="L2037" s="6" t="n">
        <v>2.5</v>
      </c>
      <c r="M2037" s="2" t="n"/>
      <c r="N2037" s="7" t="n">
        <v>0.3</v>
      </c>
      <c r="O2037" s="4" t="n"/>
      <c r="P2037" s="2" t="inlineStr">
        <is>
          <t>45212225</t>
        </is>
      </c>
      <c r="Q2037" s="8" t="inlineStr">
        <is>
          <t>Ver</t>
        </is>
      </c>
      <c r="R2037" s="8" t="inlineStr">
        <is>
          <t>PCAP</t>
        </is>
      </c>
      <c r="S2037" s="9" t="n">
        <v>46310</v>
      </c>
      <c r="T2037" s="3" t="n">
        <v>46302.35820601852</v>
      </c>
      <c r="U2037" s="2" t="n"/>
    </row>
    <row r="2038">
      <c r="A2038" s="2" t="inlineStr">
        <is>
          <t>Resuelta</t>
        </is>
      </c>
      <c r="B2038" s="3" t="n">
        <v>46281.5</v>
      </c>
      <c r="C2038" s="5" t="n">
        <v>133644.51</v>
      </c>
      <c r="D2038" s="5" t="n">
        <v>133644.51</v>
      </c>
      <c r="E2038" s="2" t="inlineStr">
        <is>
          <t>Andalucía</t>
        </is>
      </c>
      <c r="F2038" s="2" t="inlineStr">
        <is>
          <t>Córdoba</t>
        </is>
      </c>
      <c r="G2038" s="2" t="n"/>
      <c r="H2038" s="2" t="inlineStr">
        <is>
          <t>Jefatura de Intendencia de Asuntos Económicos Sur</t>
        </is>
      </c>
      <c r="I2038" s="2" t="inlineStr">
        <is>
          <t>OBRA TC 204-16/25 de sustitución de cubierta y reparación de elementos estructurales en hangar nº 05, Base Cerro Muriano, Córdoba</t>
        </is>
      </c>
      <c r="J2038" s="2" t="inlineStr">
        <is>
          <t>2026/ETSAE0226/00005625E</t>
        </is>
      </c>
      <c r="K2038" s="2" t="inlineStr">
        <is>
          <t>Abierto</t>
        </is>
      </c>
      <c r="L2038" s="6" t="n">
        <v>3</v>
      </c>
      <c r="M2038" s="2" t="n"/>
      <c r="N2038" s="7" t="n">
        <v>0</v>
      </c>
      <c r="O2038" s="4" t="n"/>
      <c r="P2038" s="2" t="inlineStr">
        <is>
          <t>45261213</t>
        </is>
      </c>
      <c r="Q2038" s="8" t="inlineStr">
        <is>
          <t>Ver</t>
        </is>
      </c>
      <c r="R2038" s="8" t="inlineStr">
        <is>
          <t>PCAP</t>
        </is>
      </c>
      <c r="S2038" s="9" t="n">
        <v>46310</v>
      </c>
      <c r="T2038" s="3" t="n">
        <v>46302.35603009259</v>
      </c>
      <c r="U2038" s="2" t="n"/>
    </row>
    <row r="2039">
      <c r="A2039" s="2" t="inlineStr">
        <is>
          <t>Resuelta</t>
        </is>
      </c>
      <c r="B2039" s="3" t="n">
        <v>44858.54166666666</v>
      </c>
      <c r="C2039" s="5" t="n">
        <v>1770938.44</v>
      </c>
      <c r="D2039" s="5" t="n">
        <v>1770938.44</v>
      </c>
      <c r="E2039" s="2" t="inlineStr">
        <is>
          <t>Andalucía</t>
        </is>
      </c>
      <c r="F2039" s="2" t="inlineStr">
        <is>
          <t>Sevilla</t>
        </is>
      </c>
      <c r="G2039" s="2" t="inlineStr">
        <is>
          <t>Marchena</t>
        </is>
      </c>
      <c r="H2039" s="2" t="inlineStr">
        <is>
          <t>Pleno del Ayuntamiento de Marchena</t>
        </is>
      </c>
      <c r="I2039"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2039" s="2" t="inlineStr">
        <is>
          <t>2022/CTT_01/000156</t>
        </is>
      </c>
      <c r="K2039" s="2" t="inlineStr">
        <is>
          <t>Abierto simplificado</t>
        </is>
      </c>
      <c r="L2039" s="6" t="n">
        <v>15</v>
      </c>
      <c r="M2039" s="2" t="inlineStr">
        <is>
          <t>C9-4; C*-2; C*-6; C*-4</t>
        </is>
      </c>
      <c r="N2039" s="7" t="n">
        <v>0</v>
      </c>
      <c r="O2039" s="4" t="n"/>
      <c r="P2039" s="2" t="inlineStr">
        <is>
          <t>45000000; 45213150</t>
        </is>
      </c>
      <c r="Q2039" s="8" t="inlineStr">
        <is>
          <t>Ver</t>
        </is>
      </c>
      <c r="R2039" s="8" t="inlineStr">
        <is>
          <t>PCAP</t>
        </is>
      </c>
      <c r="S2039" s="9" t="n">
        <v>46310</v>
      </c>
      <c r="T2039" s="3" t="n">
        <v>46302.35174768518</v>
      </c>
      <c r="U2039" s="2" t="n"/>
    </row>
    <row r="2040">
      <c r="A2040" s="2" t="inlineStr">
        <is>
          <t>Adjudicada</t>
        </is>
      </c>
      <c r="B2040" s="3" t="n">
        <v>46293.625</v>
      </c>
      <c r="C2040" s="5" t="n">
        <v>413223.14</v>
      </c>
      <c r="D2040" s="5" t="n">
        <v>413223.14</v>
      </c>
      <c r="E2040" s="2" t="inlineStr">
        <is>
          <t>Andalucía</t>
        </is>
      </c>
      <c r="F2040" s="2" t="inlineStr">
        <is>
          <t>Sevilla</t>
        </is>
      </c>
      <c r="G2040" s="2" t="n"/>
      <c r="H2040" s="2" t="inlineStr">
        <is>
          <t>Alcaldía del Ayuntamiento de El Pedroso</t>
        </is>
      </c>
      <c r="I2040" s="2" t="inlineStr">
        <is>
          <t>Reforma y reparación del Camping La Jarosa</t>
        </is>
      </c>
      <c r="J2040" s="2" t="inlineStr">
        <is>
          <t>348/2025</t>
        </is>
      </c>
      <c r="K2040" s="2" t="inlineStr">
        <is>
          <t>Abierto</t>
        </is>
      </c>
      <c r="L2040" s="6" t="n">
        <v>6</v>
      </c>
      <c r="M2040" s="2" t="n"/>
      <c r="N2040" s="7" t="n">
        <v>0</v>
      </c>
      <c r="O2040" s="4" t="n"/>
      <c r="P2040" s="2" t="inlineStr">
        <is>
          <t>45212000</t>
        </is>
      </c>
      <c r="Q2040" s="8" t="inlineStr">
        <is>
          <t>Ver</t>
        </is>
      </c>
      <c r="R2040" s="8" t="inlineStr">
        <is>
          <t>PCAP</t>
        </is>
      </c>
      <c r="S2040" s="9" t="n">
        <v>46310</v>
      </c>
      <c r="T2040" s="3" t="n">
        <v>46302.3515162037</v>
      </c>
      <c r="U2040" s="2" t="n"/>
    </row>
    <row r="2041">
      <c r="A2041" s="2" t="inlineStr">
        <is>
          <t>Resuelta</t>
        </is>
      </c>
      <c r="B2041" s="3" t="n">
        <v>46233.75</v>
      </c>
      <c r="C2041" s="5" t="n">
        <v>681938.29</v>
      </c>
      <c r="D2041" s="5" t="n">
        <v>681938.29</v>
      </c>
      <c r="E2041" s="2" t="inlineStr">
        <is>
          <t>Andalucía</t>
        </is>
      </c>
      <c r="F2041" s="2" t="inlineStr">
        <is>
          <t>Cádiz</t>
        </is>
      </c>
      <c r="G2041" s="2" t="n"/>
      <c r="H2041" s="2" t="inlineStr">
        <is>
          <t>Junta de Gobierno del Ayuntamiento de El Puerto de Santa María</t>
        </is>
      </c>
      <c r="I2041" s="2" t="inlineStr">
        <is>
          <t>Ejecución de obras de sustitución de césped e instalación red de riego y equipamiento deportivo en campo de fútbol en la Ciudad Deportiva Rafael Sánchez.</t>
        </is>
      </c>
      <c r="J2041" s="2" t="inlineStr">
        <is>
          <t>8239/2026</t>
        </is>
      </c>
      <c r="K2041" s="2" t="inlineStr">
        <is>
          <t>Abierto simplificado</t>
        </is>
      </c>
      <c r="L2041" s="6" t="n">
        <v>3</v>
      </c>
      <c r="M2041" s="2" t="n"/>
      <c r="N2041" s="7" t="n">
        <v>0.25</v>
      </c>
      <c r="O2041" s="4" t="n"/>
      <c r="P2041" s="2" t="inlineStr">
        <is>
          <t>45236119; 45212200; 39293400; 45212290</t>
        </is>
      </c>
      <c r="Q2041" s="8" t="inlineStr">
        <is>
          <t>Ver</t>
        </is>
      </c>
      <c r="R2041" s="8" t="inlineStr">
        <is>
          <t>PCAP</t>
        </is>
      </c>
      <c r="S2041" s="9" t="n">
        <v>46310</v>
      </c>
      <c r="T2041" s="3" t="n">
        <v>46302.34282407408</v>
      </c>
      <c r="U2041" s="2" t="n"/>
    </row>
    <row r="2042">
      <c r="A2042" s="2" t="inlineStr">
        <is>
          <t>Resuelta</t>
        </is>
      </c>
      <c r="B2042" s="3" t="n">
        <v>46260.58333333334</v>
      </c>
      <c r="C2042" s="5" t="n">
        <v>99121.78999999999</v>
      </c>
      <c r="D2042" s="5" t="n">
        <v>99121.78999999999</v>
      </c>
      <c r="E2042" s="2" t="inlineStr">
        <is>
          <t>Comunitat Valenciana</t>
        </is>
      </c>
      <c r="F2042" s="2" t="inlineStr">
        <is>
          <t>Valencia</t>
        </is>
      </c>
      <c r="G2042" s="2" t="n"/>
      <c r="H2042" s="2" t="inlineStr">
        <is>
          <t>Concejalía Delegada de Contratación del Ayuntamiento de Gandía</t>
        </is>
      </c>
      <c r="I2042" s="2" t="inlineStr">
        <is>
          <t>Contrato de obras para la construcción de la segunda fase de nichos en la ampliación del Cementerio de Gandia.</t>
        </is>
      </c>
      <c r="J2042" s="2" t="inlineStr">
        <is>
          <t>CONT-052/2026 (37840/2026)</t>
        </is>
      </c>
      <c r="K2042" s="2" t="inlineStr">
        <is>
          <t>Abierto</t>
        </is>
      </c>
      <c r="L2042" s="6" t="n">
        <v>2</v>
      </c>
      <c r="M2042" s="2" t="n"/>
      <c r="N2042" s="7" t="n">
        <v>0</v>
      </c>
      <c r="O2042" s="4" t="n"/>
      <c r="P2042" s="2" t="inlineStr">
        <is>
          <t>45215400</t>
        </is>
      </c>
      <c r="Q2042" s="8" t="inlineStr">
        <is>
          <t>Ver</t>
        </is>
      </c>
      <c r="R2042" s="8" t="inlineStr">
        <is>
          <t>PCAP</t>
        </is>
      </c>
      <c r="S2042" s="9" t="n">
        <v>46310</v>
      </c>
      <c r="T2042" s="3" t="n">
        <v>46302.3409375</v>
      </c>
      <c r="U2042" s="2" t="n"/>
    </row>
    <row r="2043">
      <c r="A2043" s="2" t="inlineStr">
        <is>
          <t>Plazo vencido</t>
        </is>
      </c>
      <c r="B2043" s="3" t="n">
        <v>46315.5</v>
      </c>
      <c r="C2043" s="5" t="n">
        <v>52000</v>
      </c>
      <c r="D2043" s="5" t="n">
        <v>52000</v>
      </c>
      <c r="E2043" s="2" t="inlineStr">
        <is>
          <t>Andalucía</t>
        </is>
      </c>
      <c r="F2043" s="2" t="inlineStr">
        <is>
          <t>Granada</t>
        </is>
      </c>
      <c r="G2043" s="2" t="n"/>
      <c r="H2043" s="2" t="inlineStr">
        <is>
          <t>Dirección General de Renfe Ingeniería y Mantenimiento Sociedad Mercantil Estatal, S.A.</t>
        </is>
      </c>
      <c r="I2043" s="2" t="inlineStr">
        <is>
          <t>Obra de adecuacion y sustitucion de alumbrado y acometidas de techos, paredes y fosos, tipo led, en la nave de automotores del cerc de granada</t>
        </is>
      </c>
      <c r="J2043" s="2" t="inlineStr">
        <is>
          <t>2026-03849</t>
        </is>
      </c>
      <c r="K2043" s="2" t="inlineStr">
        <is>
          <t>Normas internas</t>
        </is>
      </c>
      <c r="L2043" s="6" t="n">
        <v>3</v>
      </c>
      <c r="M2043" s="2" t="n"/>
      <c r="N2043" s="7" t="n"/>
      <c r="O2043" s="4" t="n"/>
      <c r="P2043" s="2" t="inlineStr">
        <is>
          <t>45316000; 45310000</t>
        </is>
      </c>
      <c r="Q2043" s="8" t="inlineStr">
        <is>
          <t>Ver</t>
        </is>
      </c>
      <c r="R2043" s="8" t="inlineStr">
        <is>
          <t>PCAP</t>
        </is>
      </c>
      <c r="S2043" s="9" t="n">
        <v>46310</v>
      </c>
      <c r="T2043" s="3" t="n">
        <v>46302.31199074074</v>
      </c>
      <c r="U2043" s="2" t="n"/>
    </row>
    <row r="2044">
      <c r="A2044" s="2" t="inlineStr">
        <is>
          <t>Plazo vencido</t>
        </is>
      </c>
      <c r="B2044" s="3" t="n">
        <v>46317.99930555555</v>
      </c>
      <c r="C2044" s="5" t="n">
        <v>145984</v>
      </c>
      <c r="D2044" s="5" t="n">
        <v>145984</v>
      </c>
      <c r="E2044" s="2" t="inlineStr">
        <is>
          <t>Comunitat Valenciana</t>
        </is>
      </c>
      <c r="F2044" s="2" t="inlineStr">
        <is>
          <t>Alicante</t>
        </is>
      </c>
      <c r="G2044" s="2" t="n"/>
      <c r="H2044" s="2" t="inlineStr">
        <is>
          <t>Alcaldía del Ayuntamiento de Polop</t>
        </is>
      </c>
      <c r="I2044" s="2" t="inlineStr">
        <is>
          <t>Obras de reparación de fuente y depósito de la Plaza de los Chorros en Polop de la Marina (Alicante).</t>
        </is>
      </c>
      <c r="J2044" s="2" t="inlineStr">
        <is>
          <t>2869/2026</t>
        </is>
      </c>
      <c r="K2044" s="2" t="inlineStr">
        <is>
          <t>Abierto simplificado</t>
        </is>
      </c>
      <c r="L2044" s="6" t="n">
        <v>3</v>
      </c>
      <c r="M2044" s="2" t="n"/>
      <c r="N2044" s="7" t="n">
        <v>0.25</v>
      </c>
      <c r="O2044" s="4" t="n"/>
      <c r="P2044" s="2" t="inlineStr">
        <is>
          <t>45212350</t>
        </is>
      </c>
      <c r="Q2044" s="8" t="inlineStr">
        <is>
          <t>Ver</t>
        </is>
      </c>
      <c r="R2044" s="8" t="inlineStr">
        <is>
          <t>PCAP</t>
        </is>
      </c>
      <c r="S2044" s="9" t="n">
        <v>46310</v>
      </c>
      <c r="T2044" s="3" t="n">
        <v>46302.25481481481</v>
      </c>
      <c r="U2044" s="2" t="n"/>
    </row>
    <row r="2045">
      <c r="A2045" s="2" t="inlineStr">
        <is>
          <t>Plazo vencido</t>
        </is>
      </c>
      <c r="B2045" s="3" t="n">
        <v>46321.58333333334</v>
      </c>
      <c r="C2045" s="5" t="n">
        <v>54504.36</v>
      </c>
      <c r="D2045" s="5" t="n">
        <v>54504.36</v>
      </c>
      <c r="E2045" s="2" t="inlineStr">
        <is>
          <t>Comunitat Valenciana</t>
        </is>
      </c>
      <c r="F2045" s="2" t="inlineStr">
        <is>
          <t>Valencia</t>
        </is>
      </c>
      <c r="G2045" s="2" t="inlineStr">
        <is>
          <t>Vallanca</t>
        </is>
      </c>
      <c r="H2045" s="2" t="inlineStr">
        <is>
          <t>Alcaldía del Ayuntamiento de Vallanca</t>
        </is>
      </c>
      <c r="I2045" s="2" t="inlineStr">
        <is>
          <t>Rehabilitación del inmueble municipal Casa Diezmera</t>
        </is>
      </c>
      <c r="J2045" s="2" t="inlineStr">
        <is>
          <t>240/2026</t>
        </is>
      </c>
      <c r="K2045" s="2" t="inlineStr">
        <is>
          <t>Abierto simplificado</t>
        </is>
      </c>
      <c r="L2045" s="6" t="n">
        <v>6</v>
      </c>
      <c r="M2045" s="2" t="n"/>
      <c r="N2045" s="7" t="n">
        <v>0</v>
      </c>
      <c r="O2045" s="4" t="n"/>
      <c r="P2045" s="2" t="inlineStr">
        <is>
          <t>45262690</t>
        </is>
      </c>
      <c r="Q2045" s="8" t="inlineStr">
        <is>
          <t>Ver</t>
        </is>
      </c>
      <c r="R2045" s="8" t="inlineStr">
        <is>
          <t>PCAP</t>
        </is>
      </c>
      <c r="S2045" s="9" t="n">
        <v>46310</v>
      </c>
      <c r="T2045" s="3" t="n">
        <v>46301.87353009259</v>
      </c>
      <c r="U2045" s="2" t="n"/>
    </row>
    <row r="2046">
      <c r="A2046" s="2" t="inlineStr">
        <is>
          <t>Pendiente de adjudicación</t>
        </is>
      </c>
      <c r="B2046" s="3" t="n">
        <v>46293.99930555555</v>
      </c>
      <c r="C2046" s="5" t="n">
        <v>51577.69</v>
      </c>
      <c r="D2046" s="5" t="n">
        <v>51577.69</v>
      </c>
      <c r="E2046" s="2" t="inlineStr">
        <is>
          <t>Andalucía</t>
        </is>
      </c>
      <c r="F2046" s="2" t="inlineStr">
        <is>
          <t>Granada</t>
        </is>
      </c>
      <c r="G2046" s="2" t="inlineStr">
        <is>
          <t>JUN.</t>
        </is>
      </c>
      <c r="H2046" s="2" t="inlineStr">
        <is>
          <t>Alcaldía del Ayuntamiento de Jun</t>
        </is>
      </c>
      <c r="I2046" s="2" t="inlineStr">
        <is>
          <t>Pavimentación de las calles San Luís, Aguas, Antonio Rodríguez, en JUN.</t>
        </is>
      </c>
      <c r="J2046" s="2" t="inlineStr">
        <is>
          <t>387/2026</t>
        </is>
      </c>
      <c r="K2046" s="2" t="inlineStr">
        <is>
          <t>Abierto simplificado</t>
        </is>
      </c>
      <c r="L2046" s="6" t="n">
        <v>0.7</v>
      </c>
      <c r="M2046" s="2" t="n"/>
      <c r="N2046" s="7" t="n">
        <v>0</v>
      </c>
      <c r="O2046" s="4" t="n"/>
      <c r="P2046" s="2" t="inlineStr">
        <is>
          <t>45233252</t>
        </is>
      </c>
      <c r="Q2046" s="8" t="inlineStr">
        <is>
          <t>Ver</t>
        </is>
      </c>
      <c r="R2046" s="8" t="inlineStr">
        <is>
          <t>PCAP</t>
        </is>
      </c>
      <c r="S2046" s="9" t="n">
        <v>46310</v>
      </c>
      <c r="T2046" s="3" t="n">
        <v>46301.73722222223</v>
      </c>
      <c r="U2046" s="2" t="n"/>
    </row>
    <row r="2047">
      <c r="A2047" s="2" t="inlineStr">
        <is>
          <t>Adjudicada</t>
        </is>
      </c>
      <c r="B2047" s="3" t="n">
        <v>46230.99930555555</v>
      </c>
      <c r="C2047" s="5" t="n">
        <v>1239669.42</v>
      </c>
      <c r="D2047" s="5" t="n">
        <v>2975206.61</v>
      </c>
      <c r="E2047" s="2" t="inlineStr">
        <is>
          <t>Andalucía</t>
        </is>
      </c>
      <c r="F2047" s="2" t="inlineStr">
        <is>
          <t>Málaga</t>
        </is>
      </c>
      <c r="G2047" s="2" t="n"/>
      <c r="H2047" s="2" t="inlineStr">
        <is>
          <t>Concejalía Delegada en Materia de Contratación del Ayuntamiento de Torremolinos</t>
        </is>
      </c>
      <c r="I2047" s="2" t="inlineStr">
        <is>
          <t>Acuerdo Marco obras de reparación simple, conservación y mantenimiento de acera y áreas peatonales de espacios públicos del Ayuntamiento de Torremolinos (3 lotes)</t>
        </is>
      </c>
      <c r="J2047" s="2" t="inlineStr">
        <is>
          <t>13571/2026</t>
        </is>
      </c>
      <c r="K2047" s="2" t="inlineStr">
        <is>
          <t>Abierto</t>
        </is>
      </c>
      <c r="L2047" s="6" t="n">
        <v>12</v>
      </c>
      <c r="M2047" s="2" t="n"/>
      <c r="N2047" s="7" t="n">
        <v>0.15</v>
      </c>
      <c r="O2047" s="4" t="n"/>
      <c r="P2047" s="2" t="inlineStr">
        <is>
          <t>45233222; 50230000; 45233251; 45233253; 45233252</t>
        </is>
      </c>
      <c r="Q2047" s="8" t="inlineStr">
        <is>
          <t>Ver</t>
        </is>
      </c>
      <c r="R2047" s="8" t="inlineStr">
        <is>
          <t>PCAP</t>
        </is>
      </c>
      <c r="S2047" s="9" t="n">
        <v>46310</v>
      </c>
      <c r="T2047" s="3" t="n">
        <v>46301.70177083334</v>
      </c>
      <c r="U2047" s="2" t="n"/>
    </row>
    <row r="2048">
      <c r="A2048" s="2" t="inlineStr">
        <is>
          <t>Resuelta</t>
        </is>
      </c>
      <c r="B2048" s="3" t="n">
        <v>46210.58333333334</v>
      </c>
      <c r="C2048" s="5" t="n">
        <v>254134.14</v>
      </c>
      <c r="D2048" s="5" t="n">
        <v>254134.14</v>
      </c>
      <c r="E2048" s="2" t="inlineStr">
        <is>
          <t>Comunitat Valenciana</t>
        </is>
      </c>
      <c r="F2048" s="2" t="inlineStr">
        <is>
          <t>Valencia</t>
        </is>
      </c>
      <c r="G2048" s="2" t="n"/>
      <c r="H2048" s="2" t="inlineStr">
        <is>
          <t>Alcaldía del Ayuntamiento de Almussafes</t>
        </is>
      </c>
      <c r="I2048" s="2" t="inlineStr">
        <is>
          <t>Contrato obras de construcción de vestuarios y aseos para uso compartido del campo de fútbol y la pista polivalente de Almussafes</t>
        </is>
      </c>
      <c r="J2048" s="2" t="inlineStr">
        <is>
          <t>SEC/cma/020-2026</t>
        </is>
      </c>
      <c r="K2048" s="2" t="inlineStr">
        <is>
          <t>Abierto simplificado</t>
        </is>
      </c>
      <c r="L2048" s="6" t="n">
        <v>5</v>
      </c>
      <c r="M2048" s="2" t="n"/>
      <c r="N2048" s="7" t="n">
        <v>0</v>
      </c>
      <c r="O2048" s="4" t="n"/>
      <c r="P2048" s="2" t="inlineStr">
        <is>
          <t>45212200; 45212230</t>
        </is>
      </c>
      <c r="Q2048" s="8" t="inlineStr">
        <is>
          <t>Ver</t>
        </is>
      </c>
      <c r="R2048" s="8" t="inlineStr">
        <is>
          <t>PCAP</t>
        </is>
      </c>
      <c r="S2048" s="9" t="n">
        <v>46310</v>
      </c>
      <c r="T2048" s="3" t="n">
        <v>46301.64070601852</v>
      </c>
      <c r="U2048" s="2" t="n"/>
    </row>
    <row r="2049">
      <c r="A2049" s="2" t="inlineStr">
        <is>
          <t>Resuelta</t>
        </is>
      </c>
      <c r="B2049" s="3" t="n">
        <v>46237.99930555555</v>
      </c>
      <c r="C2049" s="5" t="n">
        <v>1377516.84</v>
      </c>
      <c r="D2049" s="5" t="n">
        <v>1377516.84</v>
      </c>
      <c r="E2049" s="2" t="inlineStr">
        <is>
          <t>Andalucía</t>
        </is>
      </c>
      <c r="F2049" s="2" t="inlineStr">
        <is>
          <t>Málaga</t>
        </is>
      </c>
      <c r="G2049" s="2" t="n"/>
      <c r="H2049" s="2" t="inlineStr">
        <is>
          <t>Alcaldía del Ayuntamiento de Alhaurín de la Torre</t>
        </is>
      </c>
      <c r="I2049" s="2" t="inlineStr">
        <is>
          <t>Restitución de la canalización de aguas pluviales en las calles Félix Rodríguez de la Fuente, Cabo de Gata, Jose Espronceda y Avenida de la Calera hasta llegar al cauce del Arroyo del Gato</t>
        </is>
      </c>
      <c r="J2049" s="2" t="inlineStr">
        <is>
          <t>2026 CONT-00030</t>
        </is>
      </c>
      <c r="K2049" s="2" t="inlineStr">
        <is>
          <t>Abierto simplificado</t>
        </is>
      </c>
      <c r="L2049" s="6" t="n">
        <v>8</v>
      </c>
      <c r="M2049" s="2" t="inlineStr">
        <is>
          <t>E1-4</t>
        </is>
      </c>
      <c r="N2049" s="7" t="n">
        <v>0</v>
      </c>
      <c r="O2049" s="4" t="n"/>
      <c r="P2049" s="2" t="inlineStr">
        <is>
          <t>45000000; 45232400; 45112000; 45233222; 45232410; 45112100; 45231300; 45200000</t>
        </is>
      </c>
      <c r="Q2049" s="8" t="inlineStr">
        <is>
          <t>Ver</t>
        </is>
      </c>
      <c r="R2049" s="8" t="inlineStr">
        <is>
          <t>PCAP</t>
        </is>
      </c>
      <c r="S2049" s="9" t="n">
        <v>46310</v>
      </c>
      <c r="T2049" s="3" t="n">
        <v>46301.63260416667</v>
      </c>
      <c r="U2049" s="2" t="n"/>
    </row>
    <row r="2050">
      <c r="A2050" s="2" t="inlineStr">
        <is>
          <t>Plazo vencido</t>
        </is>
      </c>
      <c r="B2050" s="3" t="n">
        <v>46316.99930555555</v>
      </c>
      <c r="C2050" s="5" t="n">
        <v>59473.66</v>
      </c>
      <c r="D2050" s="5" t="n">
        <v>59473.66</v>
      </c>
      <c r="E2050" s="2" t="inlineStr">
        <is>
          <t>Andalucía</t>
        </is>
      </c>
      <c r="F2050" s="2" t="inlineStr">
        <is>
          <t>Cádiz</t>
        </is>
      </c>
      <c r="G2050" s="2" t="inlineStr">
        <is>
          <t>Algeciras (Cádiz)</t>
        </is>
      </c>
      <c r="H2050" s="2" t="inlineStr">
        <is>
          <t>Alcaldía del Ayuntamiento de Algeciras</t>
        </is>
      </c>
      <c r="I2050" s="2" t="inlineStr">
        <is>
          <t>REPARACIÓN PARCIAL DE CUBIERTA DE LA EEI GLORIAFUERTES LOTE 1: Obra de Reparación parcial de la cubierta en la EEI Gloria Fuertes LOTE2: Asistencia técnica para la coordinación de seguridad y salud en fase ejecución de las obras.</t>
        </is>
      </c>
      <c r="J2050" s="2" t="inlineStr">
        <is>
          <t>23105/2026</t>
        </is>
      </c>
      <c r="K2050" s="2" t="inlineStr">
        <is>
          <t>Abierto simplificado</t>
        </is>
      </c>
      <c r="L2050" s="6" t="n">
        <v>3</v>
      </c>
      <c r="M2050" s="2" t="n"/>
      <c r="N2050" s="7" t="n">
        <v>0</v>
      </c>
      <c r="O2050" s="4" t="n">
        <v>2</v>
      </c>
      <c r="P2050" s="2" t="inlineStr">
        <is>
          <t>45200000; 71317200</t>
        </is>
      </c>
      <c r="Q2050" s="8" t="inlineStr">
        <is>
          <t>Ver</t>
        </is>
      </c>
      <c r="R2050" s="8" t="inlineStr">
        <is>
          <t>PCAP</t>
        </is>
      </c>
      <c r="S2050" s="9" t="n">
        <v>46310</v>
      </c>
      <c r="T2050" s="3" t="n">
        <v>46301.6309375</v>
      </c>
      <c r="U2050" s="2" t="n"/>
    </row>
    <row r="2051">
      <c r="A2051" s="2" t="inlineStr">
        <is>
          <t>Resuelta</t>
        </is>
      </c>
      <c r="B2051" s="3" t="n">
        <v>46094.95833333334</v>
      </c>
      <c r="C2051" s="5" t="n">
        <v>353626.79</v>
      </c>
      <c r="D2051" s="5" t="n">
        <v>353626.79</v>
      </c>
      <c r="E2051" s="2" t="inlineStr">
        <is>
          <t>Andalucía</t>
        </is>
      </c>
      <c r="F2051" s="2" t="inlineStr">
        <is>
          <t>Granada</t>
        </is>
      </c>
      <c r="G2051" s="2" t="n"/>
      <c r="H2051" s="2" t="inlineStr">
        <is>
          <t>Alcaldía del Ayuntamiento de Vegas del Genil</t>
        </is>
      </c>
      <c r="I2051" s="2" t="inlineStr">
        <is>
          <t>Remodelación de varios parques (Avda. del Mediterráneo, C/Fuente Vaqueros, C/ Atenea, C/ Águila) y Plaza de Andalucía.</t>
        </is>
      </c>
      <c r="J2051" s="2" t="inlineStr">
        <is>
          <t>7448/2025</t>
        </is>
      </c>
      <c r="K2051" s="2" t="inlineStr">
        <is>
          <t>Abierto simplificado</t>
        </is>
      </c>
      <c r="L2051" s="6" t="n">
        <v>4</v>
      </c>
      <c r="M2051" s="2" t="n"/>
      <c r="N2051" s="7" t="n">
        <v>0</v>
      </c>
      <c r="O2051" s="4" t="n">
        <v>5</v>
      </c>
      <c r="P2051" s="2" t="inlineStr">
        <is>
          <t>45112711; 45000000</t>
        </is>
      </c>
      <c r="Q2051" s="8" t="inlineStr">
        <is>
          <t>Ver</t>
        </is>
      </c>
      <c r="R2051" s="8" t="inlineStr">
        <is>
          <t>PCAP</t>
        </is>
      </c>
      <c r="S2051" s="9" t="n">
        <v>46310</v>
      </c>
      <c r="T2051" s="3" t="n">
        <v>46301.62054398148</v>
      </c>
      <c r="U2051" s="2" t="n"/>
    </row>
    <row r="2052">
      <c r="A2052" s="2" t="inlineStr">
        <is>
          <t>Adjudicada</t>
        </is>
      </c>
      <c r="B2052" s="3" t="n">
        <v>46290.99930555555</v>
      </c>
      <c r="C2052" s="5" t="n">
        <v>63809.56</v>
      </c>
      <c r="D2052" s="5" t="n">
        <v>63809.56</v>
      </c>
      <c r="E2052" s="2" t="inlineStr">
        <is>
          <t>Comunitat Valenciana</t>
        </is>
      </c>
      <c r="F2052" s="2" t="inlineStr">
        <is>
          <t>Valencia</t>
        </is>
      </c>
      <c r="G2052" s="2" t="inlineStr">
        <is>
          <t>Jalance</t>
        </is>
      </c>
      <c r="H2052" s="2" t="inlineStr">
        <is>
          <t>Alcaldía del Ayuntamiento de Jalance</t>
        </is>
      </c>
      <c r="I2052" s="2" t="inlineStr">
        <is>
          <t>Obras de acondicionamiento de Camino Penva Campillo según proyecto redactado por Óscar Méndez Argente (Ingeniero Industrial nº4.400) de fecha septiembre 2026, PENVA 2025.</t>
        </is>
      </c>
      <c r="J2052" s="2" t="inlineStr">
        <is>
          <t>458-2026</t>
        </is>
      </c>
      <c r="K2052" s="2" t="inlineStr">
        <is>
          <t>Abierto simplificado</t>
        </is>
      </c>
      <c r="L2052" s="6" t="n"/>
      <c r="M2052" s="2" t="n"/>
      <c r="N2052" s="7" t="n">
        <v>0</v>
      </c>
      <c r="O2052" s="4" t="n"/>
      <c r="P2052" s="2" t="inlineStr">
        <is>
          <t>45233222</t>
        </is>
      </c>
      <c r="Q2052" s="8" t="inlineStr">
        <is>
          <t>Ver</t>
        </is>
      </c>
      <c r="R2052" s="8" t="inlineStr">
        <is>
          <t>PCAP</t>
        </is>
      </c>
      <c r="S2052" s="9" t="n">
        <v>46310</v>
      </c>
      <c r="T2052" s="3" t="n">
        <v>46301.62006944444</v>
      </c>
      <c r="U2052" s="2" t="n"/>
    </row>
    <row r="2053">
      <c r="A2053" s="2" t="inlineStr">
        <is>
          <t>Resuelta</t>
        </is>
      </c>
      <c r="B2053" s="3" t="n">
        <v>46105.99930555555</v>
      </c>
      <c r="C2053" s="5" t="n">
        <v>210341.16</v>
      </c>
      <c r="D2053" s="5" t="n">
        <v>210341.16</v>
      </c>
      <c r="E2053" s="2" t="inlineStr">
        <is>
          <t>Comunitat Valenciana</t>
        </is>
      </c>
      <c r="F2053" s="2" t="inlineStr">
        <is>
          <t>Valencia</t>
        </is>
      </c>
      <c r="G2053" s="2" t="n"/>
      <c r="H2053" s="2" t="inlineStr">
        <is>
          <t>Dirección General Societat Anonima de Gestió Sagunt Mitja Propi Municipal S.A.</t>
        </is>
      </c>
      <c r="I2053" s="2" t="inlineStr">
        <is>
          <t>Establecimiento de Acuerdo Marco mixto para el suministro de material de pintura (accesorio) y trabajos (principal) de aplicación.</t>
        </is>
      </c>
      <c r="J2053" s="2" t="inlineStr">
        <is>
          <t>AMSAG2026-01</t>
        </is>
      </c>
      <c r="K2053" s="2" t="inlineStr">
        <is>
          <t>Abierto</t>
        </is>
      </c>
      <c r="L2053" s="6" t="n">
        <v>12</v>
      </c>
      <c r="M2053" s="2" t="n"/>
      <c r="N2053" s="7" t="n">
        <v>0</v>
      </c>
      <c r="O2053" s="4" t="n">
        <v>3</v>
      </c>
      <c r="P2053" s="2" t="inlineStr">
        <is>
          <t>45233221; 44800000; 44811000; 45442110</t>
        </is>
      </c>
      <c r="Q2053" s="8" t="inlineStr">
        <is>
          <t>Ver</t>
        </is>
      </c>
      <c r="R2053" s="8" t="inlineStr">
        <is>
          <t>PCAP</t>
        </is>
      </c>
      <c r="S2053" s="9" t="n">
        <v>46310</v>
      </c>
      <c r="T2053" s="3" t="n">
        <v>46301.61453703704</v>
      </c>
      <c r="U2053" s="2" t="n"/>
    </row>
    <row r="2054">
      <c r="A2054" s="2" t="inlineStr">
        <is>
          <t>Resuelta</t>
        </is>
      </c>
      <c r="B2054" s="3" t="n">
        <v>46283.99930555555</v>
      </c>
      <c r="C2054" s="5" t="n">
        <v>799142.17</v>
      </c>
      <c r="D2054" s="5" t="n">
        <v>799142.17</v>
      </c>
      <c r="E2054" s="2" t="inlineStr">
        <is>
          <t>Andalucía</t>
        </is>
      </c>
      <c r="F2054" s="2" t="inlineStr">
        <is>
          <t>Sevilla</t>
        </is>
      </c>
      <c r="G2054" s="2" t="inlineStr">
        <is>
          <t>Alcalá de Guadaíra</t>
        </is>
      </c>
      <c r="H2054" s="2" t="inlineStr">
        <is>
          <t>Junta de Gobierno Local del Ayuntamiento de Alcalá de Guadaíra</t>
        </is>
      </c>
      <c r="I2054" s="2" t="inlineStr">
        <is>
          <t>obras de ampliación del museo de la ciudad (C-2026/044)</t>
        </is>
      </c>
      <c r="J2054" s="2" t="inlineStr">
        <is>
          <t>7693/2026</t>
        </is>
      </c>
      <c r="K2054" s="2" t="inlineStr">
        <is>
          <t>Abierto simplificado</t>
        </is>
      </c>
      <c r="L2054" s="6" t="n">
        <v>12</v>
      </c>
      <c r="M2054" s="2" t="n"/>
      <c r="N2054" s="7" t="n">
        <v>0.2</v>
      </c>
      <c r="O2054" s="4" t="n"/>
      <c r="P2054" s="2" t="inlineStr">
        <is>
          <t>45212313</t>
        </is>
      </c>
      <c r="Q2054" s="8" t="inlineStr">
        <is>
          <t>Ver</t>
        </is>
      </c>
      <c r="R2054" s="8" t="inlineStr">
        <is>
          <t>PCAP</t>
        </is>
      </c>
      <c r="S2054" s="9" t="n">
        <v>46310</v>
      </c>
      <c r="T2054" s="3" t="n">
        <v>46301.60958333333</v>
      </c>
      <c r="U2054" s="2" t="n"/>
    </row>
    <row r="2055">
      <c r="A2055" s="2" t="inlineStr">
        <is>
          <t>Pendiente de adjudicación</t>
        </is>
      </c>
      <c r="B2055" s="3" t="n">
        <v>46231.58333333334</v>
      </c>
      <c r="C2055" s="5" t="n">
        <v>11085400.34</v>
      </c>
      <c r="D2055" s="5" t="n">
        <v>11085400.34</v>
      </c>
      <c r="E2055" s="2" t="inlineStr">
        <is>
          <t>Comunitat Valenciana</t>
        </is>
      </c>
      <c r="F2055" s="2" t="inlineStr">
        <is>
          <t>Valencia</t>
        </is>
      </c>
      <c r="G2055" s="2" t="n"/>
      <c r="H2055" s="2" t="inlineStr">
        <is>
          <t>Presidencia de la Entidad Valenciana de Vivienda y Suelo</t>
        </is>
      </c>
      <c r="I2055" s="2" t="inlineStr">
        <is>
          <t>Obras de Ejecución de edificio de 57 viviendas de Protección Pública, y 57 plazas de aparcamiento en sótano, en la calle Artesans, 15 del Sector Benisaet de Torrent (Valencia).</t>
        </is>
      </c>
      <c r="J2055" s="2" t="inlineStr">
        <is>
          <t>CMAYOR/2026/EVHA0/0008</t>
        </is>
      </c>
      <c r="K2055" s="2" t="inlineStr">
        <is>
          <t>Abierto</t>
        </is>
      </c>
      <c r="L2055" s="6" t="n">
        <v>24</v>
      </c>
      <c r="M2055" s="2" t="inlineStr">
        <is>
          <t>C6-6; C*-6; C2-6</t>
        </is>
      </c>
      <c r="N2055" s="7" t="n">
        <v>0.3</v>
      </c>
      <c r="O2055" s="4" t="n"/>
      <c r="P2055" s="2" t="inlineStr">
        <is>
          <t>45211340</t>
        </is>
      </c>
      <c r="Q2055" s="8" t="inlineStr">
        <is>
          <t>Ver</t>
        </is>
      </c>
      <c r="R2055" s="8" t="inlineStr">
        <is>
          <t>PCAP</t>
        </is>
      </c>
      <c r="S2055" s="9" t="n">
        <v>46310</v>
      </c>
      <c r="T2055" s="3" t="n">
        <v>46301.6075462963</v>
      </c>
      <c r="U2055" s="2" t="n"/>
    </row>
    <row r="2056">
      <c r="A2056" s="2" t="inlineStr">
        <is>
          <t>Plazo vencido</t>
        </is>
      </c>
      <c r="B2056" s="3" t="n">
        <v>46321.99930555555</v>
      </c>
      <c r="C2056" s="5" t="n">
        <v>66264.12</v>
      </c>
      <c r="D2056" s="5" t="n">
        <v>66264.12</v>
      </c>
      <c r="E2056" s="2" t="inlineStr">
        <is>
          <t>Andalucía</t>
        </is>
      </c>
      <c r="F2056" s="2" t="inlineStr">
        <is>
          <t>Jaén</t>
        </is>
      </c>
      <c r="G2056" s="2" t="inlineStr">
        <is>
          <t>Arjona</t>
        </is>
      </c>
      <c r="H2056" s="2" t="inlineStr">
        <is>
          <t>Alcaldia del Ayuntamiento de Arjona</t>
        </is>
      </c>
      <c r="I2056"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2056" s="2" t="inlineStr">
        <is>
          <t>1195/2026</t>
        </is>
      </c>
      <c r="K2056" s="2" t="inlineStr">
        <is>
          <t>Abierto simplificado</t>
        </is>
      </c>
      <c r="L2056" s="6" t="n">
        <v>4</v>
      </c>
      <c r="M2056" s="2" t="inlineStr">
        <is>
          <t>G*-1</t>
        </is>
      </c>
      <c r="N2056" s="7" t="n">
        <v>0</v>
      </c>
      <c r="O2056" s="4" t="n"/>
      <c r="P2056" s="2" t="inlineStr">
        <is>
          <t>45111200</t>
        </is>
      </c>
      <c r="Q2056" s="8" t="inlineStr">
        <is>
          <t>Ver</t>
        </is>
      </c>
      <c r="R2056" s="8" t="inlineStr">
        <is>
          <t>PCAP</t>
        </is>
      </c>
      <c r="S2056" s="9" t="n">
        <v>46310</v>
      </c>
      <c r="T2056" s="3" t="n">
        <v>46301.60621527778</v>
      </c>
      <c r="U2056" s="2" t="n"/>
    </row>
    <row r="2057">
      <c r="A2057" s="2" t="inlineStr">
        <is>
          <t>Adjudicada</t>
        </is>
      </c>
      <c r="B2057" s="3" t="n">
        <v>46272.79166666666</v>
      </c>
      <c r="C2057" s="5" t="n">
        <v>82644.63</v>
      </c>
      <c r="D2057" s="5" t="n">
        <v>82644.63</v>
      </c>
      <c r="E2057" s="2" t="inlineStr">
        <is>
          <t>Andalucía</t>
        </is>
      </c>
      <c r="F2057" s="2" t="inlineStr">
        <is>
          <t>Almería</t>
        </is>
      </c>
      <c r="G2057" s="2" t="inlineStr">
        <is>
          <t>Vélez Rubio</t>
        </is>
      </c>
      <c r="H2057" s="2" t="inlineStr">
        <is>
          <t>ALCALDÍA AYUNTAMIENTO DE VÉLEZ-RUBIO</t>
        </is>
      </c>
      <c r="I2057" s="2" t="inlineStr">
        <is>
          <t>El objeto del contrato es la ejecución de las obras correspondientes a la Memoria Valorada Sustitución Pavimento varias calles del casco antiguo de Vélez Rubio.</t>
        </is>
      </c>
      <c r="J2057" s="2" t="inlineStr">
        <is>
          <t>VR 2085/2026</t>
        </is>
      </c>
      <c r="K2057" s="2" t="inlineStr">
        <is>
          <t>Abierto simplificado</t>
        </is>
      </c>
      <c r="L2057" s="6" t="n">
        <v>2</v>
      </c>
      <c r="M2057" s="2" t="n"/>
      <c r="N2057" s="7" t="n">
        <v>0</v>
      </c>
      <c r="O2057" s="4" t="n"/>
      <c r="P2057" s="2" t="inlineStr">
        <is>
          <t>45233222</t>
        </is>
      </c>
      <c r="Q2057" s="8" t="inlineStr">
        <is>
          <t>Ver</t>
        </is>
      </c>
      <c r="R2057" s="8" t="inlineStr">
        <is>
          <t>PCAP</t>
        </is>
      </c>
      <c r="S2057" s="9" t="n">
        <v>46310</v>
      </c>
      <c r="T2057" s="3" t="n">
        <v>46301.60490740741</v>
      </c>
      <c r="U2057" s="2" t="n"/>
    </row>
    <row r="2058">
      <c r="A2058" s="2" t="inlineStr">
        <is>
          <t>Adjudicada</t>
        </is>
      </c>
      <c r="B2058" s="3" t="n">
        <v>46225.99930555555</v>
      </c>
      <c r="C2058" s="5" t="n">
        <v>56156.63</v>
      </c>
      <c r="D2058" s="5" t="n">
        <v>56156.63</v>
      </c>
      <c r="E2058" s="2" t="inlineStr">
        <is>
          <t>Andalucía</t>
        </is>
      </c>
      <c r="F2058" s="2" t="inlineStr">
        <is>
          <t>Cádiz</t>
        </is>
      </c>
      <c r="G2058" s="2" t="n"/>
      <c r="H2058" s="2" t="inlineStr">
        <is>
          <t>Alcaldía del Ayuntamiento de Villamartín</t>
        </is>
      </c>
      <c r="I2058" s="2" t="inlineStr">
        <is>
          <t>Proyecto de ejecución de patio de la parcela sita en calle Torrevieja s/n en el municipio de Villamartín (Cádiz)</t>
        </is>
      </c>
      <c r="J2058" s="2" t="inlineStr">
        <is>
          <t>758/2026</t>
        </is>
      </c>
      <c r="K2058" s="2" t="inlineStr">
        <is>
          <t>Abierto simplificado</t>
        </is>
      </c>
      <c r="L2058" s="6" t="n">
        <v>4</v>
      </c>
      <c r="M2058" s="2" t="n"/>
      <c r="N2058" s="7" t="n">
        <v>0</v>
      </c>
      <c r="O2058" s="4" t="n"/>
      <c r="P2058" s="2" t="inlineStr">
        <is>
          <t>45232130; 45112000</t>
        </is>
      </c>
      <c r="Q2058" s="8" t="inlineStr">
        <is>
          <t>Ver</t>
        </is>
      </c>
      <c r="R2058" s="8" t="inlineStr">
        <is>
          <t>PCAP</t>
        </is>
      </c>
      <c r="S2058" s="9" t="n">
        <v>46310</v>
      </c>
      <c r="T2058" s="3" t="n">
        <v>46301.59913194444</v>
      </c>
      <c r="U2058" s="2" t="n"/>
    </row>
    <row r="2059">
      <c r="A2059" s="2" t="inlineStr">
        <is>
          <t>Adjudicada</t>
        </is>
      </c>
      <c r="B2059" s="3" t="n">
        <v>46239.6875</v>
      </c>
      <c r="C2059" s="5" t="n">
        <v>732892.26</v>
      </c>
      <c r="D2059" s="5" t="n">
        <v>732892.26</v>
      </c>
      <c r="E2059" s="2" t="inlineStr">
        <is>
          <t>Comunitat Valenciana</t>
        </is>
      </c>
      <c r="F2059" s="2" t="inlineStr">
        <is>
          <t>Valencia</t>
        </is>
      </c>
      <c r="G2059" s="2" t="n"/>
      <c r="H2059" s="2" t="inlineStr">
        <is>
          <t>Consejo de Administración de la Empresa Municipal de Transportes de Valencia, S.A.U.</t>
        </is>
      </c>
      <c r="I2059"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2059" s="2" t="inlineStr">
        <is>
          <t>2026-0072</t>
        </is>
      </c>
      <c r="K2059" s="2" t="inlineStr">
        <is>
          <t>Abierto simplificado</t>
        </is>
      </c>
      <c r="L2059" s="6" t="n">
        <v>4.2</v>
      </c>
      <c r="M2059" s="2" t="inlineStr">
        <is>
          <t>C7-3; C3-3</t>
        </is>
      </c>
      <c r="N2059" s="7" t="n">
        <v>0.25</v>
      </c>
      <c r="O2059" s="4" t="n"/>
      <c r="P2059" s="2" t="inlineStr">
        <is>
          <t>45261420; 45261220</t>
        </is>
      </c>
      <c r="Q2059" s="8" t="inlineStr">
        <is>
          <t>Ver</t>
        </is>
      </c>
      <c r="R2059" s="8" t="inlineStr">
        <is>
          <t>PCAP</t>
        </is>
      </c>
      <c r="S2059" s="9" t="n">
        <v>46310</v>
      </c>
      <c r="T2059" s="3" t="n">
        <v>46301.59878472222</v>
      </c>
      <c r="U2059" s="2" t="n"/>
    </row>
    <row r="2060">
      <c r="A2060" s="2" t="inlineStr">
        <is>
          <t>En plazo</t>
        </is>
      </c>
      <c r="B2060" s="3" t="n">
        <v>46328.99930555555</v>
      </c>
      <c r="C2060" s="5" t="n">
        <v>4502927.26</v>
      </c>
      <c r="D2060" s="5" t="n">
        <v>4502927.26</v>
      </c>
      <c r="E2060" s="2" t="inlineStr">
        <is>
          <t>Comunitat Valenciana</t>
        </is>
      </c>
      <c r="F2060" s="2" t="inlineStr">
        <is>
          <t>Valencia</t>
        </is>
      </c>
      <c r="G2060" s="2" t="n"/>
      <c r="H2060" s="2" t="inlineStr">
        <is>
          <t>Pleno del Ayuntamiento de Carlet</t>
        </is>
      </c>
      <c r="I2060" s="2" t="inlineStr">
        <is>
          <t>Obras de restitución de las canalizaciones de la red de agua potable y de la red de saneamiento y pavimentación de la Ronda Malecón, financiadas con cargo al Fondo de Solidaridad de la Unión Europea</t>
        </is>
      </c>
      <c r="J2060" s="2" t="inlineStr">
        <is>
          <t>3018/2026</t>
        </is>
      </c>
      <c r="K2060" s="2" t="inlineStr">
        <is>
          <t>Abierto</t>
        </is>
      </c>
      <c r="L2060" s="6" t="n">
        <v>12</v>
      </c>
      <c r="M2060" s="2" t="inlineStr">
        <is>
          <t>E*-5</t>
        </is>
      </c>
      <c r="N2060" s="7" t="n">
        <v>0</v>
      </c>
      <c r="O2060" s="4" t="n"/>
      <c r="P2060" s="2" t="inlineStr">
        <is>
          <t>45240000; 45233200; 45232150; 45232440</t>
        </is>
      </c>
      <c r="Q2060" s="8" t="inlineStr">
        <is>
          <t>Ver</t>
        </is>
      </c>
      <c r="R2060" s="8" t="inlineStr">
        <is>
          <t>PCAP</t>
        </is>
      </c>
      <c r="S2060" s="9" t="n">
        <v>46310</v>
      </c>
      <c r="T2060" s="3" t="n">
        <v>46301.58863425926</v>
      </c>
      <c r="U2060" s="2" t="n"/>
    </row>
    <row r="2061">
      <c r="A2061" s="2" t="inlineStr">
        <is>
          <t>Adjudicada</t>
        </is>
      </c>
      <c r="B2061" s="3" t="n">
        <v>46224.99930555555</v>
      </c>
      <c r="C2061" s="5" t="n">
        <v>35009.62</v>
      </c>
      <c r="D2061" s="5" t="n">
        <v>35009.62</v>
      </c>
      <c r="E2061" s="2" t="inlineStr">
        <is>
          <t>Andalucía</t>
        </is>
      </c>
      <c r="F2061" s="2" t="inlineStr">
        <is>
          <t>Huelva</t>
        </is>
      </c>
      <c r="G2061" s="2" t="n"/>
      <c r="H2061" s="2" t="inlineStr">
        <is>
          <t>Rectorado de la Universidad de Huelva</t>
        </is>
      </c>
      <c r="I2061" s="2" t="inlineStr">
        <is>
          <t>Obras de demolición de espacio de Enseñanza Virtual "Casita del Coronel" en parcela EE17 del Campus Universitario El Carmen</t>
        </is>
      </c>
      <c r="J2061" s="2" t="inlineStr">
        <is>
          <t>O-09-26</t>
        </is>
      </c>
      <c r="K2061" s="2" t="inlineStr">
        <is>
          <t>Abierto simplificado</t>
        </is>
      </c>
      <c r="L2061" s="6" t="n">
        <v>1</v>
      </c>
      <c r="M2061" s="2" t="n"/>
      <c r="N2061" s="7" t="n">
        <v>0.25</v>
      </c>
      <c r="O2061" s="4" t="n"/>
      <c r="P2061" s="2" t="inlineStr">
        <is>
          <t>45110000</t>
        </is>
      </c>
      <c r="Q2061" s="8" t="inlineStr">
        <is>
          <t>Ver</t>
        </is>
      </c>
      <c r="R2061" s="8" t="inlineStr">
        <is>
          <t>PCAP</t>
        </is>
      </c>
      <c r="S2061" s="9" t="n">
        <v>46310</v>
      </c>
      <c r="T2061" s="3" t="n">
        <v>46301.58828703704</v>
      </c>
      <c r="U2061" s="2" t="n"/>
    </row>
    <row r="2062">
      <c r="A2062" s="2" t="inlineStr">
        <is>
          <t>Resuelta</t>
        </is>
      </c>
      <c r="B2062" s="3" t="n"/>
      <c r="C2062" s="5" t="n">
        <v>3451695.97</v>
      </c>
      <c r="D2062" s="5" t="n">
        <v>3451695.97</v>
      </c>
      <c r="E2062" s="2" t="inlineStr">
        <is>
          <t>Comunitat Valenciana</t>
        </is>
      </c>
      <c r="F2062" s="2" t="inlineStr">
        <is>
          <t>Valencia</t>
        </is>
      </c>
      <c r="G2062" s="2" t="n"/>
      <c r="H2062" s="2" t="inlineStr">
        <is>
          <t>Conselleria de Agricultura, Agua, Ganadería y Pesca</t>
        </is>
      </c>
      <c r="I2062" s="2" t="inlineStr">
        <is>
          <t>Reparación daños ocasionados por la DANA de 29 de octubre en encauzamientos urbanos de la provincia de Valencia. Área de actuación nº 3 Municipios: Alcàsser, Algemesí, Alginet, Alzira, Benifaió, Carlet, Guadassuar, L'Alcudia y Picassent.</t>
        </is>
      </c>
      <c r="J2062" s="2" t="inlineStr">
        <is>
          <t>CMAYOR/2025/26Y05/0012</t>
        </is>
      </c>
      <c r="K2062" s="2" t="inlineStr">
        <is>
          <t>Negociado sin publicidad</t>
        </is>
      </c>
      <c r="L2062" s="6" t="n">
        <v>15</v>
      </c>
      <c r="M2062" s="2" t="inlineStr">
        <is>
          <t>E5-5</t>
        </is>
      </c>
      <c r="N2062" s="7" t="n"/>
      <c r="O2062" s="4" t="n"/>
      <c r="P2062" s="2" t="inlineStr">
        <is>
          <t>45246400</t>
        </is>
      </c>
      <c r="Q2062" s="8" t="inlineStr">
        <is>
          <t>Ver</t>
        </is>
      </c>
      <c r="R2062" s="2" t="n"/>
      <c r="S2062" s="9" t="n">
        <v>46310</v>
      </c>
      <c r="T2062" s="3" t="n">
        <v>46301.58646990741</v>
      </c>
      <c r="U2062" s="2" t="n"/>
    </row>
    <row r="2063">
      <c r="A2063" s="2" t="inlineStr">
        <is>
          <t>Pendiente de adjudicación</t>
        </is>
      </c>
      <c r="B2063" s="3" t="n">
        <v>46289.79166666666</v>
      </c>
      <c r="C2063" s="5" t="n">
        <v>135470.04</v>
      </c>
      <c r="D2063" s="5" t="n">
        <v>135470.04</v>
      </c>
      <c r="E2063" s="2" t="inlineStr">
        <is>
          <t>Comunitat Valenciana</t>
        </is>
      </c>
      <c r="F2063" s="2" t="inlineStr">
        <is>
          <t>Valencia</t>
        </is>
      </c>
      <c r="G2063" s="2" t="inlineStr">
        <is>
          <t>Albal (Valencia)</t>
        </is>
      </c>
      <c r="H2063" s="2" t="inlineStr">
        <is>
          <t>Junta de Gobierno del Ayuntamiento de Albal</t>
        </is>
      </c>
      <c r="I2063" s="2" t="inlineStr">
        <is>
          <t>Construcción de tres módulos con 32 nichos cada uno, con un total de 96 nichos y su urbanización colindante y necesaria para la puesta en servicio de los nichos, a realizar en el cementerio municipal de Albal (Valencia)</t>
        </is>
      </c>
      <c r="J2063" s="2" t="inlineStr">
        <is>
          <t>2606032P</t>
        </is>
      </c>
      <c r="K2063" s="2" t="inlineStr">
        <is>
          <t>Abierto simplificado</t>
        </is>
      </c>
      <c r="L2063" s="6" t="n">
        <v>3</v>
      </c>
      <c r="M2063" s="2" t="n"/>
      <c r="N2063" s="7" t="n">
        <v>0</v>
      </c>
      <c r="O2063" s="4" t="n"/>
      <c r="P2063" s="2" t="inlineStr">
        <is>
          <t>45215400; 45215000</t>
        </is>
      </c>
      <c r="Q2063" s="8" t="inlineStr">
        <is>
          <t>Ver</t>
        </is>
      </c>
      <c r="R2063" s="8" t="inlineStr">
        <is>
          <t>PCAP</t>
        </is>
      </c>
      <c r="S2063" s="9" t="n">
        <v>46310</v>
      </c>
      <c r="T2063" s="3" t="n">
        <v>46301.58604166667</v>
      </c>
      <c r="U2063"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Q7" r:id="rId10"/>
    <hyperlink xmlns:r="http://schemas.openxmlformats.org/officeDocument/2006/relationships" ref="R7" r:id="rId11"/>
    <hyperlink xmlns:r="http://schemas.openxmlformats.org/officeDocument/2006/relationships" ref="Q8" r:id="rId12"/>
    <hyperlink xmlns:r="http://schemas.openxmlformats.org/officeDocument/2006/relationships" ref="R8" r:id="rId13"/>
    <hyperlink xmlns:r="http://schemas.openxmlformats.org/officeDocument/2006/relationships" ref="Q9" r:id="rId14"/>
    <hyperlink xmlns:r="http://schemas.openxmlformats.org/officeDocument/2006/relationships" ref="R9" r:id="rId15"/>
    <hyperlink xmlns:r="http://schemas.openxmlformats.org/officeDocument/2006/relationships" ref="Q10" r:id="rId16"/>
    <hyperlink xmlns:r="http://schemas.openxmlformats.org/officeDocument/2006/relationships" ref="R10" r:id="rId17"/>
    <hyperlink xmlns:r="http://schemas.openxmlformats.org/officeDocument/2006/relationships" ref="Q11" r:id="rId18"/>
    <hyperlink xmlns:r="http://schemas.openxmlformats.org/officeDocument/2006/relationships" ref="R11" r:id="rId19"/>
    <hyperlink xmlns:r="http://schemas.openxmlformats.org/officeDocument/2006/relationships" ref="Q12" r:id="rId20"/>
    <hyperlink xmlns:r="http://schemas.openxmlformats.org/officeDocument/2006/relationships" ref="R12" r:id="rId21"/>
    <hyperlink xmlns:r="http://schemas.openxmlformats.org/officeDocument/2006/relationships" ref="Q13" r:id="rId22"/>
    <hyperlink xmlns:r="http://schemas.openxmlformats.org/officeDocument/2006/relationships" ref="R13" r:id="rId23"/>
    <hyperlink xmlns:r="http://schemas.openxmlformats.org/officeDocument/2006/relationships" ref="Q14" r:id="rId24"/>
    <hyperlink xmlns:r="http://schemas.openxmlformats.org/officeDocument/2006/relationships" ref="R14" r:id="rId25"/>
    <hyperlink xmlns:r="http://schemas.openxmlformats.org/officeDocument/2006/relationships" ref="Q15" r:id="rId26"/>
    <hyperlink xmlns:r="http://schemas.openxmlformats.org/officeDocument/2006/relationships" ref="R15" r:id="rId27"/>
    <hyperlink xmlns:r="http://schemas.openxmlformats.org/officeDocument/2006/relationships" ref="Q16" r:id="rId28"/>
    <hyperlink xmlns:r="http://schemas.openxmlformats.org/officeDocument/2006/relationships" ref="R16" r:id="rId29"/>
    <hyperlink xmlns:r="http://schemas.openxmlformats.org/officeDocument/2006/relationships" ref="Q17" r:id="rId30"/>
    <hyperlink xmlns:r="http://schemas.openxmlformats.org/officeDocument/2006/relationships" ref="R17" r:id="rId31"/>
    <hyperlink xmlns:r="http://schemas.openxmlformats.org/officeDocument/2006/relationships" ref="Q18" r:id="rId32"/>
    <hyperlink xmlns:r="http://schemas.openxmlformats.org/officeDocument/2006/relationships" ref="R18" r:id="rId33"/>
    <hyperlink xmlns:r="http://schemas.openxmlformats.org/officeDocument/2006/relationships" ref="Q19" r:id="rId34"/>
    <hyperlink xmlns:r="http://schemas.openxmlformats.org/officeDocument/2006/relationships" ref="R19" r:id="rId35"/>
    <hyperlink xmlns:r="http://schemas.openxmlformats.org/officeDocument/2006/relationships" ref="Q20" r:id="rId36"/>
    <hyperlink xmlns:r="http://schemas.openxmlformats.org/officeDocument/2006/relationships" ref="R20" r:id="rId37"/>
    <hyperlink xmlns:r="http://schemas.openxmlformats.org/officeDocument/2006/relationships" ref="Q21" r:id="rId38"/>
    <hyperlink xmlns:r="http://schemas.openxmlformats.org/officeDocument/2006/relationships" ref="R21" r:id="rId39"/>
    <hyperlink xmlns:r="http://schemas.openxmlformats.org/officeDocument/2006/relationships" ref="Q22" r:id="rId40"/>
    <hyperlink xmlns:r="http://schemas.openxmlformats.org/officeDocument/2006/relationships" ref="R22" r:id="rId41"/>
    <hyperlink xmlns:r="http://schemas.openxmlformats.org/officeDocument/2006/relationships" ref="Q23" r:id="rId42"/>
    <hyperlink xmlns:r="http://schemas.openxmlformats.org/officeDocument/2006/relationships" ref="R23" r:id="rId43"/>
    <hyperlink xmlns:r="http://schemas.openxmlformats.org/officeDocument/2006/relationships" ref="Q24" r:id="rId44"/>
    <hyperlink xmlns:r="http://schemas.openxmlformats.org/officeDocument/2006/relationships" ref="R24" r:id="rId45"/>
    <hyperlink xmlns:r="http://schemas.openxmlformats.org/officeDocument/2006/relationships" ref="Q25" r:id="rId46"/>
    <hyperlink xmlns:r="http://schemas.openxmlformats.org/officeDocument/2006/relationships" ref="R25" r:id="rId47"/>
    <hyperlink xmlns:r="http://schemas.openxmlformats.org/officeDocument/2006/relationships" ref="Q26" r:id="rId48"/>
    <hyperlink xmlns:r="http://schemas.openxmlformats.org/officeDocument/2006/relationships" ref="R26" r:id="rId49"/>
    <hyperlink xmlns:r="http://schemas.openxmlformats.org/officeDocument/2006/relationships" ref="Q27" r:id="rId50"/>
    <hyperlink xmlns:r="http://schemas.openxmlformats.org/officeDocument/2006/relationships" ref="R27" r:id="rId51"/>
    <hyperlink xmlns:r="http://schemas.openxmlformats.org/officeDocument/2006/relationships" ref="Q28" r:id="rId52"/>
    <hyperlink xmlns:r="http://schemas.openxmlformats.org/officeDocument/2006/relationships" ref="R28" r:id="rId53"/>
    <hyperlink xmlns:r="http://schemas.openxmlformats.org/officeDocument/2006/relationships" ref="Q29" r:id="rId54"/>
    <hyperlink xmlns:r="http://schemas.openxmlformats.org/officeDocument/2006/relationships" ref="R29" r:id="rId55"/>
    <hyperlink xmlns:r="http://schemas.openxmlformats.org/officeDocument/2006/relationships" ref="Q30" r:id="rId56"/>
    <hyperlink xmlns:r="http://schemas.openxmlformats.org/officeDocument/2006/relationships" ref="R30" r:id="rId57"/>
    <hyperlink xmlns:r="http://schemas.openxmlformats.org/officeDocument/2006/relationships" ref="Q31" r:id="rId58"/>
    <hyperlink xmlns:r="http://schemas.openxmlformats.org/officeDocument/2006/relationships" ref="R31" r:id="rId59"/>
    <hyperlink xmlns:r="http://schemas.openxmlformats.org/officeDocument/2006/relationships" ref="Q32" r:id="rId60"/>
    <hyperlink xmlns:r="http://schemas.openxmlformats.org/officeDocument/2006/relationships" ref="R32" r:id="rId61"/>
    <hyperlink xmlns:r="http://schemas.openxmlformats.org/officeDocument/2006/relationships" ref="Q33" r:id="rId62"/>
    <hyperlink xmlns:r="http://schemas.openxmlformats.org/officeDocument/2006/relationships" ref="R33" r:id="rId63"/>
    <hyperlink xmlns:r="http://schemas.openxmlformats.org/officeDocument/2006/relationships" ref="Q34" r:id="rId64"/>
    <hyperlink xmlns:r="http://schemas.openxmlformats.org/officeDocument/2006/relationships" ref="R34" r:id="rId65"/>
    <hyperlink xmlns:r="http://schemas.openxmlformats.org/officeDocument/2006/relationships" ref="Q35" r:id="rId66"/>
    <hyperlink xmlns:r="http://schemas.openxmlformats.org/officeDocument/2006/relationships" ref="R35" r:id="rId67"/>
    <hyperlink xmlns:r="http://schemas.openxmlformats.org/officeDocument/2006/relationships" ref="Q36" r:id="rId68"/>
    <hyperlink xmlns:r="http://schemas.openxmlformats.org/officeDocument/2006/relationships" ref="R36" r:id="rId69"/>
    <hyperlink xmlns:r="http://schemas.openxmlformats.org/officeDocument/2006/relationships" ref="Q37" r:id="rId70"/>
    <hyperlink xmlns:r="http://schemas.openxmlformats.org/officeDocument/2006/relationships" ref="R37" r:id="rId71"/>
    <hyperlink xmlns:r="http://schemas.openxmlformats.org/officeDocument/2006/relationships" ref="Q38" r:id="rId72"/>
    <hyperlink xmlns:r="http://schemas.openxmlformats.org/officeDocument/2006/relationships" ref="R38" r:id="rId73"/>
    <hyperlink xmlns:r="http://schemas.openxmlformats.org/officeDocument/2006/relationships" ref="Q39" r:id="rId74"/>
    <hyperlink xmlns:r="http://schemas.openxmlformats.org/officeDocument/2006/relationships" ref="R39" r:id="rId75"/>
    <hyperlink xmlns:r="http://schemas.openxmlformats.org/officeDocument/2006/relationships" ref="Q40" r:id="rId76"/>
    <hyperlink xmlns:r="http://schemas.openxmlformats.org/officeDocument/2006/relationships" ref="R40" r:id="rId77"/>
    <hyperlink xmlns:r="http://schemas.openxmlformats.org/officeDocument/2006/relationships" ref="Q41" r:id="rId78"/>
    <hyperlink xmlns:r="http://schemas.openxmlformats.org/officeDocument/2006/relationships" ref="R41" r:id="rId79"/>
    <hyperlink xmlns:r="http://schemas.openxmlformats.org/officeDocument/2006/relationships" ref="Q42" r:id="rId80"/>
    <hyperlink xmlns:r="http://schemas.openxmlformats.org/officeDocument/2006/relationships" ref="R42" r:id="rId81"/>
    <hyperlink xmlns:r="http://schemas.openxmlformats.org/officeDocument/2006/relationships" ref="Q43" r:id="rId82"/>
    <hyperlink xmlns:r="http://schemas.openxmlformats.org/officeDocument/2006/relationships" ref="R43" r:id="rId83"/>
    <hyperlink xmlns:r="http://schemas.openxmlformats.org/officeDocument/2006/relationships" ref="Q44" r:id="rId84"/>
    <hyperlink xmlns:r="http://schemas.openxmlformats.org/officeDocument/2006/relationships" ref="R44" r:id="rId85"/>
    <hyperlink xmlns:r="http://schemas.openxmlformats.org/officeDocument/2006/relationships" ref="Q45" r:id="rId86"/>
    <hyperlink xmlns:r="http://schemas.openxmlformats.org/officeDocument/2006/relationships" ref="R45" r:id="rId87"/>
    <hyperlink xmlns:r="http://schemas.openxmlformats.org/officeDocument/2006/relationships" ref="Q46" r:id="rId88"/>
    <hyperlink xmlns:r="http://schemas.openxmlformats.org/officeDocument/2006/relationships" ref="R46" r:id="rId89"/>
    <hyperlink xmlns:r="http://schemas.openxmlformats.org/officeDocument/2006/relationships" ref="Q47" r:id="rId90"/>
    <hyperlink xmlns:r="http://schemas.openxmlformats.org/officeDocument/2006/relationships" ref="R47" r:id="rId91"/>
    <hyperlink xmlns:r="http://schemas.openxmlformats.org/officeDocument/2006/relationships" ref="Q48" r:id="rId92"/>
    <hyperlink xmlns:r="http://schemas.openxmlformats.org/officeDocument/2006/relationships" ref="R48" r:id="rId93"/>
    <hyperlink xmlns:r="http://schemas.openxmlformats.org/officeDocument/2006/relationships" ref="Q49" r:id="rId94"/>
    <hyperlink xmlns:r="http://schemas.openxmlformats.org/officeDocument/2006/relationships" ref="R49" r:id="rId95"/>
    <hyperlink xmlns:r="http://schemas.openxmlformats.org/officeDocument/2006/relationships" ref="Q50" r:id="rId96"/>
    <hyperlink xmlns:r="http://schemas.openxmlformats.org/officeDocument/2006/relationships" ref="R50" r:id="rId97"/>
    <hyperlink xmlns:r="http://schemas.openxmlformats.org/officeDocument/2006/relationships" ref="Q51" r:id="rId98"/>
    <hyperlink xmlns:r="http://schemas.openxmlformats.org/officeDocument/2006/relationships" ref="R51" r:id="rId99"/>
    <hyperlink xmlns:r="http://schemas.openxmlformats.org/officeDocument/2006/relationships" ref="Q52" r:id="rId100"/>
    <hyperlink xmlns:r="http://schemas.openxmlformats.org/officeDocument/2006/relationships" ref="R52" r:id="rId101"/>
    <hyperlink xmlns:r="http://schemas.openxmlformats.org/officeDocument/2006/relationships" ref="Q53" r:id="rId102"/>
    <hyperlink xmlns:r="http://schemas.openxmlformats.org/officeDocument/2006/relationships" ref="R53" r:id="rId103"/>
    <hyperlink xmlns:r="http://schemas.openxmlformats.org/officeDocument/2006/relationships" ref="Q54" r:id="rId104"/>
    <hyperlink xmlns:r="http://schemas.openxmlformats.org/officeDocument/2006/relationships" ref="R54" r:id="rId105"/>
    <hyperlink xmlns:r="http://schemas.openxmlformats.org/officeDocument/2006/relationships" ref="Q55" r:id="rId106"/>
    <hyperlink xmlns:r="http://schemas.openxmlformats.org/officeDocument/2006/relationships" ref="R55" r:id="rId107"/>
    <hyperlink xmlns:r="http://schemas.openxmlformats.org/officeDocument/2006/relationships" ref="Q56" r:id="rId108"/>
    <hyperlink xmlns:r="http://schemas.openxmlformats.org/officeDocument/2006/relationships" ref="R56" r:id="rId109"/>
    <hyperlink xmlns:r="http://schemas.openxmlformats.org/officeDocument/2006/relationships" ref="Q57" r:id="rId110"/>
    <hyperlink xmlns:r="http://schemas.openxmlformats.org/officeDocument/2006/relationships" ref="R57" r:id="rId111"/>
    <hyperlink xmlns:r="http://schemas.openxmlformats.org/officeDocument/2006/relationships" ref="Q58" r:id="rId112"/>
    <hyperlink xmlns:r="http://schemas.openxmlformats.org/officeDocument/2006/relationships" ref="R58" r:id="rId113"/>
    <hyperlink xmlns:r="http://schemas.openxmlformats.org/officeDocument/2006/relationships" ref="Q59" r:id="rId114"/>
    <hyperlink xmlns:r="http://schemas.openxmlformats.org/officeDocument/2006/relationships" ref="R59" r:id="rId115"/>
    <hyperlink xmlns:r="http://schemas.openxmlformats.org/officeDocument/2006/relationships" ref="Q60" r:id="rId116"/>
    <hyperlink xmlns:r="http://schemas.openxmlformats.org/officeDocument/2006/relationships" ref="R60" r:id="rId117"/>
    <hyperlink xmlns:r="http://schemas.openxmlformats.org/officeDocument/2006/relationships" ref="Q61" r:id="rId118"/>
    <hyperlink xmlns:r="http://schemas.openxmlformats.org/officeDocument/2006/relationships" ref="R61" r:id="rId119"/>
    <hyperlink xmlns:r="http://schemas.openxmlformats.org/officeDocument/2006/relationships" ref="Q62" r:id="rId120"/>
    <hyperlink xmlns:r="http://schemas.openxmlformats.org/officeDocument/2006/relationships" ref="R62" r:id="rId121"/>
    <hyperlink xmlns:r="http://schemas.openxmlformats.org/officeDocument/2006/relationships" ref="Q63" r:id="rId122"/>
    <hyperlink xmlns:r="http://schemas.openxmlformats.org/officeDocument/2006/relationships" ref="R63" r:id="rId123"/>
    <hyperlink xmlns:r="http://schemas.openxmlformats.org/officeDocument/2006/relationships" ref="Q64" r:id="rId124"/>
    <hyperlink xmlns:r="http://schemas.openxmlformats.org/officeDocument/2006/relationships" ref="R64" r:id="rId125"/>
    <hyperlink xmlns:r="http://schemas.openxmlformats.org/officeDocument/2006/relationships" ref="Q65" r:id="rId126"/>
    <hyperlink xmlns:r="http://schemas.openxmlformats.org/officeDocument/2006/relationships" ref="R65" r:id="rId127"/>
    <hyperlink xmlns:r="http://schemas.openxmlformats.org/officeDocument/2006/relationships" ref="Q66" r:id="rId128"/>
    <hyperlink xmlns:r="http://schemas.openxmlformats.org/officeDocument/2006/relationships" ref="R66" r:id="rId129"/>
    <hyperlink xmlns:r="http://schemas.openxmlformats.org/officeDocument/2006/relationships" ref="Q67" r:id="rId130"/>
    <hyperlink xmlns:r="http://schemas.openxmlformats.org/officeDocument/2006/relationships" ref="R67" r:id="rId131"/>
    <hyperlink xmlns:r="http://schemas.openxmlformats.org/officeDocument/2006/relationships" ref="Q68" r:id="rId132"/>
    <hyperlink xmlns:r="http://schemas.openxmlformats.org/officeDocument/2006/relationships" ref="R68" r:id="rId133"/>
    <hyperlink xmlns:r="http://schemas.openxmlformats.org/officeDocument/2006/relationships" ref="Q69" r:id="rId134"/>
    <hyperlink xmlns:r="http://schemas.openxmlformats.org/officeDocument/2006/relationships" ref="R69" r:id="rId135"/>
    <hyperlink xmlns:r="http://schemas.openxmlformats.org/officeDocument/2006/relationships" ref="Q70" r:id="rId136"/>
    <hyperlink xmlns:r="http://schemas.openxmlformats.org/officeDocument/2006/relationships" ref="R70" r:id="rId137"/>
    <hyperlink xmlns:r="http://schemas.openxmlformats.org/officeDocument/2006/relationships" ref="Q71" r:id="rId138"/>
    <hyperlink xmlns:r="http://schemas.openxmlformats.org/officeDocument/2006/relationships" ref="R71" r:id="rId139"/>
    <hyperlink xmlns:r="http://schemas.openxmlformats.org/officeDocument/2006/relationships" ref="Q72" r:id="rId140"/>
    <hyperlink xmlns:r="http://schemas.openxmlformats.org/officeDocument/2006/relationships" ref="R72" r:id="rId141"/>
    <hyperlink xmlns:r="http://schemas.openxmlformats.org/officeDocument/2006/relationships" ref="Q73" r:id="rId142"/>
    <hyperlink xmlns:r="http://schemas.openxmlformats.org/officeDocument/2006/relationships" ref="R73" r:id="rId143"/>
    <hyperlink xmlns:r="http://schemas.openxmlformats.org/officeDocument/2006/relationships" ref="Q74" r:id="rId144"/>
    <hyperlink xmlns:r="http://schemas.openxmlformats.org/officeDocument/2006/relationships" ref="R74" r:id="rId145"/>
    <hyperlink xmlns:r="http://schemas.openxmlformats.org/officeDocument/2006/relationships" ref="Q75" r:id="rId146"/>
    <hyperlink xmlns:r="http://schemas.openxmlformats.org/officeDocument/2006/relationships" ref="R75" r:id="rId147"/>
    <hyperlink xmlns:r="http://schemas.openxmlformats.org/officeDocument/2006/relationships" ref="Q76" r:id="rId148"/>
    <hyperlink xmlns:r="http://schemas.openxmlformats.org/officeDocument/2006/relationships" ref="R76" r:id="rId149"/>
    <hyperlink xmlns:r="http://schemas.openxmlformats.org/officeDocument/2006/relationships" ref="Q77" r:id="rId150"/>
    <hyperlink xmlns:r="http://schemas.openxmlformats.org/officeDocument/2006/relationships" ref="R77" r:id="rId151"/>
    <hyperlink xmlns:r="http://schemas.openxmlformats.org/officeDocument/2006/relationships" ref="Q78" r:id="rId152"/>
    <hyperlink xmlns:r="http://schemas.openxmlformats.org/officeDocument/2006/relationships" ref="R78" r:id="rId153"/>
    <hyperlink xmlns:r="http://schemas.openxmlformats.org/officeDocument/2006/relationships" ref="Q79" r:id="rId154"/>
    <hyperlink xmlns:r="http://schemas.openxmlformats.org/officeDocument/2006/relationships" ref="R79" r:id="rId155"/>
    <hyperlink xmlns:r="http://schemas.openxmlformats.org/officeDocument/2006/relationships" ref="Q80" r:id="rId156"/>
    <hyperlink xmlns:r="http://schemas.openxmlformats.org/officeDocument/2006/relationships" ref="R80" r:id="rId157"/>
    <hyperlink xmlns:r="http://schemas.openxmlformats.org/officeDocument/2006/relationships" ref="Q81" r:id="rId158"/>
    <hyperlink xmlns:r="http://schemas.openxmlformats.org/officeDocument/2006/relationships" ref="R81" r:id="rId159"/>
    <hyperlink xmlns:r="http://schemas.openxmlformats.org/officeDocument/2006/relationships" ref="Q82" r:id="rId160"/>
    <hyperlink xmlns:r="http://schemas.openxmlformats.org/officeDocument/2006/relationships" ref="R82" r:id="rId161"/>
    <hyperlink xmlns:r="http://schemas.openxmlformats.org/officeDocument/2006/relationships" ref="Q83" r:id="rId162"/>
    <hyperlink xmlns:r="http://schemas.openxmlformats.org/officeDocument/2006/relationships" ref="R83" r:id="rId163"/>
    <hyperlink xmlns:r="http://schemas.openxmlformats.org/officeDocument/2006/relationships" ref="Q84" r:id="rId164"/>
    <hyperlink xmlns:r="http://schemas.openxmlformats.org/officeDocument/2006/relationships" ref="R84" r:id="rId165"/>
    <hyperlink xmlns:r="http://schemas.openxmlformats.org/officeDocument/2006/relationships" ref="Q85" r:id="rId166"/>
    <hyperlink xmlns:r="http://schemas.openxmlformats.org/officeDocument/2006/relationships" ref="R85" r:id="rId167"/>
    <hyperlink xmlns:r="http://schemas.openxmlformats.org/officeDocument/2006/relationships" ref="Q86" r:id="rId168"/>
    <hyperlink xmlns:r="http://schemas.openxmlformats.org/officeDocument/2006/relationships" ref="R86" r:id="rId169"/>
    <hyperlink xmlns:r="http://schemas.openxmlformats.org/officeDocument/2006/relationships" ref="Q87" r:id="rId170"/>
    <hyperlink xmlns:r="http://schemas.openxmlformats.org/officeDocument/2006/relationships" ref="R87" r:id="rId171"/>
    <hyperlink xmlns:r="http://schemas.openxmlformats.org/officeDocument/2006/relationships" ref="Q88" r:id="rId172"/>
    <hyperlink xmlns:r="http://schemas.openxmlformats.org/officeDocument/2006/relationships" ref="R88" r:id="rId173"/>
    <hyperlink xmlns:r="http://schemas.openxmlformats.org/officeDocument/2006/relationships" ref="Q89" r:id="rId174"/>
    <hyperlink xmlns:r="http://schemas.openxmlformats.org/officeDocument/2006/relationships" ref="R89" r:id="rId175"/>
    <hyperlink xmlns:r="http://schemas.openxmlformats.org/officeDocument/2006/relationships" ref="Q90" r:id="rId176"/>
    <hyperlink xmlns:r="http://schemas.openxmlformats.org/officeDocument/2006/relationships" ref="R90" r:id="rId177"/>
    <hyperlink xmlns:r="http://schemas.openxmlformats.org/officeDocument/2006/relationships" ref="Q91" r:id="rId178"/>
    <hyperlink xmlns:r="http://schemas.openxmlformats.org/officeDocument/2006/relationships" ref="R91" r:id="rId179"/>
    <hyperlink xmlns:r="http://schemas.openxmlformats.org/officeDocument/2006/relationships" ref="Q92" r:id="rId180"/>
    <hyperlink xmlns:r="http://schemas.openxmlformats.org/officeDocument/2006/relationships" ref="R92" r:id="rId181"/>
    <hyperlink xmlns:r="http://schemas.openxmlformats.org/officeDocument/2006/relationships" ref="Q93" r:id="rId182"/>
    <hyperlink xmlns:r="http://schemas.openxmlformats.org/officeDocument/2006/relationships" ref="R93" r:id="rId183"/>
    <hyperlink xmlns:r="http://schemas.openxmlformats.org/officeDocument/2006/relationships" ref="Q94" r:id="rId184"/>
    <hyperlink xmlns:r="http://schemas.openxmlformats.org/officeDocument/2006/relationships" ref="R94" r:id="rId185"/>
    <hyperlink xmlns:r="http://schemas.openxmlformats.org/officeDocument/2006/relationships" ref="Q95" r:id="rId186"/>
    <hyperlink xmlns:r="http://schemas.openxmlformats.org/officeDocument/2006/relationships" ref="R95" r:id="rId187"/>
    <hyperlink xmlns:r="http://schemas.openxmlformats.org/officeDocument/2006/relationships" ref="Q96" r:id="rId188"/>
    <hyperlink xmlns:r="http://schemas.openxmlformats.org/officeDocument/2006/relationships" ref="R96" r:id="rId189"/>
    <hyperlink xmlns:r="http://schemas.openxmlformats.org/officeDocument/2006/relationships" ref="Q97" r:id="rId190"/>
    <hyperlink xmlns:r="http://schemas.openxmlformats.org/officeDocument/2006/relationships" ref="R97" r:id="rId191"/>
    <hyperlink xmlns:r="http://schemas.openxmlformats.org/officeDocument/2006/relationships" ref="Q98" r:id="rId192"/>
    <hyperlink xmlns:r="http://schemas.openxmlformats.org/officeDocument/2006/relationships" ref="R98" r:id="rId193"/>
    <hyperlink xmlns:r="http://schemas.openxmlformats.org/officeDocument/2006/relationships" ref="Q99" r:id="rId194"/>
    <hyperlink xmlns:r="http://schemas.openxmlformats.org/officeDocument/2006/relationships" ref="R99" r:id="rId195"/>
    <hyperlink xmlns:r="http://schemas.openxmlformats.org/officeDocument/2006/relationships" ref="Q100" r:id="rId196"/>
    <hyperlink xmlns:r="http://schemas.openxmlformats.org/officeDocument/2006/relationships" ref="R100" r:id="rId197"/>
    <hyperlink xmlns:r="http://schemas.openxmlformats.org/officeDocument/2006/relationships" ref="Q101" r:id="rId198"/>
    <hyperlink xmlns:r="http://schemas.openxmlformats.org/officeDocument/2006/relationships" ref="R101" r:id="rId199"/>
    <hyperlink xmlns:r="http://schemas.openxmlformats.org/officeDocument/2006/relationships" ref="Q102" r:id="rId200"/>
    <hyperlink xmlns:r="http://schemas.openxmlformats.org/officeDocument/2006/relationships" ref="R102" r:id="rId201"/>
    <hyperlink xmlns:r="http://schemas.openxmlformats.org/officeDocument/2006/relationships" ref="Q103" r:id="rId202"/>
    <hyperlink xmlns:r="http://schemas.openxmlformats.org/officeDocument/2006/relationships" ref="R103" r:id="rId203"/>
    <hyperlink xmlns:r="http://schemas.openxmlformats.org/officeDocument/2006/relationships" ref="Q104" r:id="rId204"/>
    <hyperlink xmlns:r="http://schemas.openxmlformats.org/officeDocument/2006/relationships" ref="R104" r:id="rId205"/>
    <hyperlink xmlns:r="http://schemas.openxmlformats.org/officeDocument/2006/relationships" ref="Q105" r:id="rId206"/>
    <hyperlink xmlns:r="http://schemas.openxmlformats.org/officeDocument/2006/relationships" ref="R105" r:id="rId207"/>
    <hyperlink xmlns:r="http://schemas.openxmlformats.org/officeDocument/2006/relationships" ref="Q106" r:id="rId208"/>
    <hyperlink xmlns:r="http://schemas.openxmlformats.org/officeDocument/2006/relationships" ref="R106" r:id="rId209"/>
    <hyperlink xmlns:r="http://schemas.openxmlformats.org/officeDocument/2006/relationships" ref="Q107" r:id="rId210"/>
    <hyperlink xmlns:r="http://schemas.openxmlformats.org/officeDocument/2006/relationships" ref="R107" r:id="rId211"/>
    <hyperlink xmlns:r="http://schemas.openxmlformats.org/officeDocument/2006/relationships" ref="Q108" r:id="rId212"/>
    <hyperlink xmlns:r="http://schemas.openxmlformats.org/officeDocument/2006/relationships" ref="R108" r:id="rId213"/>
    <hyperlink xmlns:r="http://schemas.openxmlformats.org/officeDocument/2006/relationships" ref="Q109" r:id="rId214"/>
    <hyperlink xmlns:r="http://schemas.openxmlformats.org/officeDocument/2006/relationships" ref="R109" r:id="rId215"/>
    <hyperlink xmlns:r="http://schemas.openxmlformats.org/officeDocument/2006/relationships" ref="Q110" r:id="rId216"/>
    <hyperlink xmlns:r="http://schemas.openxmlformats.org/officeDocument/2006/relationships" ref="R110" r:id="rId217"/>
    <hyperlink xmlns:r="http://schemas.openxmlformats.org/officeDocument/2006/relationships" ref="Q111" r:id="rId218"/>
    <hyperlink xmlns:r="http://schemas.openxmlformats.org/officeDocument/2006/relationships" ref="R111" r:id="rId219"/>
    <hyperlink xmlns:r="http://schemas.openxmlformats.org/officeDocument/2006/relationships" ref="Q112" r:id="rId220"/>
    <hyperlink xmlns:r="http://schemas.openxmlformats.org/officeDocument/2006/relationships" ref="R112" r:id="rId221"/>
    <hyperlink xmlns:r="http://schemas.openxmlformats.org/officeDocument/2006/relationships" ref="Q113" r:id="rId222"/>
    <hyperlink xmlns:r="http://schemas.openxmlformats.org/officeDocument/2006/relationships" ref="R113" r:id="rId223"/>
    <hyperlink xmlns:r="http://schemas.openxmlformats.org/officeDocument/2006/relationships" ref="Q114" r:id="rId224"/>
    <hyperlink xmlns:r="http://schemas.openxmlformats.org/officeDocument/2006/relationships" ref="R114" r:id="rId225"/>
    <hyperlink xmlns:r="http://schemas.openxmlformats.org/officeDocument/2006/relationships" ref="Q115" r:id="rId226"/>
    <hyperlink xmlns:r="http://schemas.openxmlformats.org/officeDocument/2006/relationships" ref="R115" r:id="rId227"/>
    <hyperlink xmlns:r="http://schemas.openxmlformats.org/officeDocument/2006/relationships" ref="Q116" r:id="rId228"/>
    <hyperlink xmlns:r="http://schemas.openxmlformats.org/officeDocument/2006/relationships" ref="R116" r:id="rId229"/>
    <hyperlink xmlns:r="http://schemas.openxmlformats.org/officeDocument/2006/relationships" ref="Q117" r:id="rId230"/>
    <hyperlink xmlns:r="http://schemas.openxmlformats.org/officeDocument/2006/relationships" ref="R117" r:id="rId231"/>
    <hyperlink xmlns:r="http://schemas.openxmlformats.org/officeDocument/2006/relationships" ref="Q118" r:id="rId232"/>
    <hyperlink xmlns:r="http://schemas.openxmlformats.org/officeDocument/2006/relationships" ref="R118" r:id="rId233"/>
    <hyperlink xmlns:r="http://schemas.openxmlformats.org/officeDocument/2006/relationships" ref="Q119" r:id="rId234"/>
    <hyperlink xmlns:r="http://schemas.openxmlformats.org/officeDocument/2006/relationships" ref="R119" r:id="rId235"/>
    <hyperlink xmlns:r="http://schemas.openxmlformats.org/officeDocument/2006/relationships" ref="Q120" r:id="rId236"/>
    <hyperlink xmlns:r="http://schemas.openxmlformats.org/officeDocument/2006/relationships" ref="R120" r:id="rId237"/>
    <hyperlink xmlns:r="http://schemas.openxmlformats.org/officeDocument/2006/relationships" ref="Q121" r:id="rId238"/>
    <hyperlink xmlns:r="http://schemas.openxmlformats.org/officeDocument/2006/relationships" ref="R121" r:id="rId239"/>
    <hyperlink xmlns:r="http://schemas.openxmlformats.org/officeDocument/2006/relationships" ref="Q122" r:id="rId240"/>
    <hyperlink xmlns:r="http://schemas.openxmlformats.org/officeDocument/2006/relationships" ref="R122" r:id="rId241"/>
    <hyperlink xmlns:r="http://schemas.openxmlformats.org/officeDocument/2006/relationships" ref="Q123" r:id="rId242"/>
    <hyperlink xmlns:r="http://schemas.openxmlformats.org/officeDocument/2006/relationships" ref="R123" r:id="rId243"/>
    <hyperlink xmlns:r="http://schemas.openxmlformats.org/officeDocument/2006/relationships" ref="Q124" r:id="rId244"/>
    <hyperlink xmlns:r="http://schemas.openxmlformats.org/officeDocument/2006/relationships" ref="R124" r:id="rId245"/>
    <hyperlink xmlns:r="http://schemas.openxmlformats.org/officeDocument/2006/relationships" ref="Q125" r:id="rId246"/>
    <hyperlink xmlns:r="http://schemas.openxmlformats.org/officeDocument/2006/relationships" ref="R125" r:id="rId247"/>
    <hyperlink xmlns:r="http://schemas.openxmlformats.org/officeDocument/2006/relationships" ref="Q126" r:id="rId248"/>
    <hyperlink xmlns:r="http://schemas.openxmlformats.org/officeDocument/2006/relationships" ref="R126" r:id="rId249"/>
    <hyperlink xmlns:r="http://schemas.openxmlformats.org/officeDocument/2006/relationships" ref="Q127" r:id="rId250"/>
    <hyperlink xmlns:r="http://schemas.openxmlformats.org/officeDocument/2006/relationships" ref="R127" r:id="rId251"/>
    <hyperlink xmlns:r="http://schemas.openxmlformats.org/officeDocument/2006/relationships" ref="Q128" r:id="rId252"/>
    <hyperlink xmlns:r="http://schemas.openxmlformats.org/officeDocument/2006/relationships" ref="R128" r:id="rId253"/>
    <hyperlink xmlns:r="http://schemas.openxmlformats.org/officeDocument/2006/relationships" ref="Q129" r:id="rId254"/>
    <hyperlink xmlns:r="http://schemas.openxmlformats.org/officeDocument/2006/relationships" ref="R129" r:id="rId255"/>
    <hyperlink xmlns:r="http://schemas.openxmlformats.org/officeDocument/2006/relationships" ref="Q130" r:id="rId256"/>
    <hyperlink xmlns:r="http://schemas.openxmlformats.org/officeDocument/2006/relationships" ref="R130" r:id="rId257"/>
    <hyperlink xmlns:r="http://schemas.openxmlformats.org/officeDocument/2006/relationships" ref="Q131" r:id="rId258"/>
    <hyperlink xmlns:r="http://schemas.openxmlformats.org/officeDocument/2006/relationships" ref="R131" r:id="rId259"/>
    <hyperlink xmlns:r="http://schemas.openxmlformats.org/officeDocument/2006/relationships" ref="Q132" r:id="rId260"/>
    <hyperlink xmlns:r="http://schemas.openxmlformats.org/officeDocument/2006/relationships" ref="R132" r:id="rId261"/>
    <hyperlink xmlns:r="http://schemas.openxmlformats.org/officeDocument/2006/relationships" ref="Q133" r:id="rId262"/>
    <hyperlink xmlns:r="http://schemas.openxmlformats.org/officeDocument/2006/relationships" ref="R133" r:id="rId263"/>
    <hyperlink xmlns:r="http://schemas.openxmlformats.org/officeDocument/2006/relationships" ref="Q134" r:id="rId264"/>
    <hyperlink xmlns:r="http://schemas.openxmlformats.org/officeDocument/2006/relationships" ref="R134" r:id="rId265"/>
    <hyperlink xmlns:r="http://schemas.openxmlformats.org/officeDocument/2006/relationships" ref="Q135" r:id="rId266"/>
    <hyperlink xmlns:r="http://schemas.openxmlformats.org/officeDocument/2006/relationships" ref="R135" r:id="rId267"/>
    <hyperlink xmlns:r="http://schemas.openxmlformats.org/officeDocument/2006/relationships" ref="Q136" r:id="rId268"/>
    <hyperlink xmlns:r="http://schemas.openxmlformats.org/officeDocument/2006/relationships" ref="R136" r:id="rId269"/>
    <hyperlink xmlns:r="http://schemas.openxmlformats.org/officeDocument/2006/relationships" ref="Q137" r:id="rId270"/>
    <hyperlink xmlns:r="http://schemas.openxmlformats.org/officeDocument/2006/relationships" ref="R137" r:id="rId271"/>
    <hyperlink xmlns:r="http://schemas.openxmlformats.org/officeDocument/2006/relationships" ref="Q138" r:id="rId272"/>
    <hyperlink xmlns:r="http://schemas.openxmlformats.org/officeDocument/2006/relationships" ref="R138" r:id="rId273"/>
    <hyperlink xmlns:r="http://schemas.openxmlformats.org/officeDocument/2006/relationships" ref="Q139" r:id="rId274"/>
    <hyperlink xmlns:r="http://schemas.openxmlformats.org/officeDocument/2006/relationships" ref="R139" r:id="rId275"/>
    <hyperlink xmlns:r="http://schemas.openxmlformats.org/officeDocument/2006/relationships" ref="Q140" r:id="rId276"/>
    <hyperlink xmlns:r="http://schemas.openxmlformats.org/officeDocument/2006/relationships" ref="R140" r:id="rId277"/>
    <hyperlink xmlns:r="http://schemas.openxmlformats.org/officeDocument/2006/relationships" ref="Q141" r:id="rId278"/>
    <hyperlink xmlns:r="http://schemas.openxmlformats.org/officeDocument/2006/relationships" ref="R141" r:id="rId279"/>
    <hyperlink xmlns:r="http://schemas.openxmlformats.org/officeDocument/2006/relationships" ref="Q142" r:id="rId280"/>
    <hyperlink xmlns:r="http://schemas.openxmlformats.org/officeDocument/2006/relationships" ref="R142" r:id="rId281"/>
    <hyperlink xmlns:r="http://schemas.openxmlformats.org/officeDocument/2006/relationships" ref="Q143" r:id="rId282"/>
    <hyperlink xmlns:r="http://schemas.openxmlformats.org/officeDocument/2006/relationships" ref="R143" r:id="rId283"/>
    <hyperlink xmlns:r="http://schemas.openxmlformats.org/officeDocument/2006/relationships" ref="Q144" r:id="rId284"/>
    <hyperlink xmlns:r="http://schemas.openxmlformats.org/officeDocument/2006/relationships" ref="R144" r:id="rId285"/>
    <hyperlink xmlns:r="http://schemas.openxmlformats.org/officeDocument/2006/relationships" ref="Q145" r:id="rId286"/>
    <hyperlink xmlns:r="http://schemas.openxmlformats.org/officeDocument/2006/relationships" ref="R145" r:id="rId287"/>
    <hyperlink xmlns:r="http://schemas.openxmlformats.org/officeDocument/2006/relationships" ref="Q146" r:id="rId288"/>
    <hyperlink xmlns:r="http://schemas.openxmlformats.org/officeDocument/2006/relationships" ref="R146" r:id="rId289"/>
    <hyperlink xmlns:r="http://schemas.openxmlformats.org/officeDocument/2006/relationships" ref="Q147" r:id="rId290"/>
    <hyperlink xmlns:r="http://schemas.openxmlformats.org/officeDocument/2006/relationships" ref="R147" r:id="rId291"/>
    <hyperlink xmlns:r="http://schemas.openxmlformats.org/officeDocument/2006/relationships" ref="Q148" r:id="rId292"/>
    <hyperlink xmlns:r="http://schemas.openxmlformats.org/officeDocument/2006/relationships" ref="R148" r:id="rId293"/>
    <hyperlink xmlns:r="http://schemas.openxmlformats.org/officeDocument/2006/relationships" ref="Q149" r:id="rId294"/>
    <hyperlink xmlns:r="http://schemas.openxmlformats.org/officeDocument/2006/relationships" ref="R149" r:id="rId295"/>
    <hyperlink xmlns:r="http://schemas.openxmlformats.org/officeDocument/2006/relationships" ref="Q150" r:id="rId296"/>
    <hyperlink xmlns:r="http://schemas.openxmlformats.org/officeDocument/2006/relationships" ref="R150" r:id="rId297"/>
    <hyperlink xmlns:r="http://schemas.openxmlformats.org/officeDocument/2006/relationships" ref="Q151" r:id="rId298"/>
    <hyperlink xmlns:r="http://schemas.openxmlformats.org/officeDocument/2006/relationships" ref="R151" r:id="rId299"/>
    <hyperlink xmlns:r="http://schemas.openxmlformats.org/officeDocument/2006/relationships" ref="Q152" r:id="rId300"/>
    <hyperlink xmlns:r="http://schemas.openxmlformats.org/officeDocument/2006/relationships" ref="R152" r:id="rId301"/>
    <hyperlink xmlns:r="http://schemas.openxmlformats.org/officeDocument/2006/relationships" ref="Q153" r:id="rId302"/>
    <hyperlink xmlns:r="http://schemas.openxmlformats.org/officeDocument/2006/relationships" ref="R153" r:id="rId303"/>
    <hyperlink xmlns:r="http://schemas.openxmlformats.org/officeDocument/2006/relationships" ref="Q154" r:id="rId304"/>
    <hyperlink xmlns:r="http://schemas.openxmlformats.org/officeDocument/2006/relationships" ref="Q155" r:id="rId305"/>
    <hyperlink xmlns:r="http://schemas.openxmlformats.org/officeDocument/2006/relationships" ref="R155" r:id="rId306"/>
    <hyperlink xmlns:r="http://schemas.openxmlformats.org/officeDocument/2006/relationships" ref="Q156" r:id="rId307"/>
    <hyperlink xmlns:r="http://schemas.openxmlformats.org/officeDocument/2006/relationships" ref="R156" r:id="rId308"/>
    <hyperlink xmlns:r="http://schemas.openxmlformats.org/officeDocument/2006/relationships" ref="Q157" r:id="rId309"/>
    <hyperlink xmlns:r="http://schemas.openxmlformats.org/officeDocument/2006/relationships" ref="R157" r:id="rId310"/>
    <hyperlink xmlns:r="http://schemas.openxmlformats.org/officeDocument/2006/relationships" ref="Q158" r:id="rId311"/>
    <hyperlink xmlns:r="http://schemas.openxmlformats.org/officeDocument/2006/relationships" ref="R158" r:id="rId312"/>
    <hyperlink xmlns:r="http://schemas.openxmlformats.org/officeDocument/2006/relationships" ref="Q159" r:id="rId313"/>
    <hyperlink xmlns:r="http://schemas.openxmlformats.org/officeDocument/2006/relationships" ref="R159" r:id="rId314"/>
    <hyperlink xmlns:r="http://schemas.openxmlformats.org/officeDocument/2006/relationships" ref="Q160" r:id="rId315"/>
    <hyperlink xmlns:r="http://schemas.openxmlformats.org/officeDocument/2006/relationships" ref="R160" r:id="rId316"/>
    <hyperlink xmlns:r="http://schemas.openxmlformats.org/officeDocument/2006/relationships" ref="Q161" r:id="rId317"/>
    <hyperlink xmlns:r="http://schemas.openxmlformats.org/officeDocument/2006/relationships" ref="R161" r:id="rId318"/>
    <hyperlink xmlns:r="http://schemas.openxmlformats.org/officeDocument/2006/relationships" ref="Q162" r:id="rId319"/>
    <hyperlink xmlns:r="http://schemas.openxmlformats.org/officeDocument/2006/relationships" ref="R162" r:id="rId320"/>
    <hyperlink xmlns:r="http://schemas.openxmlformats.org/officeDocument/2006/relationships" ref="Q163" r:id="rId321"/>
    <hyperlink xmlns:r="http://schemas.openxmlformats.org/officeDocument/2006/relationships" ref="R163" r:id="rId322"/>
    <hyperlink xmlns:r="http://schemas.openxmlformats.org/officeDocument/2006/relationships" ref="Q164" r:id="rId323"/>
    <hyperlink xmlns:r="http://schemas.openxmlformats.org/officeDocument/2006/relationships" ref="R164" r:id="rId324"/>
    <hyperlink xmlns:r="http://schemas.openxmlformats.org/officeDocument/2006/relationships" ref="Q165" r:id="rId325"/>
    <hyperlink xmlns:r="http://schemas.openxmlformats.org/officeDocument/2006/relationships" ref="R165" r:id="rId326"/>
    <hyperlink xmlns:r="http://schemas.openxmlformats.org/officeDocument/2006/relationships" ref="Q166" r:id="rId327"/>
    <hyperlink xmlns:r="http://schemas.openxmlformats.org/officeDocument/2006/relationships" ref="R166" r:id="rId328"/>
    <hyperlink xmlns:r="http://schemas.openxmlformats.org/officeDocument/2006/relationships" ref="Q167" r:id="rId329"/>
    <hyperlink xmlns:r="http://schemas.openxmlformats.org/officeDocument/2006/relationships" ref="R167" r:id="rId330"/>
    <hyperlink xmlns:r="http://schemas.openxmlformats.org/officeDocument/2006/relationships" ref="Q168" r:id="rId331"/>
    <hyperlink xmlns:r="http://schemas.openxmlformats.org/officeDocument/2006/relationships" ref="R168" r:id="rId332"/>
    <hyperlink xmlns:r="http://schemas.openxmlformats.org/officeDocument/2006/relationships" ref="Q169" r:id="rId333"/>
    <hyperlink xmlns:r="http://schemas.openxmlformats.org/officeDocument/2006/relationships" ref="R169" r:id="rId334"/>
    <hyperlink xmlns:r="http://schemas.openxmlformats.org/officeDocument/2006/relationships" ref="Q170" r:id="rId335"/>
    <hyperlink xmlns:r="http://schemas.openxmlformats.org/officeDocument/2006/relationships" ref="R170" r:id="rId336"/>
    <hyperlink xmlns:r="http://schemas.openxmlformats.org/officeDocument/2006/relationships" ref="Q171" r:id="rId337"/>
    <hyperlink xmlns:r="http://schemas.openxmlformats.org/officeDocument/2006/relationships" ref="R171" r:id="rId338"/>
    <hyperlink xmlns:r="http://schemas.openxmlformats.org/officeDocument/2006/relationships" ref="Q172" r:id="rId339"/>
    <hyperlink xmlns:r="http://schemas.openxmlformats.org/officeDocument/2006/relationships" ref="R172" r:id="rId340"/>
    <hyperlink xmlns:r="http://schemas.openxmlformats.org/officeDocument/2006/relationships" ref="Q173" r:id="rId341"/>
    <hyperlink xmlns:r="http://schemas.openxmlformats.org/officeDocument/2006/relationships" ref="R173" r:id="rId342"/>
    <hyperlink xmlns:r="http://schemas.openxmlformats.org/officeDocument/2006/relationships" ref="Q174" r:id="rId343"/>
    <hyperlink xmlns:r="http://schemas.openxmlformats.org/officeDocument/2006/relationships" ref="R174" r:id="rId344"/>
    <hyperlink xmlns:r="http://schemas.openxmlformats.org/officeDocument/2006/relationships" ref="Q175" r:id="rId345"/>
    <hyperlink xmlns:r="http://schemas.openxmlformats.org/officeDocument/2006/relationships" ref="R175" r:id="rId346"/>
    <hyperlink xmlns:r="http://schemas.openxmlformats.org/officeDocument/2006/relationships" ref="Q176" r:id="rId347"/>
    <hyperlink xmlns:r="http://schemas.openxmlformats.org/officeDocument/2006/relationships" ref="R176" r:id="rId348"/>
    <hyperlink xmlns:r="http://schemas.openxmlformats.org/officeDocument/2006/relationships" ref="Q177" r:id="rId349"/>
    <hyperlink xmlns:r="http://schemas.openxmlformats.org/officeDocument/2006/relationships" ref="R177" r:id="rId350"/>
    <hyperlink xmlns:r="http://schemas.openxmlformats.org/officeDocument/2006/relationships" ref="Q178" r:id="rId351"/>
    <hyperlink xmlns:r="http://schemas.openxmlformats.org/officeDocument/2006/relationships" ref="R178" r:id="rId352"/>
    <hyperlink xmlns:r="http://schemas.openxmlformats.org/officeDocument/2006/relationships" ref="Q179" r:id="rId353"/>
    <hyperlink xmlns:r="http://schemas.openxmlformats.org/officeDocument/2006/relationships" ref="R179" r:id="rId354"/>
    <hyperlink xmlns:r="http://schemas.openxmlformats.org/officeDocument/2006/relationships" ref="Q180" r:id="rId355"/>
    <hyperlink xmlns:r="http://schemas.openxmlformats.org/officeDocument/2006/relationships" ref="R180" r:id="rId356"/>
    <hyperlink xmlns:r="http://schemas.openxmlformats.org/officeDocument/2006/relationships" ref="Q181" r:id="rId357"/>
    <hyperlink xmlns:r="http://schemas.openxmlformats.org/officeDocument/2006/relationships" ref="R181" r:id="rId358"/>
    <hyperlink xmlns:r="http://schemas.openxmlformats.org/officeDocument/2006/relationships" ref="Q182" r:id="rId359"/>
    <hyperlink xmlns:r="http://schemas.openxmlformats.org/officeDocument/2006/relationships" ref="R182" r:id="rId360"/>
    <hyperlink xmlns:r="http://schemas.openxmlformats.org/officeDocument/2006/relationships" ref="Q183" r:id="rId361"/>
    <hyperlink xmlns:r="http://schemas.openxmlformats.org/officeDocument/2006/relationships" ref="R183" r:id="rId362"/>
    <hyperlink xmlns:r="http://schemas.openxmlformats.org/officeDocument/2006/relationships" ref="Q184" r:id="rId363"/>
    <hyperlink xmlns:r="http://schemas.openxmlformats.org/officeDocument/2006/relationships" ref="R184" r:id="rId364"/>
    <hyperlink xmlns:r="http://schemas.openxmlformats.org/officeDocument/2006/relationships" ref="Q185" r:id="rId365"/>
    <hyperlink xmlns:r="http://schemas.openxmlformats.org/officeDocument/2006/relationships" ref="R185" r:id="rId366"/>
    <hyperlink xmlns:r="http://schemas.openxmlformats.org/officeDocument/2006/relationships" ref="Q186" r:id="rId367"/>
    <hyperlink xmlns:r="http://schemas.openxmlformats.org/officeDocument/2006/relationships" ref="R186" r:id="rId368"/>
    <hyperlink xmlns:r="http://schemas.openxmlformats.org/officeDocument/2006/relationships" ref="Q187" r:id="rId369"/>
    <hyperlink xmlns:r="http://schemas.openxmlformats.org/officeDocument/2006/relationships" ref="R187" r:id="rId370"/>
    <hyperlink xmlns:r="http://schemas.openxmlformats.org/officeDocument/2006/relationships" ref="Q188" r:id="rId371"/>
    <hyperlink xmlns:r="http://schemas.openxmlformats.org/officeDocument/2006/relationships" ref="R188" r:id="rId372"/>
    <hyperlink xmlns:r="http://schemas.openxmlformats.org/officeDocument/2006/relationships" ref="Q189" r:id="rId373"/>
    <hyperlink xmlns:r="http://schemas.openxmlformats.org/officeDocument/2006/relationships" ref="R189" r:id="rId374"/>
    <hyperlink xmlns:r="http://schemas.openxmlformats.org/officeDocument/2006/relationships" ref="Q190" r:id="rId375"/>
    <hyperlink xmlns:r="http://schemas.openxmlformats.org/officeDocument/2006/relationships" ref="R190" r:id="rId376"/>
    <hyperlink xmlns:r="http://schemas.openxmlformats.org/officeDocument/2006/relationships" ref="Q191" r:id="rId377"/>
    <hyperlink xmlns:r="http://schemas.openxmlformats.org/officeDocument/2006/relationships" ref="R191" r:id="rId378"/>
    <hyperlink xmlns:r="http://schemas.openxmlformats.org/officeDocument/2006/relationships" ref="Q192" r:id="rId379"/>
    <hyperlink xmlns:r="http://schemas.openxmlformats.org/officeDocument/2006/relationships" ref="R192" r:id="rId380"/>
    <hyperlink xmlns:r="http://schemas.openxmlformats.org/officeDocument/2006/relationships" ref="Q193" r:id="rId381"/>
    <hyperlink xmlns:r="http://schemas.openxmlformats.org/officeDocument/2006/relationships" ref="R193" r:id="rId382"/>
    <hyperlink xmlns:r="http://schemas.openxmlformats.org/officeDocument/2006/relationships" ref="Q194" r:id="rId383"/>
    <hyperlink xmlns:r="http://schemas.openxmlformats.org/officeDocument/2006/relationships" ref="R194" r:id="rId384"/>
    <hyperlink xmlns:r="http://schemas.openxmlformats.org/officeDocument/2006/relationships" ref="Q195" r:id="rId385"/>
    <hyperlink xmlns:r="http://schemas.openxmlformats.org/officeDocument/2006/relationships" ref="R195" r:id="rId386"/>
    <hyperlink xmlns:r="http://schemas.openxmlformats.org/officeDocument/2006/relationships" ref="Q196" r:id="rId387"/>
    <hyperlink xmlns:r="http://schemas.openxmlformats.org/officeDocument/2006/relationships" ref="R196" r:id="rId388"/>
    <hyperlink xmlns:r="http://schemas.openxmlformats.org/officeDocument/2006/relationships" ref="Q197" r:id="rId389"/>
    <hyperlink xmlns:r="http://schemas.openxmlformats.org/officeDocument/2006/relationships" ref="R197" r:id="rId390"/>
    <hyperlink xmlns:r="http://schemas.openxmlformats.org/officeDocument/2006/relationships" ref="Q198" r:id="rId391"/>
    <hyperlink xmlns:r="http://schemas.openxmlformats.org/officeDocument/2006/relationships" ref="R198" r:id="rId392"/>
    <hyperlink xmlns:r="http://schemas.openxmlformats.org/officeDocument/2006/relationships" ref="Q199" r:id="rId393"/>
    <hyperlink xmlns:r="http://schemas.openxmlformats.org/officeDocument/2006/relationships" ref="R199" r:id="rId394"/>
    <hyperlink xmlns:r="http://schemas.openxmlformats.org/officeDocument/2006/relationships" ref="Q200" r:id="rId395"/>
    <hyperlink xmlns:r="http://schemas.openxmlformats.org/officeDocument/2006/relationships" ref="R200" r:id="rId396"/>
    <hyperlink xmlns:r="http://schemas.openxmlformats.org/officeDocument/2006/relationships" ref="Q201" r:id="rId397"/>
    <hyperlink xmlns:r="http://schemas.openxmlformats.org/officeDocument/2006/relationships" ref="R201" r:id="rId398"/>
    <hyperlink xmlns:r="http://schemas.openxmlformats.org/officeDocument/2006/relationships" ref="Q202" r:id="rId399"/>
    <hyperlink xmlns:r="http://schemas.openxmlformats.org/officeDocument/2006/relationships" ref="R202" r:id="rId400"/>
    <hyperlink xmlns:r="http://schemas.openxmlformats.org/officeDocument/2006/relationships" ref="Q203" r:id="rId401"/>
    <hyperlink xmlns:r="http://schemas.openxmlformats.org/officeDocument/2006/relationships" ref="R203" r:id="rId402"/>
    <hyperlink xmlns:r="http://schemas.openxmlformats.org/officeDocument/2006/relationships" ref="Q204" r:id="rId403"/>
    <hyperlink xmlns:r="http://schemas.openxmlformats.org/officeDocument/2006/relationships" ref="R204" r:id="rId404"/>
    <hyperlink xmlns:r="http://schemas.openxmlformats.org/officeDocument/2006/relationships" ref="Q205" r:id="rId405"/>
    <hyperlink xmlns:r="http://schemas.openxmlformats.org/officeDocument/2006/relationships" ref="R205" r:id="rId406"/>
    <hyperlink xmlns:r="http://schemas.openxmlformats.org/officeDocument/2006/relationships" ref="Q206" r:id="rId407"/>
    <hyperlink xmlns:r="http://schemas.openxmlformats.org/officeDocument/2006/relationships" ref="R206" r:id="rId408"/>
    <hyperlink xmlns:r="http://schemas.openxmlformats.org/officeDocument/2006/relationships" ref="Q207" r:id="rId409"/>
    <hyperlink xmlns:r="http://schemas.openxmlformats.org/officeDocument/2006/relationships" ref="R207" r:id="rId410"/>
    <hyperlink xmlns:r="http://schemas.openxmlformats.org/officeDocument/2006/relationships" ref="Q208" r:id="rId411"/>
    <hyperlink xmlns:r="http://schemas.openxmlformats.org/officeDocument/2006/relationships" ref="R208" r:id="rId412"/>
    <hyperlink xmlns:r="http://schemas.openxmlformats.org/officeDocument/2006/relationships" ref="Q209" r:id="rId413"/>
    <hyperlink xmlns:r="http://schemas.openxmlformats.org/officeDocument/2006/relationships" ref="R209" r:id="rId414"/>
    <hyperlink xmlns:r="http://schemas.openxmlformats.org/officeDocument/2006/relationships" ref="Q210" r:id="rId415"/>
    <hyperlink xmlns:r="http://schemas.openxmlformats.org/officeDocument/2006/relationships" ref="R210" r:id="rId416"/>
    <hyperlink xmlns:r="http://schemas.openxmlformats.org/officeDocument/2006/relationships" ref="Q211" r:id="rId417"/>
    <hyperlink xmlns:r="http://schemas.openxmlformats.org/officeDocument/2006/relationships" ref="R211" r:id="rId418"/>
    <hyperlink xmlns:r="http://schemas.openxmlformats.org/officeDocument/2006/relationships" ref="Q212" r:id="rId419"/>
    <hyperlink xmlns:r="http://schemas.openxmlformats.org/officeDocument/2006/relationships" ref="R212" r:id="rId420"/>
    <hyperlink xmlns:r="http://schemas.openxmlformats.org/officeDocument/2006/relationships" ref="Q213" r:id="rId421"/>
    <hyperlink xmlns:r="http://schemas.openxmlformats.org/officeDocument/2006/relationships" ref="R213" r:id="rId422"/>
    <hyperlink xmlns:r="http://schemas.openxmlformats.org/officeDocument/2006/relationships" ref="Q214" r:id="rId423"/>
    <hyperlink xmlns:r="http://schemas.openxmlformats.org/officeDocument/2006/relationships" ref="R214" r:id="rId424"/>
    <hyperlink xmlns:r="http://schemas.openxmlformats.org/officeDocument/2006/relationships" ref="Q215" r:id="rId425"/>
    <hyperlink xmlns:r="http://schemas.openxmlformats.org/officeDocument/2006/relationships" ref="R215" r:id="rId426"/>
    <hyperlink xmlns:r="http://schemas.openxmlformats.org/officeDocument/2006/relationships" ref="Q216" r:id="rId427"/>
    <hyperlink xmlns:r="http://schemas.openxmlformats.org/officeDocument/2006/relationships" ref="R216" r:id="rId428"/>
    <hyperlink xmlns:r="http://schemas.openxmlformats.org/officeDocument/2006/relationships" ref="Q217" r:id="rId429"/>
    <hyperlink xmlns:r="http://schemas.openxmlformats.org/officeDocument/2006/relationships" ref="R217" r:id="rId430"/>
    <hyperlink xmlns:r="http://schemas.openxmlformats.org/officeDocument/2006/relationships" ref="Q218" r:id="rId431"/>
    <hyperlink xmlns:r="http://schemas.openxmlformats.org/officeDocument/2006/relationships" ref="R218" r:id="rId432"/>
    <hyperlink xmlns:r="http://schemas.openxmlformats.org/officeDocument/2006/relationships" ref="Q219" r:id="rId433"/>
    <hyperlink xmlns:r="http://schemas.openxmlformats.org/officeDocument/2006/relationships" ref="R219" r:id="rId434"/>
    <hyperlink xmlns:r="http://schemas.openxmlformats.org/officeDocument/2006/relationships" ref="Q220" r:id="rId435"/>
    <hyperlink xmlns:r="http://schemas.openxmlformats.org/officeDocument/2006/relationships" ref="R220" r:id="rId436"/>
    <hyperlink xmlns:r="http://schemas.openxmlformats.org/officeDocument/2006/relationships" ref="Q221" r:id="rId437"/>
    <hyperlink xmlns:r="http://schemas.openxmlformats.org/officeDocument/2006/relationships" ref="R221" r:id="rId438"/>
    <hyperlink xmlns:r="http://schemas.openxmlformats.org/officeDocument/2006/relationships" ref="Q222" r:id="rId439"/>
    <hyperlink xmlns:r="http://schemas.openxmlformats.org/officeDocument/2006/relationships" ref="R222" r:id="rId440"/>
    <hyperlink xmlns:r="http://schemas.openxmlformats.org/officeDocument/2006/relationships" ref="Q223" r:id="rId441"/>
    <hyperlink xmlns:r="http://schemas.openxmlformats.org/officeDocument/2006/relationships" ref="R223" r:id="rId442"/>
    <hyperlink xmlns:r="http://schemas.openxmlformats.org/officeDocument/2006/relationships" ref="Q224" r:id="rId443"/>
    <hyperlink xmlns:r="http://schemas.openxmlformats.org/officeDocument/2006/relationships" ref="R224" r:id="rId444"/>
    <hyperlink xmlns:r="http://schemas.openxmlformats.org/officeDocument/2006/relationships" ref="Q225" r:id="rId445"/>
    <hyperlink xmlns:r="http://schemas.openxmlformats.org/officeDocument/2006/relationships" ref="R225" r:id="rId446"/>
    <hyperlink xmlns:r="http://schemas.openxmlformats.org/officeDocument/2006/relationships" ref="Q226" r:id="rId447"/>
    <hyperlink xmlns:r="http://schemas.openxmlformats.org/officeDocument/2006/relationships" ref="R226" r:id="rId448"/>
    <hyperlink xmlns:r="http://schemas.openxmlformats.org/officeDocument/2006/relationships" ref="Q227" r:id="rId449"/>
    <hyperlink xmlns:r="http://schemas.openxmlformats.org/officeDocument/2006/relationships" ref="R227" r:id="rId450"/>
    <hyperlink xmlns:r="http://schemas.openxmlformats.org/officeDocument/2006/relationships" ref="Q228" r:id="rId451"/>
    <hyperlink xmlns:r="http://schemas.openxmlformats.org/officeDocument/2006/relationships" ref="R228" r:id="rId452"/>
    <hyperlink xmlns:r="http://schemas.openxmlformats.org/officeDocument/2006/relationships" ref="Q229" r:id="rId453"/>
    <hyperlink xmlns:r="http://schemas.openxmlformats.org/officeDocument/2006/relationships" ref="R229" r:id="rId454"/>
    <hyperlink xmlns:r="http://schemas.openxmlformats.org/officeDocument/2006/relationships" ref="Q230" r:id="rId455"/>
    <hyperlink xmlns:r="http://schemas.openxmlformats.org/officeDocument/2006/relationships" ref="R230" r:id="rId456"/>
    <hyperlink xmlns:r="http://schemas.openxmlformats.org/officeDocument/2006/relationships" ref="Q231" r:id="rId457"/>
    <hyperlink xmlns:r="http://schemas.openxmlformats.org/officeDocument/2006/relationships" ref="R231" r:id="rId458"/>
    <hyperlink xmlns:r="http://schemas.openxmlformats.org/officeDocument/2006/relationships" ref="Q232" r:id="rId459"/>
    <hyperlink xmlns:r="http://schemas.openxmlformats.org/officeDocument/2006/relationships" ref="R232" r:id="rId460"/>
    <hyperlink xmlns:r="http://schemas.openxmlformats.org/officeDocument/2006/relationships" ref="Q233" r:id="rId461"/>
    <hyperlink xmlns:r="http://schemas.openxmlformats.org/officeDocument/2006/relationships" ref="R233" r:id="rId462"/>
    <hyperlink xmlns:r="http://schemas.openxmlformats.org/officeDocument/2006/relationships" ref="Q234" r:id="rId463"/>
    <hyperlink xmlns:r="http://schemas.openxmlformats.org/officeDocument/2006/relationships" ref="R234" r:id="rId464"/>
    <hyperlink xmlns:r="http://schemas.openxmlformats.org/officeDocument/2006/relationships" ref="Q235" r:id="rId465"/>
    <hyperlink xmlns:r="http://schemas.openxmlformats.org/officeDocument/2006/relationships" ref="R235" r:id="rId466"/>
    <hyperlink xmlns:r="http://schemas.openxmlformats.org/officeDocument/2006/relationships" ref="Q236" r:id="rId467"/>
    <hyperlink xmlns:r="http://schemas.openxmlformats.org/officeDocument/2006/relationships" ref="R236" r:id="rId468"/>
    <hyperlink xmlns:r="http://schemas.openxmlformats.org/officeDocument/2006/relationships" ref="Q237" r:id="rId469"/>
    <hyperlink xmlns:r="http://schemas.openxmlformats.org/officeDocument/2006/relationships" ref="R237" r:id="rId470"/>
    <hyperlink xmlns:r="http://schemas.openxmlformats.org/officeDocument/2006/relationships" ref="Q238" r:id="rId471"/>
    <hyperlink xmlns:r="http://schemas.openxmlformats.org/officeDocument/2006/relationships" ref="R238" r:id="rId472"/>
    <hyperlink xmlns:r="http://schemas.openxmlformats.org/officeDocument/2006/relationships" ref="Q239" r:id="rId473"/>
    <hyperlink xmlns:r="http://schemas.openxmlformats.org/officeDocument/2006/relationships" ref="R239" r:id="rId474"/>
    <hyperlink xmlns:r="http://schemas.openxmlformats.org/officeDocument/2006/relationships" ref="Q240" r:id="rId475"/>
    <hyperlink xmlns:r="http://schemas.openxmlformats.org/officeDocument/2006/relationships" ref="R240" r:id="rId476"/>
    <hyperlink xmlns:r="http://schemas.openxmlformats.org/officeDocument/2006/relationships" ref="Q241" r:id="rId477"/>
    <hyperlink xmlns:r="http://schemas.openxmlformats.org/officeDocument/2006/relationships" ref="R241" r:id="rId478"/>
    <hyperlink xmlns:r="http://schemas.openxmlformats.org/officeDocument/2006/relationships" ref="Q242" r:id="rId479"/>
    <hyperlink xmlns:r="http://schemas.openxmlformats.org/officeDocument/2006/relationships" ref="R242" r:id="rId480"/>
    <hyperlink xmlns:r="http://schemas.openxmlformats.org/officeDocument/2006/relationships" ref="Q243" r:id="rId481"/>
    <hyperlink xmlns:r="http://schemas.openxmlformats.org/officeDocument/2006/relationships" ref="R243" r:id="rId482"/>
    <hyperlink xmlns:r="http://schemas.openxmlformats.org/officeDocument/2006/relationships" ref="Q244" r:id="rId483"/>
    <hyperlink xmlns:r="http://schemas.openxmlformats.org/officeDocument/2006/relationships" ref="R244" r:id="rId484"/>
    <hyperlink xmlns:r="http://schemas.openxmlformats.org/officeDocument/2006/relationships" ref="Q245" r:id="rId485"/>
    <hyperlink xmlns:r="http://schemas.openxmlformats.org/officeDocument/2006/relationships" ref="R245" r:id="rId486"/>
    <hyperlink xmlns:r="http://schemas.openxmlformats.org/officeDocument/2006/relationships" ref="Q246" r:id="rId487"/>
    <hyperlink xmlns:r="http://schemas.openxmlformats.org/officeDocument/2006/relationships" ref="R246" r:id="rId488"/>
    <hyperlink xmlns:r="http://schemas.openxmlformats.org/officeDocument/2006/relationships" ref="Q247" r:id="rId489"/>
    <hyperlink xmlns:r="http://schemas.openxmlformats.org/officeDocument/2006/relationships" ref="Q248" r:id="rId490"/>
    <hyperlink xmlns:r="http://schemas.openxmlformats.org/officeDocument/2006/relationships" ref="Q249" r:id="rId491"/>
    <hyperlink xmlns:r="http://schemas.openxmlformats.org/officeDocument/2006/relationships" ref="R249" r:id="rId492"/>
    <hyperlink xmlns:r="http://schemas.openxmlformats.org/officeDocument/2006/relationships" ref="Q250" r:id="rId493"/>
    <hyperlink xmlns:r="http://schemas.openxmlformats.org/officeDocument/2006/relationships" ref="R250" r:id="rId494"/>
    <hyperlink xmlns:r="http://schemas.openxmlformats.org/officeDocument/2006/relationships" ref="Q251" r:id="rId495"/>
    <hyperlink xmlns:r="http://schemas.openxmlformats.org/officeDocument/2006/relationships" ref="R251" r:id="rId496"/>
    <hyperlink xmlns:r="http://schemas.openxmlformats.org/officeDocument/2006/relationships" ref="Q252" r:id="rId497"/>
    <hyperlink xmlns:r="http://schemas.openxmlformats.org/officeDocument/2006/relationships" ref="R252" r:id="rId498"/>
    <hyperlink xmlns:r="http://schemas.openxmlformats.org/officeDocument/2006/relationships" ref="Q253" r:id="rId499"/>
    <hyperlink xmlns:r="http://schemas.openxmlformats.org/officeDocument/2006/relationships" ref="Q254" r:id="rId500"/>
    <hyperlink xmlns:r="http://schemas.openxmlformats.org/officeDocument/2006/relationships" ref="R254" r:id="rId501"/>
    <hyperlink xmlns:r="http://schemas.openxmlformats.org/officeDocument/2006/relationships" ref="Q255" r:id="rId502"/>
    <hyperlink xmlns:r="http://schemas.openxmlformats.org/officeDocument/2006/relationships" ref="R255" r:id="rId503"/>
    <hyperlink xmlns:r="http://schemas.openxmlformats.org/officeDocument/2006/relationships" ref="Q256" r:id="rId504"/>
    <hyperlink xmlns:r="http://schemas.openxmlformats.org/officeDocument/2006/relationships" ref="R256" r:id="rId505"/>
    <hyperlink xmlns:r="http://schemas.openxmlformats.org/officeDocument/2006/relationships" ref="Q257" r:id="rId506"/>
    <hyperlink xmlns:r="http://schemas.openxmlformats.org/officeDocument/2006/relationships" ref="R257" r:id="rId507"/>
    <hyperlink xmlns:r="http://schemas.openxmlformats.org/officeDocument/2006/relationships" ref="Q258" r:id="rId508"/>
    <hyperlink xmlns:r="http://schemas.openxmlformats.org/officeDocument/2006/relationships" ref="R258" r:id="rId509"/>
    <hyperlink xmlns:r="http://schemas.openxmlformats.org/officeDocument/2006/relationships" ref="Q259" r:id="rId510"/>
    <hyperlink xmlns:r="http://schemas.openxmlformats.org/officeDocument/2006/relationships" ref="R259" r:id="rId511"/>
    <hyperlink xmlns:r="http://schemas.openxmlformats.org/officeDocument/2006/relationships" ref="Q260" r:id="rId512"/>
    <hyperlink xmlns:r="http://schemas.openxmlformats.org/officeDocument/2006/relationships" ref="R260" r:id="rId513"/>
    <hyperlink xmlns:r="http://schemas.openxmlformats.org/officeDocument/2006/relationships" ref="Q261" r:id="rId514"/>
    <hyperlink xmlns:r="http://schemas.openxmlformats.org/officeDocument/2006/relationships" ref="R261" r:id="rId515"/>
    <hyperlink xmlns:r="http://schemas.openxmlformats.org/officeDocument/2006/relationships" ref="Q262" r:id="rId516"/>
    <hyperlink xmlns:r="http://schemas.openxmlformats.org/officeDocument/2006/relationships" ref="R262" r:id="rId517"/>
    <hyperlink xmlns:r="http://schemas.openxmlformats.org/officeDocument/2006/relationships" ref="Q263" r:id="rId518"/>
    <hyperlink xmlns:r="http://schemas.openxmlformats.org/officeDocument/2006/relationships" ref="Q264" r:id="rId519"/>
    <hyperlink xmlns:r="http://schemas.openxmlformats.org/officeDocument/2006/relationships" ref="R264" r:id="rId520"/>
    <hyperlink xmlns:r="http://schemas.openxmlformats.org/officeDocument/2006/relationships" ref="Q265" r:id="rId521"/>
    <hyperlink xmlns:r="http://schemas.openxmlformats.org/officeDocument/2006/relationships" ref="R265" r:id="rId522"/>
    <hyperlink xmlns:r="http://schemas.openxmlformats.org/officeDocument/2006/relationships" ref="Q266" r:id="rId523"/>
    <hyperlink xmlns:r="http://schemas.openxmlformats.org/officeDocument/2006/relationships" ref="R266" r:id="rId524"/>
    <hyperlink xmlns:r="http://schemas.openxmlformats.org/officeDocument/2006/relationships" ref="Q267" r:id="rId525"/>
    <hyperlink xmlns:r="http://schemas.openxmlformats.org/officeDocument/2006/relationships" ref="Q268" r:id="rId526"/>
    <hyperlink xmlns:r="http://schemas.openxmlformats.org/officeDocument/2006/relationships" ref="R268" r:id="rId527"/>
    <hyperlink xmlns:r="http://schemas.openxmlformats.org/officeDocument/2006/relationships" ref="Q269" r:id="rId528"/>
    <hyperlink xmlns:r="http://schemas.openxmlformats.org/officeDocument/2006/relationships" ref="R269" r:id="rId529"/>
    <hyperlink xmlns:r="http://schemas.openxmlformats.org/officeDocument/2006/relationships" ref="Q270" r:id="rId530"/>
    <hyperlink xmlns:r="http://schemas.openxmlformats.org/officeDocument/2006/relationships" ref="R270" r:id="rId531"/>
    <hyperlink xmlns:r="http://schemas.openxmlformats.org/officeDocument/2006/relationships" ref="Q271" r:id="rId532"/>
    <hyperlink xmlns:r="http://schemas.openxmlformats.org/officeDocument/2006/relationships" ref="R271" r:id="rId533"/>
    <hyperlink xmlns:r="http://schemas.openxmlformats.org/officeDocument/2006/relationships" ref="Q272" r:id="rId534"/>
    <hyperlink xmlns:r="http://schemas.openxmlformats.org/officeDocument/2006/relationships" ref="R272" r:id="rId535"/>
    <hyperlink xmlns:r="http://schemas.openxmlformats.org/officeDocument/2006/relationships" ref="Q273" r:id="rId536"/>
    <hyperlink xmlns:r="http://schemas.openxmlformats.org/officeDocument/2006/relationships" ref="R273" r:id="rId537"/>
    <hyperlink xmlns:r="http://schemas.openxmlformats.org/officeDocument/2006/relationships" ref="Q274" r:id="rId538"/>
    <hyperlink xmlns:r="http://schemas.openxmlformats.org/officeDocument/2006/relationships" ref="R274" r:id="rId539"/>
    <hyperlink xmlns:r="http://schemas.openxmlformats.org/officeDocument/2006/relationships" ref="Q275" r:id="rId540"/>
    <hyperlink xmlns:r="http://schemas.openxmlformats.org/officeDocument/2006/relationships" ref="R275" r:id="rId541"/>
    <hyperlink xmlns:r="http://schemas.openxmlformats.org/officeDocument/2006/relationships" ref="Q276" r:id="rId542"/>
    <hyperlink xmlns:r="http://schemas.openxmlformats.org/officeDocument/2006/relationships" ref="R276" r:id="rId543"/>
    <hyperlink xmlns:r="http://schemas.openxmlformats.org/officeDocument/2006/relationships" ref="Q277" r:id="rId544"/>
    <hyperlink xmlns:r="http://schemas.openxmlformats.org/officeDocument/2006/relationships" ref="R277" r:id="rId545"/>
    <hyperlink xmlns:r="http://schemas.openxmlformats.org/officeDocument/2006/relationships" ref="Q278" r:id="rId546"/>
    <hyperlink xmlns:r="http://schemas.openxmlformats.org/officeDocument/2006/relationships" ref="R278" r:id="rId547"/>
    <hyperlink xmlns:r="http://schemas.openxmlformats.org/officeDocument/2006/relationships" ref="Q279" r:id="rId548"/>
    <hyperlink xmlns:r="http://schemas.openxmlformats.org/officeDocument/2006/relationships" ref="R279" r:id="rId549"/>
    <hyperlink xmlns:r="http://schemas.openxmlformats.org/officeDocument/2006/relationships" ref="Q280" r:id="rId550"/>
    <hyperlink xmlns:r="http://schemas.openxmlformats.org/officeDocument/2006/relationships" ref="R280" r:id="rId551"/>
    <hyperlink xmlns:r="http://schemas.openxmlformats.org/officeDocument/2006/relationships" ref="Q281" r:id="rId552"/>
    <hyperlink xmlns:r="http://schemas.openxmlformats.org/officeDocument/2006/relationships" ref="R281" r:id="rId553"/>
    <hyperlink xmlns:r="http://schemas.openxmlformats.org/officeDocument/2006/relationships" ref="Q282" r:id="rId554"/>
    <hyperlink xmlns:r="http://schemas.openxmlformats.org/officeDocument/2006/relationships" ref="R282" r:id="rId555"/>
    <hyperlink xmlns:r="http://schemas.openxmlformats.org/officeDocument/2006/relationships" ref="Q283" r:id="rId556"/>
    <hyperlink xmlns:r="http://schemas.openxmlformats.org/officeDocument/2006/relationships" ref="R283" r:id="rId557"/>
    <hyperlink xmlns:r="http://schemas.openxmlformats.org/officeDocument/2006/relationships" ref="Q284" r:id="rId558"/>
    <hyperlink xmlns:r="http://schemas.openxmlformats.org/officeDocument/2006/relationships" ref="R284" r:id="rId559"/>
    <hyperlink xmlns:r="http://schemas.openxmlformats.org/officeDocument/2006/relationships" ref="Q285" r:id="rId560"/>
    <hyperlink xmlns:r="http://schemas.openxmlformats.org/officeDocument/2006/relationships" ref="R285" r:id="rId561"/>
    <hyperlink xmlns:r="http://schemas.openxmlformats.org/officeDocument/2006/relationships" ref="Q286" r:id="rId562"/>
    <hyperlink xmlns:r="http://schemas.openxmlformats.org/officeDocument/2006/relationships" ref="R286" r:id="rId563"/>
    <hyperlink xmlns:r="http://schemas.openxmlformats.org/officeDocument/2006/relationships" ref="Q287" r:id="rId564"/>
    <hyperlink xmlns:r="http://schemas.openxmlformats.org/officeDocument/2006/relationships" ref="R287" r:id="rId565"/>
    <hyperlink xmlns:r="http://schemas.openxmlformats.org/officeDocument/2006/relationships" ref="Q288" r:id="rId566"/>
    <hyperlink xmlns:r="http://schemas.openxmlformats.org/officeDocument/2006/relationships" ref="R288" r:id="rId567"/>
    <hyperlink xmlns:r="http://schemas.openxmlformats.org/officeDocument/2006/relationships" ref="Q289" r:id="rId568"/>
    <hyperlink xmlns:r="http://schemas.openxmlformats.org/officeDocument/2006/relationships" ref="R289" r:id="rId569"/>
    <hyperlink xmlns:r="http://schemas.openxmlformats.org/officeDocument/2006/relationships" ref="Q290" r:id="rId570"/>
    <hyperlink xmlns:r="http://schemas.openxmlformats.org/officeDocument/2006/relationships" ref="R290" r:id="rId571"/>
    <hyperlink xmlns:r="http://schemas.openxmlformats.org/officeDocument/2006/relationships" ref="Q291" r:id="rId572"/>
    <hyperlink xmlns:r="http://schemas.openxmlformats.org/officeDocument/2006/relationships" ref="R291" r:id="rId573"/>
    <hyperlink xmlns:r="http://schemas.openxmlformats.org/officeDocument/2006/relationships" ref="Q292" r:id="rId574"/>
    <hyperlink xmlns:r="http://schemas.openxmlformats.org/officeDocument/2006/relationships" ref="R292" r:id="rId575"/>
    <hyperlink xmlns:r="http://schemas.openxmlformats.org/officeDocument/2006/relationships" ref="Q293" r:id="rId576"/>
    <hyperlink xmlns:r="http://schemas.openxmlformats.org/officeDocument/2006/relationships" ref="R293" r:id="rId577"/>
    <hyperlink xmlns:r="http://schemas.openxmlformats.org/officeDocument/2006/relationships" ref="Q294" r:id="rId578"/>
    <hyperlink xmlns:r="http://schemas.openxmlformats.org/officeDocument/2006/relationships" ref="R294" r:id="rId579"/>
    <hyperlink xmlns:r="http://schemas.openxmlformats.org/officeDocument/2006/relationships" ref="Q295" r:id="rId580"/>
    <hyperlink xmlns:r="http://schemas.openxmlformats.org/officeDocument/2006/relationships" ref="R295" r:id="rId581"/>
    <hyperlink xmlns:r="http://schemas.openxmlformats.org/officeDocument/2006/relationships" ref="Q296" r:id="rId582"/>
    <hyperlink xmlns:r="http://schemas.openxmlformats.org/officeDocument/2006/relationships" ref="R296" r:id="rId583"/>
    <hyperlink xmlns:r="http://schemas.openxmlformats.org/officeDocument/2006/relationships" ref="Q297" r:id="rId584"/>
    <hyperlink xmlns:r="http://schemas.openxmlformats.org/officeDocument/2006/relationships" ref="R297" r:id="rId585"/>
    <hyperlink xmlns:r="http://schemas.openxmlformats.org/officeDocument/2006/relationships" ref="Q298" r:id="rId586"/>
    <hyperlink xmlns:r="http://schemas.openxmlformats.org/officeDocument/2006/relationships" ref="Q299" r:id="rId587"/>
    <hyperlink xmlns:r="http://schemas.openxmlformats.org/officeDocument/2006/relationships" ref="R299" r:id="rId588"/>
    <hyperlink xmlns:r="http://schemas.openxmlformats.org/officeDocument/2006/relationships" ref="Q300" r:id="rId589"/>
    <hyperlink xmlns:r="http://schemas.openxmlformats.org/officeDocument/2006/relationships" ref="R300" r:id="rId590"/>
    <hyperlink xmlns:r="http://schemas.openxmlformats.org/officeDocument/2006/relationships" ref="Q301" r:id="rId591"/>
    <hyperlink xmlns:r="http://schemas.openxmlformats.org/officeDocument/2006/relationships" ref="R301" r:id="rId592"/>
    <hyperlink xmlns:r="http://schemas.openxmlformats.org/officeDocument/2006/relationships" ref="Q302" r:id="rId593"/>
    <hyperlink xmlns:r="http://schemas.openxmlformats.org/officeDocument/2006/relationships" ref="Q303" r:id="rId594"/>
    <hyperlink xmlns:r="http://schemas.openxmlformats.org/officeDocument/2006/relationships" ref="R303" r:id="rId595"/>
    <hyperlink xmlns:r="http://schemas.openxmlformats.org/officeDocument/2006/relationships" ref="Q304" r:id="rId596"/>
    <hyperlink xmlns:r="http://schemas.openxmlformats.org/officeDocument/2006/relationships" ref="R304" r:id="rId597"/>
    <hyperlink xmlns:r="http://schemas.openxmlformats.org/officeDocument/2006/relationships" ref="Q305" r:id="rId598"/>
    <hyperlink xmlns:r="http://schemas.openxmlformats.org/officeDocument/2006/relationships" ref="R305" r:id="rId599"/>
    <hyperlink xmlns:r="http://schemas.openxmlformats.org/officeDocument/2006/relationships" ref="Q306" r:id="rId600"/>
    <hyperlink xmlns:r="http://schemas.openxmlformats.org/officeDocument/2006/relationships" ref="R306" r:id="rId601"/>
    <hyperlink xmlns:r="http://schemas.openxmlformats.org/officeDocument/2006/relationships" ref="Q307" r:id="rId602"/>
    <hyperlink xmlns:r="http://schemas.openxmlformats.org/officeDocument/2006/relationships" ref="Q308" r:id="rId603"/>
    <hyperlink xmlns:r="http://schemas.openxmlformats.org/officeDocument/2006/relationships" ref="Q309" r:id="rId604"/>
    <hyperlink xmlns:r="http://schemas.openxmlformats.org/officeDocument/2006/relationships" ref="R309" r:id="rId605"/>
    <hyperlink xmlns:r="http://schemas.openxmlformats.org/officeDocument/2006/relationships" ref="Q310" r:id="rId606"/>
    <hyperlink xmlns:r="http://schemas.openxmlformats.org/officeDocument/2006/relationships" ref="R310" r:id="rId607"/>
    <hyperlink xmlns:r="http://schemas.openxmlformats.org/officeDocument/2006/relationships" ref="Q311" r:id="rId608"/>
    <hyperlink xmlns:r="http://schemas.openxmlformats.org/officeDocument/2006/relationships" ref="R311" r:id="rId609"/>
    <hyperlink xmlns:r="http://schemas.openxmlformats.org/officeDocument/2006/relationships" ref="Q312" r:id="rId610"/>
    <hyperlink xmlns:r="http://schemas.openxmlformats.org/officeDocument/2006/relationships" ref="R312" r:id="rId611"/>
    <hyperlink xmlns:r="http://schemas.openxmlformats.org/officeDocument/2006/relationships" ref="Q313" r:id="rId612"/>
    <hyperlink xmlns:r="http://schemas.openxmlformats.org/officeDocument/2006/relationships" ref="R313" r:id="rId613"/>
    <hyperlink xmlns:r="http://schemas.openxmlformats.org/officeDocument/2006/relationships" ref="Q314" r:id="rId614"/>
    <hyperlink xmlns:r="http://schemas.openxmlformats.org/officeDocument/2006/relationships" ref="R314" r:id="rId615"/>
    <hyperlink xmlns:r="http://schemas.openxmlformats.org/officeDocument/2006/relationships" ref="Q315" r:id="rId616"/>
    <hyperlink xmlns:r="http://schemas.openxmlformats.org/officeDocument/2006/relationships" ref="R315" r:id="rId617"/>
    <hyperlink xmlns:r="http://schemas.openxmlformats.org/officeDocument/2006/relationships" ref="Q316" r:id="rId618"/>
    <hyperlink xmlns:r="http://schemas.openxmlformats.org/officeDocument/2006/relationships" ref="R316" r:id="rId619"/>
    <hyperlink xmlns:r="http://schemas.openxmlformats.org/officeDocument/2006/relationships" ref="Q317" r:id="rId620"/>
    <hyperlink xmlns:r="http://schemas.openxmlformats.org/officeDocument/2006/relationships" ref="R317" r:id="rId621"/>
    <hyperlink xmlns:r="http://schemas.openxmlformats.org/officeDocument/2006/relationships" ref="Q318" r:id="rId622"/>
    <hyperlink xmlns:r="http://schemas.openxmlformats.org/officeDocument/2006/relationships" ref="R318" r:id="rId623"/>
    <hyperlink xmlns:r="http://schemas.openxmlformats.org/officeDocument/2006/relationships" ref="Q319" r:id="rId624"/>
    <hyperlink xmlns:r="http://schemas.openxmlformats.org/officeDocument/2006/relationships" ref="R319" r:id="rId625"/>
    <hyperlink xmlns:r="http://schemas.openxmlformats.org/officeDocument/2006/relationships" ref="Q320" r:id="rId626"/>
    <hyperlink xmlns:r="http://schemas.openxmlformats.org/officeDocument/2006/relationships" ref="R320" r:id="rId627"/>
    <hyperlink xmlns:r="http://schemas.openxmlformats.org/officeDocument/2006/relationships" ref="Q321" r:id="rId628"/>
    <hyperlink xmlns:r="http://schemas.openxmlformats.org/officeDocument/2006/relationships" ref="R321" r:id="rId629"/>
    <hyperlink xmlns:r="http://schemas.openxmlformats.org/officeDocument/2006/relationships" ref="Q322" r:id="rId630"/>
    <hyperlink xmlns:r="http://schemas.openxmlformats.org/officeDocument/2006/relationships" ref="R322" r:id="rId631"/>
    <hyperlink xmlns:r="http://schemas.openxmlformats.org/officeDocument/2006/relationships" ref="Q323" r:id="rId632"/>
    <hyperlink xmlns:r="http://schemas.openxmlformats.org/officeDocument/2006/relationships" ref="R323" r:id="rId633"/>
    <hyperlink xmlns:r="http://schemas.openxmlformats.org/officeDocument/2006/relationships" ref="Q324" r:id="rId634"/>
    <hyperlink xmlns:r="http://schemas.openxmlformats.org/officeDocument/2006/relationships" ref="R324" r:id="rId635"/>
    <hyperlink xmlns:r="http://schemas.openxmlformats.org/officeDocument/2006/relationships" ref="Q325" r:id="rId636"/>
    <hyperlink xmlns:r="http://schemas.openxmlformats.org/officeDocument/2006/relationships" ref="R325" r:id="rId637"/>
    <hyperlink xmlns:r="http://schemas.openxmlformats.org/officeDocument/2006/relationships" ref="Q326" r:id="rId638"/>
    <hyperlink xmlns:r="http://schemas.openxmlformats.org/officeDocument/2006/relationships" ref="R326" r:id="rId639"/>
    <hyperlink xmlns:r="http://schemas.openxmlformats.org/officeDocument/2006/relationships" ref="Q327" r:id="rId640"/>
    <hyperlink xmlns:r="http://schemas.openxmlformats.org/officeDocument/2006/relationships" ref="R327" r:id="rId641"/>
    <hyperlink xmlns:r="http://schemas.openxmlformats.org/officeDocument/2006/relationships" ref="Q328" r:id="rId642"/>
    <hyperlink xmlns:r="http://schemas.openxmlformats.org/officeDocument/2006/relationships" ref="R328" r:id="rId643"/>
    <hyperlink xmlns:r="http://schemas.openxmlformats.org/officeDocument/2006/relationships" ref="Q329" r:id="rId644"/>
    <hyperlink xmlns:r="http://schemas.openxmlformats.org/officeDocument/2006/relationships" ref="R329" r:id="rId645"/>
    <hyperlink xmlns:r="http://schemas.openxmlformats.org/officeDocument/2006/relationships" ref="Q330" r:id="rId646"/>
    <hyperlink xmlns:r="http://schemas.openxmlformats.org/officeDocument/2006/relationships" ref="R330" r:id="rId647"/>
    <hyperlink xmlns:r="http://schemas.openxmlformats.org/officeDocument/2006/relationships" ref="Q331" r:id="rId648"/>
    <hyperlink xmlns:r="http://schemas.openxmlformats.org/officeDocument/2006/relationships" ref="R331" r:id="rId649"/>
    <hyperlink xmlns:r="http://schemas.openxmlformats.org/officeDocument/2006/relationships" ref="Q332" r:id="rId650"/>
    <hyperlink xmlns:r="http://schemas.openxmlformats.org/officeDocument/2006/relationships" ref="R332" r:id="rId651"/>
    <hyperlink xmlns:r="http://schemas.openxmlformats.org/officeDocument/2006/relationships" ref="Q333" r:id="rId652"/>
    <hyperlink xmlns:r="http://schemas.openxmlformats.org/officeDocument/2006/relationships" ref="R333" r:id="rId653"/>
    <hyperlink xmlns:r="http://schemas.openxmlformats.org/officeDocument/2006/relationships" ref="Q334" r:id="rId654"/>
    <hyperlink xmlns:r="http://schemas.openxmlformats.org/officeDocument/2006/relationships" ref="R334" r:id="rId655"/>
    <hyperlink xmlns:r="http://schemas.openxmlformats.org/officeDocument/2006/relationships" ref="Q335" r:id="rId656"/>
    <hyperlink xmlns:r="http://schemas.openxmlformats.org/officeDocument/2006/relationships" ref="R335" r:id="rId657"/>
    <hyperlink xmlns:r="http://schemas.openxmlformats.org/officeDocument/2006/relationships" ref="Q336" r:id="rId658"/>
    <hyperlink xmlns:r="http://schemas.openxmlformats.org/officeDocument/2006/relationships" ref="R336" r:id="rId659"/>
    <hyperlink xmlns:r="http://schemas.openxmlformats.org/officeDocument/2006/relationships" ref="Q337" r:id="rId660"/>
    <hyperlink xmlns:r="http://schemas.openxmlformats.org/officeDocument/2006/relationships" ref="R337" r:id="rId661"/>
    <hyperlink xmlns:r="http://schemas.openxmlformats.org/officeDocument/2006/relationships" ref="Q338" r:id="rId662"/>
    <hyperlink xmlns:r="http://schemas.openxmlformats.org/officeDocument/2006/relationships" ref="R338" r:id="rId663"/>
    <hyperlink xmlns:r="http://schemas.openxmlformats.org/officeDocument/2006/relationships" ref="Q339" r:id="rId664"/>
    <hyperlink xmlns:r="http://schemas.openxmlformats.org/officeDocument/2006/relationships" ref="R339" r:id="rId665"/>
    <hyperlink xmlns:r="http://schemas.openxmlformats.org/officeDocument/2006/relationships" ref="Q340" r:id="rId666"/>
    <hyperlink xmlns:r="http://schemas.openxmlformats.org/officeDocument/2006/relationships" ref="Q341" r:id="rId667"/>
    <hyperlink xmlns:r="http://schemas.openxmlformats.org/officeDocument/2006/relationships" ref="R341" r:id="rId668"/>
    <hyperlink xmlns:r="http://schemas.openxmlformats.org/officeDocument/2006/relationships" ref="Q342" r:id="rId669"/>
    <hyperlink xmlns:r="http://schemas.openxmlformats.org/officeDocument/2006/relationships" ref="R342" r:id="rId670"/>
    <hyperlink xmlns:r="http://schemas.openxmlformats.org/officeDocument/2006/relationships" ref="Q343" r:id="rId671"/>
    <hyperlink xmlns:r="http://schemas.openxmlformats.org/officeDocument/2006/relationships" ref="R343" r:id="rId672"/>
    <hyperlink xmlns:r="http://schemas.openxmlformats.org/officeDocument/2006/relationships" ref="Q344" r:id="rId673"/>
    <hyperlink xmlns:r="http://schemas.openxmlformats.org/officeDocument/2006/relationships" ref="R344" r:id="rId674"/>
    <hyperlink xmlns:r="http://schemas.openxmlformats.org/officeDocument/2006/relationships" ref="Q345" r:id="rId675"/>
    <hyperlink xmlns:r="http://schemas.openxmlformats.org/officeDocument/2006/relationships" ref="R345" r:id="rId676"/>
    <hyperlink xmlns:r="http://schemas.openxmlformats.org/officeDocument/2006/relationships" ref="Q346" r:id="rId677"/>
    <hyperlink xmlns:r="http://schemas.openxmlformats.org/officeDocument/2006/relationships" ref="R346" r:id="rId678"/>
    <hyperlink xmlns:r="http://schemas.openxmlformats.org/officeDocument/2006/relationships" ref="Q347" r:id="rId679"/>
    <hyperlink xmlns:r="http://schemas.openxmlformats.org/officeDocument/2006/relationships" ref="R347" r:id="rId680"/>
    <hyperlink xmlns:r="http://schemas.openxmlformats.org/officeDocument/2006/relationships" ref="Q348" r:id="rId681"/>
    <hyperlink xmlns:r="http://schemas.openxmlformats.org/officeDocument/2006/relationships" ref="R348" r:id="rId682"/>
    <hyperlink xmlns:r="http://schemas.openxmlformats.org/officeDocument/2006/relationships" ref="Q349" r:id="rId683"/>
    <hyperlink xmlns:r="http://schemas.openxmlformats.org/officeDocument/2006/relationships" ref="R349" r:id="rId684"/>
    <hyperlink xmlns:r="http://schemas.openxmlformats.org/officeDocument/2006/relationships" ref="Q350" r:id="rId685"/>
    <hyperlink xmlns:r="http://schemas.openxmlformats.org/officeDocument/2006/relationships" ref="R350" r:id="rId686"/>
    <hyperlink xmlns:r="http://schemas.openxmlformats.org/officeDocument/2006/relationships" ref="Q351" r:id="rId687"/>
    <hyperlink xmlns:r="http://schemas.openxmlformats.org/officeDocument/2006/relationships" ref="R351" r:id="rId688"/>
    <hyperlink xmlns:r="http://schemas.openxmlformats.org/officeDocument/2006/relationships" ref="Q352" r:id="rId689"/>
    <hyperlink xmlns:r="http://schemas.openxmlformats.org/officeDocument/2006/relationships" ref="R352" r:id="rId690"/>
    <hyperlink xmlns:r="http://schemas.openxmlformats.org/officeDocument/2006/relationships" ref="Q353" r:id="rId691"/>
    <hyperlink xmlns:r="http://schemas.openxmlformats.org/officeDocument/2006/relationships" ref="R353" r:id="rId692"/>
    <hyperlink xmlns:r="http://schemas.openxmlformats.org/officeDocument/2006/relationships" ref="Q354" r:id="rId693"/>
    <hyperlink xmlns:r="http://schemas.openxmlformats.org/officeDocument/2006/relationships" ref="R354" r:id="rId694"/>
    <hyperlink xmlns:r="http://schemas.openxmlformats.org/officeDocument/2006/relationships" ref="Q355" r:id="rId695"/>
    <hyperlink xmlns:r="http://schemas.openxmlformats.org/officeDocument/2006/relationships" ref="R355" r:id="rId696"/>
    <hyperlink xmlns:r="http://schemas.openxmlformats.org/officeDocument/2006/relationships" ref="Q356" r:id="rId697"/>
    <hyperlink xmlns:r="http://schemas.openxmlformats.org/officeDocument/2006/relationships" ref="R356" r:id="rId698"/>
    <hyperlink xmlns:r="http://schemas.openxmlformats.org/officeDocument/2006/relationships" ref="Q357" r:id="rId699"/>
    <hyperlink xmlns:r="http://schemas.openxmlformats.org/officeDocument/2006/relationships" ref="R357" r:id="rId700"/>
    <hyperlink xmlns:r="http://schemas.openxmlformats.org/officeDocument/2006/relationships" ref="Q358" r:id="rId701"/>
    <hyperlink xmlns:r="http://schemas.openxmlformats.org/officeDocument/2006/relationships" ref="R358" r:id="rId702"/>
    <hyperlink xmlns:r="http://schemas.openxmlformats.org/officeDocument/2006/relationships" ref="Q359" r:id="rId703"/>
    <hyperlink xmlns:r="http://schemas.openxmlformats.org/officeDocument/2006/relationships" ref="R359" r:id="rId704"/>
    <hyperlink xmlns:r="http://schemas.openxmlformats.org/officeDocument/2006/relationships" ref="Q360" r:id="rId705"/>
    <hyperlink xmlns:r="http://schemas.openxmlformats.org/officeDocument/2006/relationships" ref="R360" r:id="rId706"/>
    <hyperlink xmlns:r="http://schemas.openxmlformats.org/officeDocument/2006/relationships" ref="Q361" r:id="rId707"/>
    <hyperlink xmlns:r="http://schemas.openxmlformats.org/officeDocument/2006/relationships" ref="R361" r:id="rId708"/>
    <hyperlink xmlns:r="http://schemas.openxmlformats.org/officeDocument/2006/relationships" ref="Q362" r:id="rId709"/>
    <hyperlink xmlns:r="http://schemas.openxmlformats.org/officeDocument/2006/relationships" ref="R362" r:id="rId710"/>
    <hyperlink xmlns:r="http://schemas.openxmlformats.org/officeDocument/2006/relationships" ref="Q363" r:id="rId711"/>
    <hyperlink xmlns:r="http://schemas.openxmlformats.org/officeDocument/2006/relationships" ref="R363" r:id="rId712"/>
    <hyperlink xmlns:r="http://schemas.openxmlformats.org/officeDocument/2006/relationships" ref="Q364" r:id="rId713"/>
    <hyperlink xmlns:r="http://schemas.openxmlformats.org/officeDocument/2006/relationships" ref="R364" r:id="rId714"/>
    <hyperlink xmlns:r="http://schemas.openxmlformats.org/officeDocument/2006/relationships" ref="Q365" r:id="rId715"/>
    <hyperlink xmlns:r="http://schemas.openxmlformats.org/officeDocument/2006/relationships" ref="R365" r:id="rId716"/>
    <hyperlink xmlns:r="http://schemas.openxmlformats.org/officeDocument/2006/relationships" ref="Q366" r:id="rId717"/>
    <hyperlink xmlns:r="http://schemas.openxmlformats.org/officeDocument/2006/relationships" ref="R366" r:id="rId718"/>
    <hyperlink xmlns:r="http://schemas.openxmlformats.org/officeDocument/2006/relationships" ref="Q367" r:id="rId719"/>
    <hyperlink xmlns:r="http://schemas.openxmlformats.org/officeDocument/2006/relationships" ref="R367" r:id="rId720"/>
    <hyperlink xmlns:r="http://schemas.openxmlformats.org/officeDocument/2006/relationships" ref="Q368" r:id="rId721"/>
    <hyperlink xmlns:r="http://schemas.openxmlformats.org/officeDocument/2006/relationships" ref="R368" r:id="rId722"/>
    <hyperlink xmlns:r="http://schemas.openxmlformats.org/officeDocument/2006/relationships" ref="Q369" r:id="rId723"/>
    <hyperlink xmlns:r="http://schemas.openxmlformats.org/officeDocument/2006/relationships" ref="R369" r:id="rId724"/>
    <hyperlink xmlns:r="http://schemas.openxmlformats.org/officeDocument/2006/relationships" ref="Q370" r:id="rId725"/>
    <hyperlink xmlns:r="http://schemas.openxmlformats.org/officeDocument/2006/relationships" ref="R370" r:id="rId726"/>
    <hyperlink xmlns:r="http://schemas.openxmlformats.org/officeDocument/2006/relationships" ref="Q371" r:id="rId727"/>
    <hyperlink xmlns:r="http://schemas.openxmlformats.org/officeDocument/2006/relationships" ref="R371" r:id="rId728"/>
    <hyperlink xmlns:r="http://schemas.openxmlformats.org/officeDocument/2006/relationships" ref="Q372" r:id="rId729"/>
    <hyperlink xmlns:r="http://schemas.openxmlformats.org/officeDocument/2006/relationships" ref="R372" r:id="rId730"/>
    <hyperlink xmlns:r="http://schemas.openxmlformats.org/officeDocument/2006/relationships" ref="Q373" r:id="rId731"/>
    <hyperlink xmlns:r="http://schemas.openxmlformats.org/officeDocument/2006/relationships" ref="R373" r:id="rId732"/>
    <hyperlink xmlns:r="http://schemas.openxmlformats.org/officeDocument/2006/relationships" ref="Q374" r:id="rId733"/>
    <hyperlink xmlns:r="http://schemas.openxmlformats.org/officeDocument/2006/relationships" ref="R374" r:id="rId734"/>
    <hyperlink xmlns:r="http://schemas.openxmlformats.org/officeDocument/2006/relationships" ref="Q375" r:id="rId735"/>
    <hyperlink xmlns:r="http://schemas.openxmlformats.org/officeDocument/2006/relationships" ref="R375" r:id="rId736"/>
    <hyperlink xmlns:r="http://schemas.openxmlformats.org/officeDocument/2006/relationships" ref="Q376" r:id="rId737"/>
    <hyperlink xmlns:r="http://schemas.openxmlformats.org/officeDocument/2006/relationships" ref="R376" r:id="rId738"/>
    <hyperlink xmlns:r="http://schemas.openxmlformats.org/officeDocument/2006/relationships" ref="Q377" r:id="rId739"/>
    <hyperlink xmlns:r="http://schemas.openxmlformats.org/officeDocument/2006/relationships" ref="R377" r:id="rId740"/>
    <hyperlink xmlns:r="http://schemas.openxmlformats.org/officeDocument/2006/relationships" ref="Q378" r:id="rId741"/>
    <hyperlink xmlns:r="http://schemas.openxmlformats.org/officeDocument/2006/relationships" ref="R378" r:id="rId742"/>
    <hyperlink xmlns:r="http://schemas.openxmlformats.org/officeDocument/2006/relationships" ref="Q379" r:id="rId743"/>
    <hyperlink xmlns:r="http://schemas.openxmlformats.org/officeDocument/2006/relationships" ref="R379" r:id="rId744"/>
    <hyperlink xmlns:r="http://schemas.openxmlformats.org/officeDocument/2006/relationships" ref="Q380" r:id="rId745"/>
    <hyperlink xmlns:r="http://schemas.openxmlformats.org/officeDocument/2006/relationships" ref="R380" r:id="rId746"/>
    <hyperlink xmlns:r="http://schemas.openxmlformats.org/officeDocument/2006/relationships" ref="Q381" r:id="rId747"/>
    <hyperlink xmlns:r="http://schemas.openxmlformats.org/officeDocument/2006/relationships" ref="R381" r:id="rId748"/>
    <hyperlink xmlns:r="http://schemas.openxmlformats.org/officeDocument/2006/relationships" ref="Q382" r:id="rId749"/>
    <hyperlink xmlns:r="http://schemas.openxmlformats.org/officeDocument/2006/relationships" ref="R382" r:id="rId750"/>
    <hyperlink xmlns:r="http://schemas.openxmlformats.org/officeDocument/2006/relationships" ref="Q383" r:id="rId751"/>
    <hyperlink xmlns:r="http://schemas.openxmlformats.org/officeDocument/2006/relationships" ref="R383" r:id="rId752"/>
    <hyperlink xmlns:r="http://schemas.openxmlformats.org/officeDocument/2006/relationships" ref="Q384" r:id="rId753"/>
    <hyperlink xmlns:r="http://schemas.openxmlformats.org/officeDocument/2006/relationships" ref="R384" r:id="rId754"/>
    <hyperlink xmlns:r="http://schemas.openxmlformats.org/officeDocument/2006/relationships" ref="Q385" r:id="rId755"/>
    <hyperlink xmlns:r="http://schemas.openxmlformats.org/officeDocument/2006/relationships" ref="R385" r:id="rId756"/>
    <hyperlink xmlns:r="http://schemas.openxmlformats.org/officeDocument/2006/relationships" ref="Q386" r:id="rId757"/>
    <hyperlink xmlns:r="http://schemas.openxmlformats.org/officeDocument/2006/relationships" ref="R386" r:id="rId758"/>
    <hyperlink xmlns:r="http://schemas.openxmlformats.org/officeDocument/2006/relationships" ref="Q387" r:id="rId759"/>
    <hyperlink xmlns:r="http://schemas.openxmlformats.org/officeDocument/2006/relationships" ref="R387" r:id="rId760"/>
    <hyperlink xmlns:r="http://schemas.openxmlformats.org/officeDocument/2006/relationships" ref="Q388" r:id="rId761"/>
    <hyperlink xmlns:r="http://schemas.openxmlformats.org/officeDocument/2006/relationships" ref="R388" r:id="rId762"/>
    <hyperlink xmlns:r="http://schemas.openxmlformats.org/officeDocument/2006/relationships" ref="Q389" r:id="rId763"/>
    <hyperlink xmlns:r="http://schemas.openxmlformats.org/officeDocument/2006/relationships" ref="R389" r:id="rId764"/>
    <hyperlink xmlns:r="http://schemas.openxmlformats.org/officeDocument/2006/relationships" ref="Q390" r:id="rId765"/>
    <hyperlink xmlns:r="http://schemas.openxmlformats.org/officeDocument/2006/relationships" ref="R390" r:id="rId766"/>
    <hyperlink xmlns:r="http://schemas.openxmlformats.org/officeDocument/2006/relationships" ref="Q391" r:id="rId767"/>
    <hyperlink xmlns:r="http://schemas.openxmlformats.org/officeDocument/2006/relationships" ref="R391" r:id="rId768"/>
    <hyperlink xmlns:r="http://schemas.openxmlformats.org/officeDocument/2006/relationships" ref="Q392" r:id="rId769"/>
    <hyperlink xmlns:r="http://schemas.openxmlformats.org/officeDocument/2006/relationships" ref="R392" r:id="rId770"/>
    <hyperlink xmlns:r="http://schemas.openxmlformats.org/officeDocument/2006/relationships" ref="Q393" r:id="rId771"/>
    <hyperlink xmlns:r="http://schemas.openxmlformats.org/officeDocument/2006/relationships" ref="R393" r:id="rId772"/>
    <hyperlink xmlns:r="http://schemas.openxmlformats.org/officeDocument/2006/relationships" ref="Q394" r:id="rId773"/>
    <hyperlink xmlns:r="http://schemas.openxmlformats.org/officeDocument/2006/relationships" ref="R394" r:id="rId774"/>
    <hyperlink xmlns:r="http://schemas.openxmlformats.org/officeDocument/2006/relationships" ref="Q395" r:id="rId775"/>
    <hyperlink xmlns:r="http://schemas.openxmlformats.org/officeDocument/2006/relationships" ref="R395" r:id="rId776"/>
    <hyperlink xmlns:r="http://schemas.openxmlformats.org/officeDocument/2006/relationships" ref="Q396" r:id="rId777"/>
    <hyperlink xmlns:r="http://schemas.openxmlformats.org/officeDocument/2006/relationships" ref="R396" r:id="rId778"/>
    <hyperlink xmlns:r="http://schemas.openxmlformats.org/officeDocument/2006/relationships" ref="Q397" r:id="rId779"/>
    <hyperlink xmlns:r="http://schemas.openxmlformats.org/officeDocument/2006/relationships" ref="R397" r:id="rId780"/>
    <hyperlink xmlns:r="http://schemas.openxmlformats.org/officeDocument/2006/relationships" ref="Q398" r:id="rId781"/>
    <hyperlink xmlns:r="http://schemas.openxmlformats.org/officeDocument/2006/relationships" ref="R398" r:id="rId782"/>
    <hyperlink xmlns:r="http://schemas.openxmlformats.org/officeDocument/2006/relationships" ref="Q399" r:id="rId783"/>
    <hyperlink xmlns:r="http://schemas.openxmlformats.org/officeDocument/2006/relationships" ref="R399" r:id="rId784"/>
    <hyperlink xmlns:r="http://schemas.openxmlformats.org/officeDocument/2006/relationships" ref="Q400" r:id="rId785"/>
    <hyperlink xmlns:r="http://schemas.openxmlformats.org/officeDocument/2006/relationships" ref="R400" r:id="rId786"/>
    <hyperlink xmlns:r="http://schemas.openxmlformats.org/officeDocument/2006/relationships" ref="Q401" r:id="rId787"/>
    <hyperlink xmlns:r="http://schemas.openxmlformats.org/officeDocument/2006/relationships" ref="R401" r:id="rId788"/>
    <hyperlink xmlns:r="http://schemas.openxmlformats.org/officeDocument/2006/relationships" ref="Q402" r:id="rId789"/>
    <hyperlink xmlns:r="http://schemas.openxmlformats.org/officeDocument/2006/relationships" ref="R402" r:id="rId790"/>
    <hyperlink xmlns:r="http://schemas.openxmlformats.org/officeDocument/2006/relationships" ref="Q403" r:id="rId791"/>
    <hyperlink xmlns:r="http://schemas.openxmlformats.org/officeDocument/2006/relationships" ref="R403" r:id="rId792"/>
    <hyperlink xmlns:r="http://schemas.openxmlformats.org/officeDocument/2006/relationships" ref="Q404" r:id="rId793"/>
    <hyperlink xmlns:r="http://schemas.openxmlformats.org/officeDocument/2006/relationships" ref="R404" r:id="rId794"/>
    <hyperlink xmlns:r="http://schemas.openxmlformats.org/officeDocument/2006/relationships" ref="Q405" r:id="rId795"/>
    <hyperlink xmlns:r="http://schemas.openxmlformats.org/officeDocument/2006/relationships" ref="R405" r:id="rId796"/>
    <hyperlink xmlns:r="http://schemas.openxmlformats.org/officeDocument/2006/relationships" ref="Q406" r:id="rId797"/>
    <hyperlink xmlns:r="http://schemas.openxmlformats.org/officeDocument/2006/relationships" ref="Q407" r:id="rId798"/>
    <hyperlink xmlns:r="http://schemas.openxmlformats.org/officeDocument/2006/relationships" ref="R407" r:id="rId799"/>
    <hyperlink xmlns:r="http://schemas.openxmlformats.org/officeDocument/2006/relationships" ref="Q408" r:id="rId800"/>
    <hyperlink xmlns:r="http://schemas.openxmlformats.org/officeDocument/2006/relationships" ref="R408" r:id="rId801"/>
    <hyperlink xmlns:r="http://schemas.openxmlformats.org/officeDocument/2006/relationships" ref="Q409" r:id="rId802"/>
    <hyperlink xmlns:r="http://schemas.openxmlformats.org/officeDocument/2006/relationships" ref="R409" r:id="rId803"/>
    <hyperlink xmlns:r="http://schemas.openxmlformats.org/officeDocument/2006/relationships" ref="Q410" r:id="rId804"/>
    <hyperlink xmlns:r="http://schemas.openxmlformats.org/officeDocument/2006/relationships" ref="Q411" r:id="rId805"/>
    <hyperlink xmlns:r="http://schemas.openxmlformats.org/officeDocument/2006/relationships" ref="R411" r:id="rId806"/>
    <hyperlink xmlns:r="http://schemas.openxmlformats.org/officeDocument/2006/relationships" ref="Q412" r:id="rId807"/>
    <hyperlink xmlns:r="http://schemas.openxmlformats.org/officeDocument/2006/relationships" ref="R412" r:id="rId808"/>
    <hyperlink xmlns:r="http://schemas.openxmlformats.org/officeDocument/2006/relationships" ref="Q413" r:id="rId809"/>
    <hyperlink xmlns:r="http://schemas.openxmlformats.org/officeDocument/2006/relationships" ref="Q414" r:id="rId810"/>
    <hyperlink xmlns:r="http://schemas.openxmlformats.org/officeDocument/2006/relationships" ref="R414" r:id="rId811"/>
    <hyperlink xmlns:r="http://schemas.openxmlformats.org/officeDocument/2006/relationships" ref="Q415" r:id="rId812"/>
    <hyperlink xmlns:r="http://schemas.openxmlformats.org/officeDocument/2006/relationships" ref="R415" r:id="rId813"/>
    <hyperlink xmlns:r="http://schemas.openxmlformats.org/officeDocument/2006/relationships" ref="Q416" r:id="rId814"/>
    <hyperlink xmlns:r="http://schemas.openxmlformats.org/officeDocument/2006/relationships" ref="R416" r:id="rId815"/>
    <hyperlink xmlns:r="http://schemas.openxmlformats.org/officeDocument/2006/relationships" ref="Q417" r:id="rId816"/>
    <hyperlink xmlns:r="http://schemas.openxmlformats.org/officeDocument/2006/relationships" ref="R417" r:id="rId817"/>
    <hyperlink xmlns:r="http://schemas.openxmlformats.org/officeDocument/2006/relationships" ref="Q418" r:id="rId818"/>
    <hyperlink xmlns:r="http://schemas.openxmlformats.org/officeDocument/2006/relationships" ref="R418" r:id="rId819"/>
    <hyperlink xmlns:r="http://schemas.openxmlformats.org/officeDocument/2006/relationships" ref="Q419" r:id="rId820"/>
    <hyperlink xmlns:r="http://schemas.openxmlformats.org/officeDocument/2006/relationships" ref="R419" r:id="rId821"/>
    <hyperlink xmlns:r="http://schemas.openxmlformats.org/officeDocument/2006/relationships" ref="Q420" r:id="rId822"/>
    <hyperlink xmlns:r="http://schemas.openxmlformats.org/officeDocument/2006/relationships" ref="R420" r:id="rId823"/>
    <hyperlink xmlns:r="http://schemas.openxmlformats.org/officeDocument/2006/relationships" ref="Q421" r:id="rId824"/>
    <hyperlink xmlns:r="http://schemas.openxmlformats.org/officeDocument/2006/relationships" ref="R421" r:id="rId825"/>
    <hyperlink xmlns:r="http://schemas.openxmlformats.org/officeDocument/2006/relationships" ref="Q422" r:id="rId826"/>
    <hyperlink xmlns:r="http://schemas.openxmlformats.org/officeDocument/2006/relationships" ref="R422" r:id="rId827"/>
    <hyperlink xmlns:r="http://schemas.openxmlformats.org/officeDocument/2006/relationships" ref="Q423" r:id="rId828"/>
    <hyperlink xmlns:r="http://schemas.openxmlformats.org/officeDocument/2006/relationships" ref="R423" r:id="rId829"/>
    <hyperlink xmlns:r="http://schemas.openxmlformats.org/officeDocument/2006/relationships" ref="Q424" r:id="rId830"/>
    <hyperlink xmlns:r="http://schemas.openxmlformats.org/officeDocument/2006/relationships" ref="R424" r:id="rId831"/>
    <hyperlink xmlns:r="http://schemas.openxmlformats.org/officeDocument/2006/relationships" ref="Q425" r:id="rId832"/>
    <hyperlink xmlns:r="http://schemas.openxmlformats.org/officeDocument/2006/relationships" ref="R425" r:id="rId833"/>
    <hyperlink xmlns:r="http://schemas.openxmlformats.org/officeDocument/2006/relationships" ref="Q426" r:id="rId834"/>
    <hyperlink xmlns:r="http://schemas.openxmlformats.org/officeDocument/2006/relationships" ref="R426" r:id="rId835"/>
    <hyperlink xmlns:r="http://schemas.openxmlformats.org/officeDocument/2006/relationships" ref="Q427" r:id="rId836"/>
    <hyperlink xmlns:r="http://schemas.openxmlformats.org/officeDocument/2006/relationships" ref="R427" r:id="rId837"/>
    <hyperlink xmlns:r="http://schemas.openxmlformats.org/officeDocument/2006/relationships" ref="Q428" r:id="rId838"/>
    <hyperlink xmlns:r="http://schemas.openxmlformats.org/officeDocument/2006/relationships" ref="Q429" r:id="rId839"/>
    <hyperlink xmlns:r="http://schemas.openxmlformats.org/officeDocument/2006/relationships" ref="R429" r:id="rId840"/>
    <hyperlink xmlns:r="http://schemas.openxmlformats.org/officeDocument/2006/relationships" ref="Q430" r:id="rId841"/>
    <hyperlink xmlns:r="http://schemas.openxmlformats.org/officeDocument/2006/relationships" ref="R430" r:id="rId842"/>
    <hyperlink xmlns:r="http://schemas.openxmlformats.org/officeDocument/2006/relationships" ref="Q431" r:id="rId843"/>
    <hyperlink xmlns:r="http://schemas.openxmlformats.org/officeDocument/2006/relationships" ref="R431" r:id="rId844"/>
    <hyperlink xmlns:r="http://schemas.openxmlformats.org/officeDocument/2006/relationships" ref="Q432" r:id="rId845"/>
    <hyperlink xmlns:r="http://schemas.openxmlformats.org/officeDocument/2006/relationships" ref="R432" r:id="rId846"/>
    <hyperlink xmlns:r="http://schemas.openxmlformats.org/officeDocument/2006/relationships" ref="Q433" r:id="rId847"/>
    <hyperlink xmlns:r="http://schemas.openxmlformats.org/officeDocument/2006/relationships" ref="R433" r:id="rId848"/>
    <hyperlink xmlns:r="http://schemas.openxmlformats.org/officeDocument/2006/relationships" ref="Q434" r:id="rId849"/>
    <hyperlink xmlns:r="http://schemas.openxmlformats.org/officeDocument/2006/relationships" ref="R434" r:id="rId850"/>
    <hyperlink xmlns:r="http://schemas.openxmlformats.org/officeDocument/2006/relationships" ref="Q435" r:id="rId851"/>
    <hyperlink xmlns:r="http://schemas.openxmlformats.org/officeDocument/2006/relationships" ref="R435" r:id="rId852"/>
    <hyperlink xmlns:r="http://schemas.openxmlformats.org/officeDocument/2006/relationships" ref="Q436" r:id="rId853"/>
    <hyperlink xmlns:r="http://schemas.openxmlformats.org/officeDocument/2006/relationships" ref="R436" r:id="rId854"/>
    <hyperlink xmlns:r="http://schemas.openxmlformats.org/officeDocument/2006/relationships" ref="Q437" r:id="rId855"/>
    <hyperlink xmlns:r="http://schemas.openxmlformats.org/officeDocument/2006/relationships" ref="R437" r:id="rId856"/>
    <hyperlink xmlns:r="http://schemas.openxmlformats.org/officeDocument/2006/relationships" ref="Q438" r:id="rId857"/>
    <hyperlink xmlns:r="http://schemas.openxmlformats.org/officeDocument/2006/relationships" ref="R438" r:id="rId858"/>
    <hyperlink xmlns:r="http://schemas.openxmlformats.org/officeDocument/2006/relationships" ref="Q439" r:id="rId859"/>
    <hyperlink xmlns:r="http://schemas.openxmlformats.org/officeDocument/2006/relationships" ref="R439" r:id="rId860"/>
    <hyperlink xmlns:r="http://schemas.openxmlformats.org/officeDocument/2006/relationships" ref="Q440" r:id="rId861"/>
    <hyperlink xmlns:r="http://schemas.openxmlformats.org/officeDocument/2006/relationships" ref="R440" r:id="rId862"/>
    <hyperlink xmlns:r="http://schemas.openxmlformats.org/officeDocument/2006/relationships" ref="Q441" r:id="rId863"/>
    <hyperlink xmlns:r="http://schemas.openxmlformats.org/officeDocument/2006/relationships" ref="R441" r:id="rId864"/>
    <hyperlink xmlns:r="http://schemas.openxmlformats.org/officeDocument/2006/relationships" ref="Q442" r:id="rId865"/>
    <hyperlink xmlns:r="http://schemas.openxmlformats.org/officeDocument/2006/relationships" ref="R442" r:id="rId866"/>
    <hyperlink xmlns:r="http://schemas.openxmlformats.org/officeDocument/2006/relationships" ref="Q443" r:id="rId867"/>
    <hyperlink xmlns:r="http://schemas.openxmlformats.org/officeDocument/2006/relationships" ref="R443" r:id="rId868"/>
    <hyperlink xmlns:r="http://schemas.openxmlformats.org/officeDocument/2006/relationships" ref="Q444" r:id="rId869"/>
    <hyperlink xmlns:r="http://schemas.openxmlformats.org/officeDocument/2006/relationships" ref="R444" r:id="rId870"/>
    <hyperlink xmlns:r="http://schemas.openxmlformats.org/officeDocument/2006/relationships" ref="Q445" r:id="rId871"/>
    <hyperlink xmlns:r="http://schemas.openxmlformats.org/officeDocument/2006/relationships" ref="R445" r:id="rId872"/>
    <hyperlink xmlns:r="http://schemas.openxmlformats.org/officeDocument/2006/relationships" ref="Q446" r:id="rId873"/>
    <hyperlink xmlns:r="http://schemas.openxmlformats.org/officeDocument/2006/relationships" ref="R446" r:id="rId874"/>
    <hyperlink xmlns:r="http://schemas.openxmlformats.org/officeDocument/2006/relationships" ref="Q447" r:id="rId875"/>
    <hyperlink xmlns:r="http://schemas.openxmlformats.org/officeDocument/2006/relationships" ref="R447" r:id="rId876"/>
    <hyperlink xmlns:r="http://schemas.openxmlformats.org/officeDocument/2006/relationships" ref="Q448" r:id="rId877"/>
    <hyperlink xmlns:r="http://schemas.openxmlformats.org/officeDocument/2006/relationships" ref="R448" r:id="rId878"/>
    <hyperlink xmlns:r="http://schemas.openxmlformats.org/officeDocument/2006/relationships" ref="Q449" r:id="rId879"/>
    <hyperlink xmlns:r="http://schemas.openxmlformats.org/officeDocument/2006/relationships" ref="R449" r:id="rId880"/>
    <hyperlink xmlns:r="http://schemas.openxmlformats.org/officeDocument/2006/relationships" ref="Q450" r:id="rId881"/>
    <hyperlink xmlns:r="http://schemas.openxmlformats.org/officeDocument/2006/relationships" ref="R450" r:id="rId882"/>
    <hyperlink xmlns:r="http://schemas.openxmlformats.org/officeDocument/2006/relationships" ref="Q451" r:id="rId883"/>
    <hyperlink xmlns:r="http://schemas.openxmlformats.org/officeDocument/2006/relationships" ref="R451" r:id="rId884"/>
    <hyperlink xmlns:r="http://schemas.openxmlformats.org/officeDocument/2006/relationships" ref="Q452" r:id="rId885"/>
    <hyperlink xmlns:r="http://schemas.openxmlformats.org/officeDocument/2006/relationships" ref="R452" r:id="rId886"/>
    <hyperlink xmlns:r="http://schemas.openxmlformats.org/officeDocument/2006/relationships" ref="Q453" r:id="rId887"/>
    <hyperlink xmlns:r="http://schemas.openxmlformats.org/officeDocument/2006/relationships" ref="R453" r:id="rId888"/>
    <hyperlink xmlns:r="http://schemas.openxmlformats.org/officeDocument/2006/relationships" ref="Q454" r:id="rId889"/>
    <hyperlink xmlns:r="http://schemas.openxmlformats.org/officeDocument/2006/relationships" ref="R454" r:id="rId890"/>
    <hyperlink xmlns:r="http://schemas.openxmlformats.org/officeDocument/2006/relationships" ref="Q455" r:id="rId891"/>
    <hyperlink xmlns:r="http://schemas.openxmlformats.org/officeDocument/2006/relationships" ref="R455" r:id="rId892"/>
    <hyperlink xmlns:r="http://schemas.openxmlformats.org/officeDocument/2006/relationships" ref="Q456" r:id="rId893"/>
    <hyperlink xmlns:r="http://schemas.openxmlformats.org/officeDocument/2006/relationships" ref="R456" r:id="rId894"/>
    <hyperlink xmlns:r="http://schemas.openxmlformats.org/officeDocument/2006/relationships" ref="Q457" r:id="rId895"/>
    <hyperlink xmlns:r="http://schemas.openxmlformats.org/officeDocument/2006/relationships" ref="R457" r:id="rId896"/>
    <hyperlink xmlns:r="http://schemas.openxmlformats.org/officeDocument/2006/relationships" ref="Q458" r:id="rId897"/>
    <hyperlink xmlns:r="http://schemas.openxmlformats.org/officeDocument/2006/relationships" ref="R458" r:id="rId898"/>
    <hyperlink xmlns:r="http://schemas.openxmlformats.org/officeDocument/2006/relationships" ref="Q459" r:id="rId899"/>
    <hyperlink xmlns:r="http://schemas.openxmlformats.org/officeDocument/2006/relationships" ref="R459" r:id="rId900"/>
    <hyperlink xmlns:r="http://schemas.openxmlformats.org/officeDocument/2006/relationships" ref="Q460" r:id="rId901"/>
    <hyperlink xmlns:r="http://schemas.openxmlformats.org/officeDocument/2006/relationships" ref="Q461" r:id="rId902"/>
    <hyperlink xmlns:r="http://schemas.openxmlformats.org/officeDocument/2006/relationships" ref="R461" r:id="rId903"/>
    <hyperlink xmlns:r="http://schemas.openxmlformats.org/officeDocument/2006/relationships" ref="Q462" r:id="rId904"/>
    <hyperlink xmlns:r="http://schemas.openxmlformats.org/officeDocument/2006/relationships" ref="R462" r:id="rId905"/>
    <hyperlink xmlns:r="http://schemas.openxmlformats.org/officeDocument/2006/relationships" ref="Q463" r:id="rId906"/>
    <hyperlink xmlns:r="http://schemas.openxmlformats.org/officeDocument/2006/relationships" ref="R463" r:id="rId907"/>
    <hyperlink xmlns:r="http://schemas.openxmlformats.org/officeDocument/2006/relationships" ref="Q464" r:id="rId908"/>
    <hyperlink xmlns:r="http://schemas.openxmlformats.org/officeDocument/2006/relationships" ref="R464" r:id="rId909"/>
    <hyperlink xmlns:r="http://schemas.openxmlformats.org/officeDocument/2006/relationships" ref="Q465" r:id="rId910"/>
    <hyperlink xmlns:r="http://schemas.openxmlformats.org/officeDocument/2006/relationships" ref="R465" r:id="rId911"/>
    <hyperlink xmlns:r="http://schemas.openxmlformats.org/officeDocument/2006/relationships" ref="Q466" r:id="rId912"/>
    <hyperlink xmlns:r="http://schemas.openxmlformats.org/officeDocument/2006/relationships" ref="R466" r:id="rId913"/>
    <hyperlink xmlns:r="http://schemas.openxmlformats.org/officeDocument/2006/relationships" ref="Q467" r:id="rId914"/>
    <hyperlink xmlns:r="http://schemas.openxmlformats.org/officeDocument/2006/relationships" ref="R467" r:id="rId915"/>
    <hyperlink xmlns:r="http://schemas.openxmlformats.org/officeDocument/2006/relationships" ref="Q468" r:id="rId916"/>
    <hyperlink xmlns:r="http://schemas.openxmlformats.org/officeDocument/2006/relationships" ref="R468" r:id="rId917"/>
    <hyperlink xmlns:r="http://schemas.openxmlformats.org/officeDocument/2006/relationships" ref="Q469" r:id="rId918"/>
    <hyperlink xmlns:r="http://schemas.openxmlformats.org/officeDocument/2006/relationships" ref="R469" r:id="rId919"/>
    <hyperlink xmlns:r="http://schemas.openxmlformats.org/officeDocument/2006/relationships" ref="Q470" r:id="rId920"/>
    <hyperlink xmlns:r="http://schemas.openxmlformats.org/officeDocument/2006/relationships" ref="R470" r:id="rId921"/>
    <hyperlink xmlns:r="http://schemas.openxmlformats.org/officeDocument/2006/relationships" ref="Q471" r:id="rId922"/>
    <hyperlink xmlns:r="http://schemas.openxmlformats.org/officeDocument/2006/relationships" ref="R471" r:id="rId923"/>
    <hyperlink xmlns:r="http://schemas.openxmlformats.org/officeDocument/2006/relationships" ref="Q472" r:id="rId924"/>
    <hyperlink xmlns:r="http://schemas.openxmlformats.org/officeDocument/2006/relationships" ref="R472" r:id="rId925"/>
    <hyperlink xmlns:r="http://schemas.openxmlformats.org/officeDocument/2006/relationships" ref="Q473" r:id="rId926"/>
    <hyperlink xmlns:r="http://schemas.openxmlformats.org/officeDocument/2006/relationships" ref="R473" r:id="rId927"/>
    <hyperlink xmlns:r="http://schemas.openxmlformats.org/officeDocument/2006/relationships" ref="Q474" r:id="rId928"/>
    <hyperlink xmlns:r="http://schemas.openxmlformats.org/officeDocument/2006/relationships" ref="R474" r:id="rId929"/>
    <hyperlink xmlns:r="http://schemas.openxmlformats.org/officeDocument/2006/relationships" ref="Q475" r:id="rId930"/>
    <hyperlink xmlns:r="http://schemas.openxmlformats.org/officeDocument/2006/relationships" ref="R475" r:id="rId931"/>
    <hyperlink xmlns:r="http://schemas.openxmlformats.org/officeDocument/2006/relationships" ref="Q476" r:id="rId932"/>
    <hyperlink xmlns:r="http://schemas.openxmlformats.org/officeDocument/2006/relationships" ref="R476" r:id="rId933"/>
    <hyperlink xmlns:r="http://schemas.openxmlformats.org/officeDocument/2006/relationships" ref="Q477" r:id="rId934"/>
    <hyperlink xmlns:r="http://schemas.openxmlformats.org/officeDocument/2006/relationships" ref="R477" r:id="rId935"/>
    <hyperlink xmlns:r="http://schemas.openxmlformats.org/officeDocument/2006/relationships" ref="Q478" r:id="rId936"/>
    <hyperlink xmlns:r="http://schemas.openxmlformats.org/officeDocument/2006/relationships" ref="R478" r:id="rId937"/>
    <hyperlink xmlns:r="http://schemas.openxmlformats.org/officeDocument/2006/relationships" ref="Q479" r:id="rId938"/>
    <hyperlink xmlns:r="http://schemas.openxmlformats.org/officeDocument/2006/relationships" ref="R479" r:id="rId939"/>
    <hyperlink xmlns:r="http://schemas.openxmlformats.org/officeDocument/2006/relationships" ref="Q480" r:id="rId940"/>
    <hyperlink xmlns:r="http://schemas.openxmlformats.org/officeDocument/2006/relationships" ref="R480" r:id="rId941"/>
    <hyperlink xmlns:r="http://schemas.openxmlformats.org/officeDocument/2006/relationships" ref="Q481" r:id="rId942"/>
    <hyperlink xmlns:r="http://schemas.openxmlformats.org/officeDocument/2006/relationships" ref="Q482" r:id="rId943"/>
    <hyperlink xmlns:r="http://schemas.openxmlformats.org/officeDocument/2006/relationships" ref="R482" r:id="rId944"/>
    <hyperlink xmlns:r="http://schemas.openxmlformats.org/officeDocument/2006/relationships" ref="Q483" r:id="rId945"/>
    <hyperlink xmlns:r="http://schemas.openxmlformats.org/officeDocument/2006/relationships" ref="R483" r:id="rId946"/>
    <hyperlink xmlns:r="http://schemas.openxmlformats.org/officeDocument/2006/relationships" ref="Q484" r:id="rId947"/>
    <hyperlink xmlns:r="http://schemas.openxmlformats.org/officeDocument/2006/relationships" ref="R484" r:id="rId948"/>
    <hyperlink xmlns:r="http://schemas.openxmlformats.org/officeDocument/2006/relationships" ref="Q485" r:id="rId949"/>
    <hyperlink xmlns:r="http://schemas.openxmlformats.org/officeDocument/2006/relationships" ref="R485" r:id="rId950"/>
    <hyperlink xmlns:r="http://schemas.openxmlformats.org/officeDocument/2006/relationships" ref="Q486" r:id="rId951"/>
    <hyperlink xmlns:r="http://schemas.openxmlformats.org/officeDocument/2006/relationships" ref="R486" r:id="rId952"/>
    <hyperlink xmlns:r="http://schemas.openxmlformats.org/officeDocument/2006/relationships" ref="Q487" r:id="rId953"/>
    <hyperlink xmlns:r="http://schemas.openxmlformats.org/officeDocument/2006/relationships" ref="R487" r:id="rId954"/>
    <hyperlink xmlns:r="http://schemas.openxmlformats.org/officeDocument/2006/relationships" ref="Q488" r:id="rId955"/>
    <hyperlink xmlns:r="http://schemas.openxmlformats.org/officeDocument/2006/relationships" ref="R488" r:id="rId956"/>
    <hyperlink xmlns:r="http://schemas.openxmlformats.org/officeDocument/2006/relationships" ref="Q489" r:id="rId957"/>
    <hyperlink xmlns:r="http://schemas.openxmlformats.org/officeDocument/2006/relationships" ref="R489" r:id="rId958"/>
    <hyperlink xmlns:r="http://schemas.openxmlformats.org/officeDocument/2006/relationships" ref="Q490" r:id="rId959"/>
    <hyperlink xmlns:r="http://schemas.openxmlformats.org/officeDocument/2006/relationships" ref="R490" r:id="rId960"/>
    <hyperlink xmlns:r="http://schemas.openxmlformats.org/officeDocument/2006/relationships" ref="Q491" r:id="rId961"/>
    <hyperlink xmlns:r="http://schemas.openxmlformats.org/officeDocument/2006/relationships" ref="R491" r:id="rId962"/>
    <hyperlink xmlns:r="http://schemas.openxmlformats.org/officeDocument/2006/relationships" ref="Q492" r:id="rId963"/>
    <hyperlink xmlns:r="http://schemas.openxmlformats.org/officeDocument/2006/relationships" ref="Q493" r:id="rId964"/>
    <hyperlink xmlns:r="http://schemas.openxmlformats.org/officeDocument/2006/relationships" ref="R493" r:id="rId965"/>
    <hyperlink xmlns:r="http://schemas.openxmlformats.org/officeDocument/2006/relationships" ref="Q494" r:id="rId966"/>
    <hyperlink xmlns:r="http://schemas.openxmlformats.org/officeDocument/2006/relationships" ref="R494" r:id="rId967"/>
    <hyperlink xmlns:r="http://schemas.openxmlformats.org/officeDocument/2006/relationships" ref="Q495" r:id="rId968"/>
    <hyperlink xmlns:r="http://schemas.openxmlformats.org/officeDocument/2006/relationships" ref="R495" r:id="rId969"/>
    <hyperlink xmlns:r="http://schemas.openxmlformats.org/officeDocument/2006/relationships" ref="Q496" r:id="rId970"/>
    <hyperlink xmlns:r="http://schemas.openxmlformats.org/officeDocument/2006/relationships" ref="R496" r:id="rId971"/>
    <hyperlink xmlns:r="http://schemas.openxmlformats.org/officeDocument/2006/relationships" ref="Q497" r:id="rId972"/>
    <hyperlink xmlns:r="http://schemas.openxmlformats.org/officeDocument/2006/relationships" ref="R497" r:id="rId973"/>
    <hyperlink xmlns:r="http://schemas.openxmlformats.org/officeDocument/2006/relationships" ref="Q498" r:id="rId974"/>
    <hyperlink xmlns:r="http://schemas.openxmlformats.org/officeDocument/2006/relationships" ref="R498" r:id="rId975"/>
    <hyperlink xmlns:r="http://schemas.openxmlformats.org/officeDocument/2006/relationships" ref="Q499" r:id="rId976"/>
    <hyperlink xmlns:r="http://schemas.openxmlformats.org/officeDocument/2006/relationships" ref="R499" r:id="rId977"/>
    <hyperlink xmlns:r="http://schemas.openxmlformats.org/officeDocument/2006/relationships" ref="Q500" r:id="rId978"/>
    <hyperlink xmlns:r="http://schemas.openxmlformats.org/officeDocument/2006/relationships" ref="R500" r:id="rId979"/>
    <hyperlink xmlns:r="http://schemas.openxmlformats.org/officeDocument/2006/relationships" ref="Q501" r:id="rId980"/>
    <hyperlink xmlns:r="http://schemas.openxmlformats.org/officeDocument/2006/relationships" ref="R501" r:id="rId981"/>
    <hyperlink xmlns:r="http://schemas.openxmlformats.org/officeDocument/2006/relationships" ref="Q502" r:id="rId982"/>
    <hyperlink xmlns:r="http://schemas.openxmlformats.org/officeDocument/2006/relationships" ref="Q503" r:id="rId983"/>
    <hyperlink xmlns:r="http://schemas.openxmlformats.org/officeDocument/2006/relationships" ref="R503" r:id="rId984"/>
    <hyperlink xmlns:r="http://schemas.openxmlformats.org/officeDocument/2006/relationships" ref="Q504" r:id="rId985"/>
    <hyperlink xmlns:r="http://schemas.openxmlformats.org/officeDocument/2006/relationships" ref="R504" r:id="rId986"/>
    <hyperlink xmlns:r="http://schemas.openxmlformats.org/officeDocument/2006/relationships" ref="Q505" r:id="rId987"/>
    <hyperlink xmlns:r="http://schemas.openxmlformats.org/officeDocument/2006/relationships" ref="R505" r:id="rId988"/>
    <hyperlink xmlns:r="http://schemas.openxmlformats.org/officeDocument/2006/relationships" ref="Q506" r:id="rId989"/>
    <hyperlink xmlns:r="http://schemas.openxmlformats.org/officeDocument/2006/relationships" ref="R506" r:id="rId990"/>
    <hyperlink xmlns:r="http://schemas.openxmlformats.org/officeDocument/2006/relationships" ref="Q507" r:id="rId991"/>
    <hyperlink xmlns:r="http://schemas.openxmlformats.org/officeDocument/2006/relationships" ref="R507" r:id="rId992"/>
    <hyperlink xmlns:r="http://schemas.openxmlformats.org/officeDocument/2006/relationships" ref="Q508" r:id="rId993"/>
    <hyperlink xmlns:r="http://schemas.openxmlformats.org/officeDocument/2006/relationships" ref="R508" r:id="rId994"/>
    <hyperlink xmlns:r="http://schemas.openxmlformats.org/officeDocument/2006/relationships" ref="Q509" r:id="rId995"/>
    <hyperlink xmlns:r="http://schemas.openxmlformats.org/officeDocument/2006/relationships" ref="R509" r:id="rId996"/>
    <hyperlink xmlns:r="http://schemas.openxmlformats.org/officeDocument/2006/relationships" ref="Q510" r:id="rId997"/>
    <hyperlink xmlns:r="http://schemas.openxmlformats.org/officeDocument/2006/relationships" ref="R510" r:id="rId998"/>
    <hyperlink xmlns:r="http://schemas.openxmlformats.org/officeDocument/2006/relationships" ref="Q511" r:id="rId999"/>
    <hyperlink xmlns:r="http://schemas.openxmlformats.org/officeDocument/2006/relationships" ref="R511" r:id="rId1000"/>
    <hyperlink xmlns:r="http://schemas.openxmlformats.org/officeDocument/2006/relationships" ref="Q512" r:id="rId1001"/>
    <hyperlink xmlns:r="http://schemas.openxmlformats.org/officeDocument/2006/relationships" ref="R512" r:id="rId1002"/>
    <hyperlink xmlns:r="http://schemas.openxmlformats.org/officeDocument/2006/relationships" ref="Q513" r:id="rId1003"/>
    <hyperlink xmlns:r="http://schemas.openxmlformats.org/officeDocument/2006/relationships" ref="R513" r:id="rId1004"/>
    <hyperlink xmlns:r="http://schemas.openxmlformats.org/officeDocument/2006/relationships" ref="Q514" r:id="rId1005"/>
    <hyperlink xmlns:r="http://schemas.openxmlformats.org/officeDocument/2006/relationships" ref="R514" r:id="rId1006"/>
    <hyperlink xmlns:r="http://schemas.openxmlformats.org/officeDocument/2006/relationships" ref="Q515" r:id="rId1007"/>
    <hyperlink xmlns:r="http://schemas.openxmlformats.org/officeDocument/2006/relationships" ref="R515" r:id="rId1008"/>
    <hyperlink xmlns:r="http://schemas.openxmlformats.org/officeDocument/2006/relationships" ref="Q516" r:id="rId1009"/>
    <hyperlink xmlns:r="http://schemas.openxmlformats.org/officeDocument/2006/relationships" ref="R516" r:id="rId1010"/>
    <hyperlink xmlns:r="http://schemas.openxmlformats.org/officeDocument/2006/relationships" ref="Q517" r:id="rId1011"/>
    <hyperlink xmlns:r="http://schemas.openxmlformats.org/officeDocument/2006/relationships" ref="R517" r:id="rId1012"/>
    <hyperlink xmlns:r="http://schemas.openxmlformats.org/officeDocument/2006/relationships" ref="Q518" r:id="rId1013"/>
    <hyperlink xmlns:r="http://schemas.openxmlformats.org/officeDocument/2006/relationships" ref="R518" r:id="rId1014"/>
    <hyperlink xmlns:r="http://schemas.openxmlformats.org/officeDocument/2006/relationships" ref="Q519" r:id="rId1015"/>
    <hyperlink xmlns:r="http://schemas.openxmlformats.org/officeDocument/2006/relationships" ref="R519" r:id="rId1016"/>
    <hyperlink xmlns:r="http://schemas.openxmlformats.org/officeDocument/2006/relationships" ref="Q520" r:id="rId1017"/>
    <hyperlink xmlns:r="http://schemas.openxmlformats.org/officeDocument/2006/relationships" ref="R520" r:id="rId1018"/>
    <hyperlink xmlns:r="http://schemas.openxmlformats.org/officeDocument/2006/relationships" ref="Q521" r:id="rId1019"/>
    <hyperlink xmlns:r="http://schemas.openxmlformats.org/officeDocument/2006/relationships" ref="R521" r:id="rId1020"/>
    <hyperlink xmlns:r="http://schemas.openxmlformats.org/officeDocument/2006/relationships" ref="Q522" r:id="rId1021"/>
    <hyperlink xmlns:r="http://schemas.openxmlformats.org/officeDocument/2006/relationships" ref="R522" r:id="rId1022"/>
    <hyperlink xmlns:r="http://schemas.openxmlformats.org/officeDocument/2006/relationships" ref="Q523" r:id="rId1023"/>
    <hyperlink xmlns:r="http://schemas.openxmlformats.org/officeDocument/2006/relationships" ref="R523" r:id="rId1024"/>
    <hyperlink xmlns:r="http://schemas.openxmlformats.org/officeDocument/2006/relationships" ref="Q524" r:id="rId1025"/>
    <hyperlink xmlns:r="http://schemas.openxmlformats.org/officeDocument/2006/relationships" ref="R524" r:id="rId1026"/>
    <hyperlink xmlns:r="http://schemas.openxmlformats.org/officeDocument/2006/relationships" ref="Q525" r:id="rId1027"/>
    <hyperlink xmlns:r="http://schemas.openxmlformats.org/officeDocument/2006/relationships" ref="R525" r:id="rId1028"/>
    <hyperlink xmlns:r="http://schemas.openxmlformats.org/officeDocument/2006/relationships" ref="Q526" r:id="rId1029"/>
    <hyperlink xmlns:r="http://schemas.openxmlformats.org/officeDocument/2006/relationships" ref="R526" r:id="rId1030"/>
    <hyperlink xmlns:r="http://schemas.openxmlformats.org/officeDocument/2006/relationships" ref="Q527" r:id="rId1031"/>
    <hyperlink xmlns:r="http://schemas.openxmlformats.org/officeDocument/2006/relationships" ref="Q528" r:id="rId1032"/>
    <hyperlink xmlns:r="http://schemas.openxmlformats.org/officeDocument/2006/relationships" ref="R528" r:id="rId1033"/>
    <hyperlink xmlns:r="http://schemas.openxmlformats.org/officeDocument/2006/relationships" ref="Q529" r:id="rId1034"/>
    <hyperlink xmlns:r="http://schemas.openxmlformats.org/officeDocument/2006/relationships" ref="R529" r:id="rId1035"/>
    <hyperlink xmlns:r="http://schemas.openxmlformats.org/officeDocument/2006/relationships" ref="Q530" r:id="rId1036"/>
    <hyperlink xmlns:r="http://schemas.openxmlformats.org/officeDocument/2006/relationships" ref="Q531" r:id="rId1037"/>
    <hyperlink xmlns:r="http://schemas.openxmlformats.org/officeDocument/2006/relationships" ref="R531" r:id="rId1038"/>
    <hyperlink xmlns:r="http://schemas.openxmlformats.org/officeDocument/2006/relationships" ref="Q532" r:id="rId1039"/>
    <hyperlink xmlns:r="http://schemas.openxmlformats.org/officeDocument/2006/relationships" ref="R532" r:id="rId1040"/>
    <hyperlink xmlns:r="http://schemas.openxmlformats.org/officeDocument/2006/relationships" ref="Q533" r:id="rId1041"/>
    <hyperlink xmlns:r="http://schemas.openxmlformats.org/officeDocument/2006/relationships" ref="R533" r:id="rId1042"/>
    <hyperlink xmlns:r="http://schemas.openxmlformats.org/officeDocument/2006/relationships" ref="Q534" r:id="rId1043"/>
    <hyperlink xmlns:r="http://schemas.openxmlformats.org/officeDocument/2006/relationships" ref="R534" r:id="rId1044"/>
    <hyperlink xmlns:r="http://schemas.openxmlformats.org/officeDocument/2006/relationships" ref="Q535" r:id="rId1045"/>
    <hyperlink xmlns:r="http://schemas.openxmlformats.org/officeDocument/2006/relationships" ref="R535" r:id="rId1046"/>
    <hyperlink xmlns:r="http://schemas.openxmlformats.org/officeDocument/2006/relationships" ref="Q536" r:id="rId1047"/>
    <hyperlink xmlns:r="http://schemas.openxmlformats.org/officeDocument/2006/relationships" ref="R536" r:id="rId1048"/>
    <hyperlink xmlns:r="http://schemas.openxmlformats.org/officeDocument/2006/relationships" ref="Q537" r:id="rId1049"/>
    <hyperlink xmlns:r="http://schemas.openxmlformats.org/officeDocument/2006/relationships" ref="R537" r:id="rId1050"/>
    <hyperlink xmlns:r="http://schemas.openxmlformats.org/officeDocument/2006/relationships" ref="Q538" r:id="rId1051"/>
    <hyperlink xmlns:r="http://schemas.openxmlformats.org/officeDocument/2006/relationships" ref="R538" r:id="rId1052"/>
    <hyperlink xmlns:r="http://schemas.openxmlformats.org/officeDocument/2006/relationships" ref="Q539" r:id="rId1053"/>
    <hyperlink xmlns:r="http://schemas.openxmlformats.org/officeDocument/2006/relationships" ref="R539" r:id="rId1054"/>
    <hyperlink xmlns:r="http://schemas.openxmlformats.org/officeDocument/2006/relationships" ref="Q540" r:id="rId1055"/>
    <hyperlink xmlns:r="http://schemas.openxmlformats.org/officeDocument/2006/relationships" ref="R540" r:id="rId1056"/>
    <hyperlink xmlns:r="http://schemas.openxmlformats.org/officeDocument/2006/relationships" ref="Q541" r:id="rId1057"/>
    <hyperlink xmlns:r="http://schemas.openxmlformats.org/officeDocument/2006/relationships" ref="R541" r:id="rId1058"/>
    <hyperlink xmlns:r="http://schemas.openxmlformats.org/officeDocument/2006/relationships" ref="Q542" r:id="rId1059"/>
    <hyperlink xmlns:r="http://schemas.openxmlformats.org/officeDocument/2006/relationships" ref="R542" r:id="rId1060"/>
    <hyperlink xmlns:r="http://schemas.openxmlformats.org/officeDocument/2006/relationships" ref="Q543" r:id="rId1061"/>
    <hyperlink xmlns:r="http://schemas.openxmlformats.org/officeDocument/2006/relationships" ref="R543" r:id="rId1062"/>
    <hyperlink xmlns:r="http://schemas.openxmlformats.org/officeDocument/2006/relationships" ref="Q544" r:id="rId1063"/>
    <hyperlink xmlns:r="http://schemas.openxmlformats.org/officeDocument/2006/relationships" ref="R544" r:id="rId1064"/>
    <hyperlink xmlns:r="http://schemas.openxmlformats.org/officeDocument/2006/relationships" ref="Q545" r:id="rId1065"/>
    <hyperlink xmlns:r="http://schemas.openxmlformats.org/officeDocument/2006/relationships" ref="R545" r:id="rId1066"/>
    <hyperlink xmlns:r="http://schemas.openxmlformats.org/officeDocument/2006/relationships" ref="Q546" r:id="rId1067"/>
    <hyperlink xmlns:r="http://schemas.openxmlformats.org/officeDocument/2006/relationships" ref="R546" r:id="rId1068"/>
    <hyperlink xmlns:r="http://schemas.openxmlformats.org/officeDocument/2006/relationships" ref="Q547" r:id="rId1069"/>
    <hyperlink xmlns:r="http://schemas.openxmlformats.org/officeDocument/2006/relationships" ref="R547" r:id="rId1070"/>
    <hyperlink xmlns:r="http://schemas.openxmlformats.org/officeDocument/2006/relationships" ref="Q548" r:id="rId1071"/>
    <hyperlink xmlns:r="http://schemas.openxmlformats.org/officeDocument/2006/relationships" ref="R548" r:id="rId1072"/>
    <hyperlink xmlns:r="http://schemas.openxmlformats.org/officeDocument/2006/relationships" ref="Q549" r:id="rId1073"/>
    <hyperlink xmlns:r="http://schemas.openxmlformats.org/officeDocument/2006/relationships" ref="R549" r:id="rId1074"/>
    <hyperlink xmlns:r="http://schemas.openxmlformats.org/officeDocument/2006/relationships" ref="Q550" r:id="rId1075"/>
    <hyperlink xmlns:r="http://schemas.openxmlformats.org/officeDocument/2006/relationships" ref="R550" r:id="rId1076"/>
    <hyperlink xmlns:r="http://schemas.openxmlformats.org/officeDocument/2006/relationships" ref="Q551" r:id="rId1077"/>
    <hyperlink xmlns:r="http://schemas.openxmlformats.org/officeDocument/2006/relationships" ref="R551" r:id="rId1078"/>
    <hyperlink xmlns:r="http://schemas.openxmlformats.org/officeDocument/2006/relationships" ref="Q552" r:id="rId1079"/>
    <hyperlink xmlns:r="http://schemas.openxmlformats.org/officeDocument/2006/relationships" ref="R552" r:id="rId1080"/>
    <hyperlink xmlns:r="http://schemas.openxmlformats.org/officeDocument/2006/relationships" ref="Q553" r:id="rId1081"/>
    <hyperlink xmlns:r="http://schemas.openxmlformats.org/officeDocument/2006/relationships" ref="R553" r:id="rId1082"/>
    <hyperlink xmlns:r="http://schemas.openxmlformats.org/officeDocument/2006/relationships" ref="Q554" r:id="rId1083"/>
    <hyperlink xmlns:r="http://schemas.openxmlformats.org/officeDocument/2006/relationships" ref="R554" r:id="rId1084"/>
    <hyperlink xmlns:r="http://schemas.openxmlformats.org/officeDocument/2006/relationships" ref="Q555" r:id="rId1085"/>
    <hyperlink xmlns:r="http://schemas.openxmlformats.org/officeDocument/2006/relationships" ref="R555" r:id="rId1086"/>
    <hyperlink xmlns:r="http://schemas.openxmlformats.org/officeDocument/2006/relationships" ref="Q556" r:id="rId1087"/>
    <hyperlink xmlns:r="http://schemas.openxmlformats.org/officeDocument/2006/relationships" ref="R556" r:id="rId1088"/>
    <hyperlink xmlns:r="http://schemas.openxmlformats.org/officeDocument/2006/relationships" ref="Q557" r:id="rId1089"/>
    <hyperlink xmlns:r="http://schemas.openxmlformats.org/officeDocument/2006/relationships" ref="R557" r:id="rId1090"/>
    <hyperlink xmlns:r="http://schemas.openxmlformats.org/officeDocument/2006/relationships" ref="Q558" r:id="rId1091"/>
    <hyperlink xmlns:r="http://schemas.openxmlformats.org/officeDocument/2006/relationships" ref="R558" r:id="rId1092"/>
    <hyperlink xmlns:r="http://schemas.openxmlformats.org/officeDocument/2006/relationships" ref="Q559" r:id="rId1093"/>
    <hyperlink xmlns:r="http://schemas.openxmlformats.org/officeDocument/2006/relationships" ref="R559" r:id="rId1094"/>
    <hyperlink xmlns:r="http://schemas.openxmlformats.org/officeDocument/2006/relationships" ref="Q560" r:id="rId1095"/>
    <hyperlink xmlns:r="http://schemas.openxmlformats.org/officeDocument/2006/relationships" ref="R560" r:id="rId1096"/>
    <hyperlink xmlns:r="http://schemas.openxmlformats.org/officeDocument/2006/relationships" ref="Q561" r:id="rId1097"/>
    <hyperlink xmlns:r="http://schemas.openxmlformats.org/officeDocument/2006/relationships" ref="R561" r:id="rId1098"/>
    <hyperlink xmlns:r="http://schemas.openxmlformats.org/officeDocument/2006/relationships" ref="Q562" r:id="rId1099"/>
    <hyperlink xmlns:r="http://schemas.openxmlformats.org/officeDocument/2006/relationships" ref="Q563" r:id="rId1100"/>
    <hyperlink xmlns:r="http://schemas.openxmlformats.org/officeDocument/2006/relationships" ref="R563" r:id="rId1101"/>
    <hyperlink xmlns:r="http://schemas.openxmlformats.org/officeDocument/2006/relationships" ref="Q564" r:id="rId1102"/>
    <hyperlink xmlns:r="http://schemas.openxmlformats.org/officeDocument/2006/relationships" ref="R564" r:id="rId1103"/>
    <hyperlink xmlns:r="http://schemas.openxmlformats.org/officeDocument/2006/relationships" ref="Q565" r:id="rId1104"/>
    <hyperlink xmlns:r="http://schemas.openxmlformats.org/officeDocument/2006/relationships" ref="R565" r:id="rId1105"/>
    <hyperlink xmlns:r="http://schemas.openxmlformats.org/officeDocument/2006/relationships" ref="Q566" r:id="rId1106"/>
    <hyperlink xmlns:r="http://schemas.openxmlformats.org/officeDocument/2006/relationships" ref="R566" r:id="rId1107"/>
    <hyperlink xmlns:r="http://schemas.openxmlformats.org/officeDocument/2006/relationships" ref="Q567" r:id="rId1108"/>
    <hyperlink xmlns:r="http://schemas.openxmlformats.org/officeDocument/2006/relationships" ref="R567" r:id="rId1109"/>
    <hyperlink xmlns:r="http://schemas.openxmlformats.org/officeDocument/2006/relationships" ref="Q568" r:id="rId1110"/>
    <hyperlink xmlns:r="http://schemas.openxmlformats.org/officeDocument/2006/relationships" ref="Q569" r:id="rId1111"/>
    <hyperlink xmlns:r="http://schemas.openxmlformats.org/officeDocument/2006/relationships" ref="R569" r:id="rId1112"/>
    <hyperlink xmlns:r="http://schemas.openxmlformats.org/officeDocument/2006/relationships" ref="Q570" r:id="rId1113"/>
    <hyperlink xmlns:r="http://schemas.openxmlformats.org/officeDocument/2006/relationships" ref="Q571" r:id="rId1114"/>
    <hyperlink xmlns:r="http://schemas.openxmlformats.org/officeDocument/2006/relationships" ref="R571" r:id="rId1115"/>
    <hyperlink xmlns:r="http://schemas.openxmlformats.org/officeDocument/2006/relationships" ref="Q572" r:id="rId1116"/>
    <hyperlink xmlns:r="http://schemas.openxmlformats.org/officeDocument/2006/relationships" ref="R572" r:id="rId1117"/>
    <hyperlink xmlns:r="http://schemas.openxmlformats.org/officeDocument/2006/relationships" ref="Q573" r:id="rId1118"/>
    <hyperlink xmlns:r="http://schemas.openxmlformats.org/officeDocument/2006/relationships" ref="R573" r:id="rId1119"/>
    <hyperlink xmlns:r="http://schemas.openxmlformats.org/officeDocument/2006/relationships" ref="Q574" r:id="rId1120"/>
    <hyperlink xmlns:r="http://schemas.openxmlformats.org/officeDocument/2006/relationships" ref="R574" r:id="rId1121"/>
    <hyperlink xmlns:r="http://schemas.openxmlformats.org/officeDocument/2006/relationships" ref="Q575" r:id="rId1122"/>
    <hyperlink xmlns:r="http://schemas.openxmlformats.org/officeDocument/2006/relationships" ref="R575" r:id="rId1123"/>
    <hyperlink xmlns:r="http://schemas.openxmlformats.org/officeDocument/2006/relationships" ref="Q576" r:id="rId1124"/>
    <hyperlink xmlns:r="http://schemas.openxmlformats.org/officeDocument/2006/relationships" ref="R576" r:id="rId1125"/>
    <hyperlink xmlns:r="http://schemas.openxmlformats.org/officeDocument/2006/relationships" ref="Q577" r:id="rId1126"/>
    <hyperlink xmlns:r="http://schemas.openxmlformats.org/officeDocument/2006/relationships" ref="R577" r:id="rId1127"/>
    <hyperlink xmlns:r="http://schemas.openxmlformats.org/officeDocument/2006/relationships" ref="Q578" r:id="rId1128"/>
    <hyperlink xmlns:r="http://schemas.openxmlformats.org/officeDocument/2006/relationships" ref="R578" r:id="rId1129"/>
    <hyperlink xmlns:r="http://schemas.openxmlformats.org/officeDocument/2006/relationships" ref="Q579" r:id="rId1130"/>
    <hyperlink xmlns:r="http://schemas.openxmlformats.org/officeDocument/2006/relationships" ref="R579" r:id="rId1131"/>
    <hyperlink xmlns:r="http://schemas.openxmlformats.org/officeDocument/2006/relationships" ref="Q580" r:id="rId1132"/>
    <hyperlink xmlns:r="http://schemas.openxmlformats.org/officeDocument/2006/relationships" ref="R580" r:id="rId1133"/>
    <hyperlink xmlns:r="http://schemas.openxmlformats.org/officeDocument/2006/relationships" ref="Q581" r:id="rId1134"/>
    <hyperlink xmlns:r="http://schemas.openxmlformats.org/officeDocument/2006/relationships" ref="R581" r:id="rId1135"/>
    <hyperlink xmlns:r="http://schemas.openxmlformats.org/officeDocument/2006/relationships" ref="Q582" r:id="rId1136"/>
    <hyperlink xmlns:r="http://schemas.openxmlformats.org/officeDocument/2006/relationships" ref="R582" r:id="rId1137"/>
    <hyperlink xmlns:r="http://schemas.openxmlformats.org/officeDocument/2006/relationships" ref="Q583" r:id="rId1138"/>
    <hyperlink xmlns:r="http://schemas.openxmlformats.org/officeDocument/2006/relationships" ref="R583" r:id="rId1139"/>
    <hyperlink xmlns:r="http://schemas.openxmlformats.org/officeDocument/2006/relationships" ref="Q584" r:id="rId1140"/>
    <hyperlink xmlns:r="http://schemas.openxmlformats.org/officeDocument/2006/relationships" ref="R584" r:id="rId1141"/>
    <hyperlink xmlns:r="http://schemas.openxmlformats.org/officeDocument/2006/relationships" ref="Q585" r:id="rId1142"/>
    <hyperlink xmlns:r="http://schemas.openxmlformats.org/officeDocument/2006/relationships" ref="R585" r:id="rId1143"/>
    <hyperlink xmlns:r="http://schemas.openxmlformats.org/officeDocument/2006/relationships" ref="Q586" r:id="rId1144"/>
    <hyperlink xmlns:r="http://schemas.openxmlformats.org/officeDocument/2006/relationships" ref="R586" r:id="rId1145"/>
    <hyperlink xmlns:r="http://schemas.openxmlformats.org/officeDocument/2006/relationships" ref="Q587" r:id="rId1146"/>
    <hyperlink xmlns:r="http://schemas.openxmlformats.org/officeDocument/2006/relationships" ref="R587" r:id="rId1147"/>
    <hyperlink xmlns:r="http://schemas.openxmlformats.org/officeDocument/2006/relationships" ref="Q588" r:id="rId1148"/>
    <hyperlink xmlns:r="http://schemas.openxmlformats.org/officeDocument/2006/relationships" ref="R588" r:id="rId1149"/>
    <hyperlink xmlns:r="http://schemas.openxmlformats.org/officeDocument/2006/relationships" ref="Q589" r:id="rId1150"/>
    <hyperlink xmlns:r="http://schemas.openxmlformats.org/officeDocument/2006/relationships" ref="R589" r:id="rId1151"/>
    <hyperlink xmlns:r="http://schemas.openxmlformats.org/officeDocument/2006/relationships" ref="Q590" r:id="rId1152"/>
    <hyperlink xmlns:r="http://schemas.openxmlformats.org/officeDocument/2006/relationships" ref="R590" r:id="rId1153"/>
    <hyperlink xmlns:r="http://schemas.openxmlformats.org/officeDocument/2006/relationships" ref="Q591" r:id="rId1154"/>
    <hyperlink xmlns:r="http://schemas.openxmlformats.org/officeDocument/2006/relationships" ref="R591" r:id="rId1155"/>
    <hyperlink xmlns:r="http://schemas.openxmlformats.org/officeDocument/2006/relationships" ref="Q592" r:id="rId1156"/>
    <hyperlink xmlns:r="http://schemas.openxmlformats.org/officeDocument/2006/relationships" ref="R592" r:id="rId1157"/>
    <hyperlink xmlns:r="http://schemas.openxmlformats.org/officeDocument/2006/relationships" ref="Q593" r:id="rId1158"/>
    <hyperlink xmlns:r="http://schemas.openxmlformats.org/officeDocument/2006/relationships" ref="R593" r:id="rId1159"/>
    <hyperlink xmlns:r="http://schemas.openxmlformats.org/officeDocument/2006/relationships" ref="Q594" r:id="rId1160"/>
    <hyperlink xmlns:r="http://schemas.openxmlformats.org/officeDocument/2006/relationships" ref="R594" r:id="rId1161"/>
    <hyperlink xmlns:r="http://schemas.openxmlformats.org/officeDocument/2006/relationships" ref="Q595" r:id="rId1162"/>
    <hyperlink xmlns:r="http://schemas.openxmlformats.org/officeDocument/2006/relationships" ref="R595" r:id="rId1163"/>
    <hyperlink xmlns:r="http://schemas.openxmlformats.org/officeDocument/2006/relationships" ref="Q596" r:id="rId1164"/>
    <hyperlink xmlns:r="http://schemas.openxmlformats.org/officeDocument/2006/relationships" ref="R596" r:id="rId1165"/>
    <hyperlink xmlns:r="http://schemas.openxmlformats.org/officeDocument/2006/relationships" ref="Q597" r:id="rId1166"/>
    <hyperlink xmlns:r="http://schemas.openxmlformats.org/officeDocument/2006/relationships" ref="R597" r:id="rId1167"/>
    <hyperlink xmlns:r="http://schemas.openxmlformats.org/officeDocument/2006/relationships" ref="Q598" r:id="rId1168"/>
    <hyperlink xmlns:r="http://schemas.openxmlformats.org/officeDocument/2006/relationships" ref="R598" r:id="rId1169"/>
    <hyperlink xmlns:r="http://schemas.openxmlformats.org/officeDocument/2006/relationships" ref="Q599" r:id="rId1170"/>
    <hyperlink xmlns:r="http://schemas.openxmlformats.org/officeDocument/2006/relationships" ref="R599" r:id="rId1171"/>
    <hyperlink xmlns:r="http://schemas.openxmlformats.org/officeDocument/2006/relationships" ref="Q600" r:id="rId1172"/>
    <hyperlink xmlns:r="http://schemas.openxmlformats.org/officeDocument/2006/relationships" ref="R600" r:id="rId1173"/>
    <hyperlink xmlns:r="http://schemas.openxmlformats.org/officeDocument/2006/relationships" ref="Q601" r:id="rId1174"/>
    <hyperlink xmlns:r="http://schemas.openxmlformats.org/officeDocument/2006/relationships" ref="R601" r:id="rId1175"/>
    <hyperlink xmlns:r="http://schemas.openxmlformats.org/officeDocument/2006/relationships" ref="Q602" r:id="rId1176"/>
    <hyperlink xmlns:r="http://schemas.openxmlformats.org/officeDocument/2006/relationships" ref="R602" r:id="rId1177"/>
    <hyperlink xmlns:r="http://schemas.openxmlformats.org/officeDocument/2006/relationships" ref="Q603" r:id="rId1178"/>
    <hyperlink xmlns:r="http://schemas.openxmlformats.org/officeDocument/2006/relationships" ref="R603" r:id="rId1179"/>
    <hyperlink xmlns:r="http://schemas.openxmlformats.org/officeDocument/2006/relationships" ref="Q604" r:id="rId1180"/>
    <hyperlink xmlns:r="http://schemas.openxmlformats.org/officeDocument/2006/relationships" ref="R604" r:id="rId1181"/>
    <hyperlink xmlns:r="http://schemas.openxmlformats.org/officeDocument/2006/relationships" ref="Q605" r:id="rId1182"/>
    <hyperlink xmlns:r="http://schemas.openxmlformats.org/officeDocument/2006/relationships" ref="R605" r:id="rId1183"/>
    <hyperlink xmlns:r="http://schemas.openxmlformats.org/officeDocument/2006/relationships" ref="Q606" r:id="rId1184"/>
    <hyperlink xmlns:r="http://schemas.openxmlformats.org/officeDocument/2006/relationships" ref="R606" r:id="rId1185"/>
    <hyperlink xmlns:r="http://schemas.openxmlformats.org/officeDocument/2006/relationships" ref="Q607" r:id="rId1186"/>
    <hyperlink xmlns:r="http://schemas.openxmlformats.org/officeDocument/2006/relationships" ref="R607" r:id="rId1187"/>
    <hyperlink xmlns:r="http://schemas.openxmlformats.org/officeDocument/2006/relationships" ref="Q608" r:id="rId1188"/>
    <hyperlink xmlns:r="http://schemas.openxmlformats.org/officeDocument/2006/relationships" ref="R608" r:id="rId1189"/>
    <hyperlink xmlns:r="http://schemas.openxmlformats.org/officeDocument/2006/relationships" ref="Q609" r:id="rId1190"/>
    <hyperlink xmlns:r="http://schemas.openxmlformats.org/officeDocument/2006/relationships" ref="R609" r:id="rId1191"/>
    <hyperlink xmlns:r="http://schemas.openxmlformats.org/officeDocument/2006/relationships" ref="Q610" r:id="rId1192"/>
    <hyperlink xmlns:r="http://schemas.openxmlformats.org/officeDocument/2006/relationships" ref="R610" r:id="rId1193"/>
    <hyperlink xmlns:r="http://schemas.openxmlformats.org/officeDocument/2006/relationships" ref="Q611" r:id="rId1194"/>
    <hyperlink xmlns:r="http://schemas.openxmlformats.org/officeDocument/2006/relationships" ref="R611" r:id="rId1195"/>
    <hyperlink xmlns:r="http://schemas.openxmlformats.org/officeDocument/2006/relationships" ref="Q612" r:id="rId1196"/>
    <hyperlink xmlns:r="http://schemas.openxmlformats.org/officeDocument/2006/relationships" ref="R612" r:id="rId1197"/>
    <hyperlink xmlns:r="http://schemas.openxmlformats.org/officeDocument/2006/relationships" ref="Q613" r:id="rId1198"/>
    <hyperlink xmlns:r="http://schemas.openxmlformats.org/officeDocument/2006/relationships" ref="R613" r:id="rId1199"/>
    <hyperlink xmlns:r="http://schemas.openxmlformats.org/officeDocument/2006/relationships" ref="Q614" r:id="rId1200"/>
    <hyperlink xmlns:r="http://schemas.openxmlformats.org/officeDocument/2006/relationships" ref="R614" r:id="rId1201"/>
    <hyperlink xmlns:r="http://schemas.openxmlformats.org/officeDocument/2006/relationships" ref="Q615" r:id="rId1202"/>
    <hyperlink xmlns:r="http://schemas.openxmlformats.org/officeDocument/2006/relationships" ref="R615" r:id="rId1203"/>
    <hyperlink xmlns:r="http://schemas.openxmlformats.org/officeDocument/2006/relationships" ref="Q616" r:id="rId1204"/>
    <hyperlink xmlns:r="http://schemas.openxmlformats.org/officeDocument/2006/relationships" ref="R616" r:id="rId1205"/>
    <hyperlink xmlns:r="http://schemas.openxmlformats.org/officeDocument/2006/relationships" ref="Q617" r:id="rId1206"/>
    <hyperlink xmlns:r="http://schemas.openxmlformats.org/officeDocument/2006/relationships" ref="R617" r:id="rId1207"/>
    <hyperlink xmlns:r="http://schemas.openxmlformats.org/officeDocument/2006/relationships" ref="Q618" r:id="rId1208"/>
    <hyperlink xmlns:r="http://schemas.openxmlformats.org/officeDocument/2006/relationships" ref="R618" r:id="rId1209"/>
    <hyperlink xmlns:r="http://schemas.openxmlformats.org/officeDocument/2006/relationships" ref="Q619" r:id="rId1210"/>
    <hyperlink xmlns:r="http://schemas.openxmlformats.org/officeDocument/2006/relationships" ref="R619" r:id="rId1211"/>
    <hyperlink xmlns:r="http://schemas.openxmlformats.org/officeDocument/2006/relationships" ref="Q620" r:id="rId1212"/>
    <hyperlink xmlns:r="http://schemas.openxmlformats.org/officeDocument/2006/relationships" ref="R620" r:id="rId1213"/>
    <hyperlink xmlns:r="http://schemas.openxmlformats.org/officeDocument/2006/relationships" ref="Q621" r:id="rId1214"/>
    <hyperlink xmlns:r="http://schemas.openxmlformats.org/officeDocument/2006/relationships" ref="R621" r:id="rId1215"/>
    <hyperlink xmlns:r="http://schemas.openxmlformats.org/officeDocument/2006/relationships" ref="Q622" r:id="rId1216"/>
    <hyperlink xmlns:r="http://schemas.openxmlformats.org/officeDocument/2006/relationships" ref="R622" r:id="rId1217"/>
    <hyperlink xmlns:r="http://schemas.openxmlformats.org/officeDocument/2006/relationships" ref="Q623" r:id="rId1218"/>
    <hyperlink xmlns:r="http://schemas.openxmlformats.org/officeDocument/2006/relationships" ref="R623" r:id="rId1219"/>
    <hyperlink xmlns:r="http://schemas.openxmlformats.org/officeDocument/2006/relationships" ref="Q624" r:id="rId1220"/>
    <hyperlink xmlns:r="http://schemas.openxmlformats.org/officeDocument/2006/relationships" ref="R624" r:id="rId1221"/>
    <hyperlink xmlns:r="http://schemas.openxmlformats.org/officeDocument/2006/relationships" ref="Q625" r:id="rId1222"/>
    <hyperlink xmlns:r="http://schemas.openxmlformats.org/officeDocument/2006/relationships" ref="R625" r:id="rId1223"/>
    <hyperlink xmlns:r="http://schemas.openxmlformats.org/officeDocument/2006/relationships" ref="Q626" r:id="rId1224"/>
    <hyperlink xmlns:r="http://schemas.openxmlformats.org/officeDocument/2006/relationships" ref="Q627" r:id="rId1225"/>
    <hyperlink xmlns:r="http://schemas.openxmlformats.org/officeDocument/2006/relationships" ref="R627" r:id="rId1226"/>
    <hyperlink xmlns:r="http://schemas.openxmlformats.org/officeDocument/2006/relationships" ref="Q628" r:id="rId1227"/>
    <hyperlink xmlns:r="http://schemas.openxmlformats.org/officeDocument/2006/relationships" ref="R628" r:id="rId1228"/>
    <hyperlink xmlns:r="http://schemas.openxmlformats.org/officeDocument/2006/relationships" ref="Q629" r:id="rId1229"/>
    <hyperlink xmlns:r="http://schemas.openxmlformats.org/officeDocument/2006/relationships" ref="R629" r:id="rId1230"/>
    <hyperlink xmlns:r="http://schemas.openxmlformats.org/officeDocument/2006/relationships" ref="Q630" r:id="rId1231"/>
    <hyperlink xmlns:r="http://schemas.openxmlformats.org/officeDocument/2006/relationships" ref="R630" r:id="rId1232"/>
    <hyperlink xmlns:r="http://schemas.openxmlformats.org/officeDocument/2006/relationships" ref="Q631" r:id="rId1233"/>
    <hyperlink xmlns:r="http://schemas.openxmlformats.org/officeDocument/2006/relationships" ref="R631" r:id="rId1234"/>
    <hyperlink xmlns:r="http://schemas.openxmlformats.org/officeDocument/2006/relationships" ref="Q632" r:id="rId1235"/>
    <hyperlink xmlns:r="http://schemas.openxmlformats.org/officeDocument/2006/relationships" ref="R632" r:id="rId1236"/>
    <hyperlink xmlns:r="http://schemas.openxmlformats.org/officeDocument/2006/relationships" ref="Q633" r:id="rId1237"/>
    <hyperlink xmlns:r="http://schemas.openxmlformats.org/officeDocument/2006/relationships" ref="R633" r:id="rId1238"/>
    <hyperlink xmlns:r="http://schemas.openxmlformats.org/officeDocument/2006/relationships" ref="Q634" r:id="rId1239"/>
    <hyperlink xmlns:r="http://schemas.openxmlformats.org/officeDocument/2006/relationships" ref="R634" r:id="rId1240"/>
    <hyperlink xmlns:r="http://schemas.openxmlformats.org/officeDocument/2006/relationships" ref="Q635" r:id="rId1241"/>
    <hyperlink xmlns:r="http://schemas.openxmlformats.org/officeDocument/2006/relationships" ref="R635" r:id="rId1242"/>
    <hyperlink xmlns:r="http://schemas.openxmlformats.org/officeDocument/2006/relationships" ref="Q636" r:id="rId1243"/>
    <hyperlink xmlns:r="http://schemas.openxmlformats.org/officeDocument/2006/relationships" ref="R636" r:id="rId1244"/>
    <hyperlink xmlns:r="http://schemas.openxmlformats.org/officeDocument/2006/relationships" ref="Q637" r:id="rId1245"/>
    <hyperlink xmlns:r="http://schemas.openxmlformats.org/officeDocument/2006/relationships" ref="R637" r:id="rId1246"/>
    <hyperlink xmlns:r="http://schemas.openxmlformats.org/officeDocument/2006/relationships" ref="Q638" r:id="rId1247"/>
    <hyperlink xmlns:r="http://schemas.openxmlformats.org/officeDocument/2006/relationships" ref="R638" r:id="rId1248"/>
    <hyperlink xmlns:r="http://schemas.openxmlformats.org/officeDocument/2006/relationships" ref="Q639" r:id="rId1249"/>
    <hyperlink xmlns:r="http://schemas.openxmlformats.org/officeDocument/2006/relationships" ref="Q640" r:id="rId1250"/>
    <hyperlink xmlns:r="http://schemas.openxmlformats.org/officeDocument/2006/relationships" ref="R640" r:id="rId1251"/>
    <hyperlink xmlns:r="http://schemas.openxmlformats.org/officeDocument/2006/relationships" ref="Q641" r:id="rId1252"/>
    <hyperlink xmlns:r="http://schemas.openxmlformats.org/officeDocument/2006/relationships" ref="Q642" r:id="rId1253"/>
    <hyperlink xmlns:r="http://schemas.openxmlformats.org/officeDocument/2006/relationships" ref="R642" r:id="rId1254"/>
    <hyperlink xmlns:r="http://schemas.openxmlformats.org/officeDocument/2006/relationships" ref="Q643" r:id="rId1255"/>
    <hyperlink xmlns:r="http://schemas.openxmlformats.org/officeDocument/2006/relationships" ref="Q644" r:id="rId1256"/>
    <hyperlink xmlns:r="http://schemas.openxmlformats.org/officeDocument/2006/relationships" ref="R644" r:id="rId1257"/>
    <hyperlink xmlns:r="http://schemas.openxmlformats.org/officeDocument/2006/relationships" ref="Q645" r:id="rId1258"/>
    <hyperlink xmlns:r="http://schemas.openxmlformats.org/officeDocument/2006/relationships" ref="R645" r:id="rId1259"/>
    <hyperlink xmlns:r="http://schemas.openxmlformats.org/officeDocument/2006/relationships" ref="Q646" r:id="rId1260"/>
    <hyperlink xmlns:r="http://schemas.openxmlformats.org/officeDocument/2006/relationships" ref="R646" r:id="rId1261"/>
    <hyperlink xmlns:r="http://schemas.openxmlformats.org/officeDocument/2006/relationships" ref="Q647" r:id="rId1262"/>
    <hyperlink xmlns:r="http://schemas.openxmlformats.org/officeDocument/2006/relationships" ref="R647" r:id="rId1263"/>
    <hyperlink xmlns:r="http://schemas.openxmlformats.org/officeDocument/2006/relationships" ref="Q648" r:id="rId1264"/>
    <hyperlink xmlns:r="http://schemas.openxmlformats.org/officeDocument/2006/relationships" ref="R648" r:id="rId1265"/>
    <hyperlink xmlns:r="http://schemas.openxmlformats.org/officeDocument/2006/relationships" ref="Q649" r:id="rId1266"/>
    <hyperlink xmlns:r="http://schemas.openxmlformats.org/officeDocument/2006/relationships" ref="R649" r:id="rId1267"/>
    <hyperlink xmlns:r="http://schemas.openxmlformats.org/officeDocument/2006/relationships" ref="Q650" r:id="rId1268"/>
    <hyperlink xmlns:r="http://schemas.openxmlformats.org/officeDocument/2006/relationships" ref="R650" r:id="rId1269"/>
    <hyperlink xmlns:r="http://schemas.openxmlformats.org/officeDocument/2006/relationships" ref="Q651" r:id="rId1270"/>
    <hyperlink xmlns:r="http://schemas.openxmlformats.org/officeDocument/2006/relationships" ref="R651" r:id="rId1271"/>
    <hyperlink xmlns:r="http://schemas.openxmlformats.org/officeDocument/2006/relationships" ref="Q652" r:id="rId1272"/>
    <hyperlink xmlns:r="http://schemas.openxmlformats.org/officeDocument/2006/relationships" ref="R652" r:id="rId1273"/>
    <hyperlink xmlns:r="http://schemas.openxmlformats.org/officeDocument/2006/relationships" ref="Q653" r:id="rId1274"/>
    <hyperlink xmlns:r="http://schemas.openxmlformats.org/officeDocument/2006/relationships" ref="R653" r:id="rId1275"/>
    <hyperlink xmlns:r="http://schemas.openxmlformats.org/officeDocument/2006/relationships" ref="Q654" r:id="rId1276"/>
    <hyperlink xmlns:r="http://schemas.openxmlformats.org/officeDocument/2006/relationships" ref="R654" r:id="rId1277"/>
    <hyperlink xmlns:r="http://schemas.openxmlformats.org/officeDocument/2006/relationships" ref="Q655" r:id="rId1278"/>
    <hyperlink xmlns:r="http://schemas.openxmlformats.org/officeDocument/2006/relationships" ref="R655" r:id="rId1279"/>
    <hyperlink xmlns:r="http://schemas.openxmlformats.org/officeDocument/2006/relationships" ref="Q656" r:id="rId1280"/>
    <hyperlink xmlns:r="http://schemas.openxmlformats.org/officeDocument/2006/relationships" ref="R656" r:id="rId1281"/>
    <hyperlink xmlns:r="http://schemas.openxmlformats.org/officeDocument/2006/relationships" ref="Q657" r:id="rId1282"/>
    <hyperlink xmlns:r="http://schemas.openxmlformats.org/officeDocument/2006/relationships" ref="R657" r:id="rId1283"/>
    <hyperlink xmlns:r="http://schemas.openxmlformats.org/officeDocument/2006/relationships" ref="Q658" r:id="rId1284"/>
    <hyperlink xmlns:r="http://schemas.openxmlformats.org/officeDocument/2006/relationships" ref="R658" r:id="rId1285"/>
    <hyperlink xmlns:r="http://schemas.openxmlformats.org/officeDocument/2006/relationships" ref="Q659" r:id="rId1286"/>
    <hyperlink xmlns:r="http://schemas.openxmlformats.org/officeDocument/2006/relationships" ref="R659" r:id="rId1287"/>
    <hyperlink xmlns:r="http://schemas.openxmlformats.org/officeDocument/2006/relationships" ref="Q660" r:id="rId1288"/>
    <hyperlink xmlns:r="http://schemas.openxmlformats.org/officeDocument/2006/relationships" ref="R660" r:id="rId1289"/>
    <hyperlink xmlns:r="http://schemas.openxmlformats.org/officeDocument/2006/relationships" ref="Q661" r:id="rId1290"/>
    <hyperlink xmlns:r="http://schemas.openxmlformats.org/officeDocument/2006/relationships" ref="R661" r:id="rId1291"/>
    <hyperlink xmlns:r="http://schemas.openxmlformats.org/officeDocument/2006/relationships" ref="Q662" r:id="rId1292"/>
    <hyperlink xmlns:r="http://schemas.openxmlformats.org/officeDocument/2006/relationships" ref="R662" r:id="rId1293"/>
    <hyperlink xmlns:r="http://schemas.openxmlformats.org/officeDocument/2006/relationships" ref="Q663" r:id="rId1294"/>
    <hyperlink xmlns:r="http://schemas.openxmlformats.org/officeDocument/2006/relationships" ref="R663" r:id="rId1295"/>
    <hyperlink xmlns:r="http://schemas.openxmlformats.org/officeDocument/2006/relationships" ref="Q664" r:id="rId1296"/>
    <hyperlink xmlns:r="http://schemas.openxmlformats.org/officeDocument/2006/relationships" ref="R664" r:id="rId1297"/>
    <hyperlink xmlns:r="http://schemas.openxmlformats.org/officeDocument/2006/relationships" ref="Q665" r:id="rId1298"/>
    <hyperlink xmlns:r="http://schemas.openxmlformats.org/officeDocument/2006/relationships" ref="R665" r:id="rId1299"/>
    <hyperlink xmlns:r="http://schemas.openxmlformats.org/officeDocument/2006/relationships" ref="Q666" r:id="rId1300"/>
    <hyperlink xmlns:r="http://schemas.openxmlformats.org/officeDocument/2006/relationships" ref="R666" r:id="rId1301"/>
    <hyperlink xmlns:r="http://schemas.openxmlformats.org/officeDocument/2006/relationships" ref="Q667" r:id="rId1302"/>
    <hyperlink xmlns:r="http://schemas.openxmlformats.org/officeDocument/2006/relationships" ref="R667" r:id="rId1303"/>
    <hyperlink xmlns:r="http://schemas.openxmlformats.org/officeDocument/2006/relationships" ref="Q668" r:id="rId1304"/>
    <hyperlink xmlns:r="http://schemas.openxmlformats.org/officeDocument/2006/relationships" ref="R668" r:id="rId1305"/>
    <hyperlink xmlns:r="http://schemas.openxmlformats.org/officeDocument/2006/relationships" ref="Q669" r:id="rId1306"/>
    <hyperlink xmlns:r="http://schemas.openxmlformats.org/officeDocument/2006/relationships" ref="R669" r:id="rId1307"/>
    <hyperlink xmlns:r="http://schemas.openxmlformats.org/officeDocument/2006/relationships" ref="Q670" r:id="rId1308"/>
    <hyperlink xmlns:r="http://schemas.openxmlformats.org/officeDocument/2006/relationships" ref="R670" r:id="rId1309"/>
    <hyperlink xmlns:r="http://schemas.openxmlformats.org/officeDocument/2006/relationships" ref="Q671" r:id="rId1310"/>
    <hyperlink xmlns:r="http://schemas.openxmlformats.org/officeDocument/2006/relationships" ref="R671" r:id="rId1311"/>
    <hyperlink xmlns:r="http://schemas.openxmlformats.org/officeDocument/2006/relationships" ref="Q672" r:id="rId1312"/>
    <hyperlink xmlns:r="http://schemas.openxmlformats.org/officeDocument/2006/relationships" ref="R672" r:id="rId1313"/>
    <hyperlink xmlns:r="http://schemas.openxmlformats.org/officeDocument/2006/relationships" ref="Q673" r:id="rId1314"/>
    <hyperlink xmlns:r="http://schemas.openxmlformats.org/officeDocument/2006/relationships" ref="R673" r:id="rId1315"/>
    <hyperlink xmlns:r="http://schemas.openxmlformats.org/officeDocument/2006/relationships" ref="Q674" r:id="rId1316"/>
    <hyperlink xmlns:r="http://schemas.openxmlformats.org/officeDocument/2006/relationships" ref="R674" r:id="rId1317"/>
    <hyperlink xmlns:r="http://schemas.openxmlformats.org/officeDocument/2006/relationships" ref="Q675" r:id="rId1318"/>
    <hyperlink xmlns:r="http://schemas.openxmlformats.org/officeDocument/2006/relationships" ref="R675" r:id="rId1319"/>
    <hyperlink xmlns:r="http://schemas.openxmlformats.org/officeDocument/2006/relationships" ref="Q676" r:id="rId1320"/>
    <hyperlink xmlns:r="http://schemas.openxmlformats.org/officeDocument/2006/relationships" ref="R676" r:id="rId1321"/>
    <hyperlink xmlns:r="http://schemas.openxmlformats.org/officeDocument/2006/relationships" ref="Q677" r:id="rId1322"/>
    <hyperlink xmlns:r="http://schemas.openxmlformats.org/officeDocument/2006/relationships" ref="R677" r:id="rId1323"/>
    <hyperlink xmlns:r="http://schemas.openxmlformats.org/officeDocument/2006/relationships" ref="Q678" r:id="rId1324"/>
    <hyperlink xmlns:r="http://schemas.openxmlformats.org/officeDocument/2006/relationships" ref="R678" r:id="rId1325"/>
    <hyperlink xmlns:r="http://schemas.openxmlformats.org/officeDocument/2006/relationships" ref="Q679" r:id="rId1326"/>
    <hyperlink xmlns:r="http://schemas.openxmlformats.org/officeDocument/2006/relationships" ref="R679" r:id="rId1327"/>
    <hyperlink xmlns:r="http://schemas.openxmlformats.org/officeDocument/2006/relationships" ref="Q680" r:id="rId1328"/>
    <hyperlink xmlns:r="http://schemas.openxmlformats.org/officeDocument/2006/relationships" ref="R680" r:id="rId1329"/>
    <hyperlink xmlns:r="http://schemas.openxmlformats.org/officeDocument/2006/relationships" ref="Q681" r:id="rId1330"/>
    <hyperlink xmlns:r="http://schemas.openxmlformats.org/officeDocument/2006/relationships" ref="R681" r:id="rId1331"/>
    <hyperlink xmlns:r="http://schemas.openxmlformats.org/officeDocument/2006/relationships" ref="Q682" r:id="rId1332"/>
    <hyperlink xmlns:r="http://schemas.openxmlformats.org/officeDocument/2006/relationships" ref="R682" r:id="rId1333"/>
    <hyperlink xmlns:r="http://schemas.openxmlformats.org/officeDocument/2006/relationships" ref="Q683" r:id="rId1334"/>
    <hyperlink xmlns:r="http://schemas.openxmlformats.org/officeDocument/2006/relationships" ref="R683" r:id="rId1335"/>
    <hyperlink xmlns:r="http://schemas.openxmlformats.org/officeDocument/2006/relationships" ref="Q684" r:id="rId1336"/>
    <hyperlink xmlns:r="http://schemas.openxmlformats.org/officeDocument/2006/relationships" ref="R684" r:id="rId1337"/>
    <hyperlink xmlns:r="http://schemas.openxmlformats.org/officeDocument/2006/relationships" ref="Q685" r:id="rId1338"/>
    <hyperlink xmlns:r="http://schemas.openxmlformats.org/officeDocument/2006/relationships" ref="R685" r:id="rId1339"/>
    <hyperlink xmlns:r="http://schemas.openxmlformats.org/officeDocument/2006/relationships" ref="Q686" r:id="rId1340"/>
    <hyperlink xmlns:r="http://schemas.openxmlformats.org/officeDocument/2006/relationships" ref="R686" r:id="rId1341"/>
    <hyperlink xmlns:r="http://schemas.openxmlformats.org/officeDocument/2006/relationships" ref="Q687" r:id="rId1342"/>
    <hyperlink xmlns:r="http://schemas.openxmlformats.org/officeDocument/2006/relationships" ref="R687" r:id="rId1343"/>
    <hyperlink xmlns:r="http://schemas.openxmlformats.org/officeDocument/2006/relationships" ref="Q688" r:id="rId1344"/>
    <hyperlink xmlns:r="http://schemas.openxmlformats.org/officeDocument/2006/relationships" ref="R688" r:id="rId1345"/>
    <hyperlink xmlns:r="http://schemas.openxmlformats.org/officeDocument/2006/relationships" ref="Q689" r:id="rId1346"/>
    <hyperlink xmlns:r="http://schemas.openxmlformats.org/officeDocument/2006/relationships" ref="R689" r:id="rId1347"/>
    <hyperlink xmlns:r="http://schemas.openxmlformats.org/officeDocument/2006/relationships" ref="Q690" r:id="rId1348"/>
    <hyperlink xmlns:r="http://schemas.openxmlformats.org/officeDocument/2006/relationships" ref="R690" r:id="rId1349"/>
    <hyperlink xmlns:r="http://schemas.openxmlformats.org/officeDocument/2006/relationships" ref="Q691" r:id="rId1350"/>
    <hyperlink xmlns:r="http://schemas.openxmlformats.org/officeDocument/2006/relationships" ref="R691" r:id="rId1351"/>
    <hyperlink xmlns:r="http://schemas.openxmlformats.org/officeDocument/2006/relationships" ref="Q692" r:id="rId1352"/>
    <hyperlink xmlns:r="http://schemas.openxmlformats.org/officeDocument/2006/relationships" ref="R692" r:id="rId1353"/>
    <hyperlink xmlns:r="http://schemas.openxmlformats.org/officeDocument/2006/relationships" ref="Q693" r:id="rId1354"/>
    <hyperlink xmlns:r="http://schemas.openxmlformats.org/officeDocument/2006/relationships" ref="R693" r:id="rId1355"/>
    <hyperlink xmlns:r="http://schemas.openxmlformats.org/officeDocument/2006/relationships" ref="Q694" r:id="rId1356"/>
    <hyperlink xmlns:r="http://schemas.openxmlformats.org/officeDocument/2006/relationships" ref="R694" r:id="rId1357"/>
    <hyperlink xmlns:r="http://schemas.openxmlformats.org/officeDocument/2006/relationships" ref="Q695" r:id="rId1358"/>
    <hyperlink xmlns:r="http://schemas.openxmlformats.org/officeDocument/2006/relationships" ref="R695" r:id="rId1359"/>
    <hyperlink xmlns:r="http://schemas.openxmlformats.org/officeDocument/2006/relationships" ref="Q696" r:id="rId1360"/>
    <hyperlink xmlns:r="http://schemas.openxmlformats.org/officeDocument/2006/relationships" ref="R696" r:id="rId1361"/>
    <hyperlink xmlns:r="http://schemas.openxmlformats.org/officeDocument/2006/relationships" ref="Q697" r:id="rId1362"/>
    <hyperlink xmlns:r="http://schemas.openxmlformats.org/officeDocument/2006/relationships" ref="R697" r:id="rId1363"/>
    <hyperlink xmlns:r="http://schemas.openxmlformats.org/officeDocument/2006/relationships" ref="Q698" r:id="rId1364"/>
    <hyperlink xmlns:r="http://schemas.openxmlformats.org/officeDocument/2006/relationships" ref="R698" r:id="rId1365"/>
    <hyperlink xmlns:r="http://schemas.openxmlformats.org/officeDocument/2006/relationships" ref="Q699" r:id="rId1366"/>
    <hyperlink xmlns:r="http://schemas.openxmlformats.org/officeDocument/2006/relationships" ref="R699" r:id="rId1367"/>
    <hyperlink xmlns:r="http://schemas.openxmlformats.org/officeDocument/2006/relationships" ref="Q700" r:id="rId1368"/>
    <hyperlink xmlns:r="http://schemas.openxmlformats.org/officeDocument/2006/relationships" ref="R700" r:id="rId1369"/>
    <hyperlink xmlns:r="http://schemas.openxmlformats.org/officeDocument/2006/relationships" ref="Q701" r:id="rId1370"/>
    <hyperlink xmlns:r="http://schemas.openxmlformats.org/officeDocument/2006/relationships" ref="R701" r:id="rId1371"/>
    <hyperlink xmlns:r="http://schemas.openxmlformats.org/officeDocument/2006/relationships" ref="Q702" r:id="rId1372"/>
    <hyperlink xmlns:r="http://schemas.openxmlformats.org/officeDocument/2006/relationships" ref="R702" r:id="rId1373"/>
    <hyperlink xmlns:r="http://schemas.openxmlformats.org/officeDocument/2006/relationships" ref="Q703" r:id="rId1374"/>
    <hyperlink xmlns:r="http://schemas.openxmlformats.org/officeDocument/2006/relationships" ref="R703" r:id="rId1375"/>
    <hyperlink xmlns:r="http://schemas.openxmlformats.org/officeDocument/2006/relationships" ref="Q704" r:id="rId1376"/>
    <hyperlink xmlns:r="http://schemas.openxmlformats.org/officeDocument/2006/relationships" ref="R704" r:id="rId1377"/>
    <hyperlink xmlns:r="http://schemas.openxmlformats.org/officeDocument/2006/relationships" ref="Q705" r:id="rId1378"/>
    <hyperlink xmlns:r="http://schemas.openxmlformats.org/officeDocument/2006/relationships" ref="R705" r:id="rId1379"/>
    <hyperlink xmlns:r="http://schemas.openxmlformats.org/officeDocument/2006/relationships" ref="Q706" r:id="rId1380"/>
    <hyperlink xmlns:r="http://schemas.openxmlformats.org/officeDocument/2006/relationships" ref="R706" r:id="rId1381"/>
    <hyperlink xmlns:r="http://schemas.openxmlformats.org/officeDocument/2006/relationships" ref="Q707" r:id="rId1382"/>
    <hyperlink xmlns:r="http://schemas.openxmlformats.org/officeDocument/2006/relationships" ref="R707" r:id="rId1383"/>
    <hyperlink xmlns:r="http://schemas.openxmlformats.org/officeDocument/2006/relationships" ref="Q708" r:id="rId1384"/>
    <hyperlink xmlns:r="http://schemas.openxmlformats.org/officeDocument/2006/relationships" ref="R708" r:id="rId1385"/>
    <hyperlink xmlns:r="http://schemas.openxmlformats.org/officeDocument/2006/relationships" ref="Q709" r:id="rId1386"/>
    <hyperlink xmlns:r="http://schemas.openxmlformats.org/officeDocument/2006/relationships" ref="R709" r:id="rId1387"/>
    <hyperlink xmlns:r="http://schemas.openxmlformats.org/officeDocument/2006/relationships" ref="Q710" r:id="rId1388"/>
    <hyperlink xmlns:r="http://schemas.openxmlformats.org/officeDocument/2006/relationships" ref="R710" r:id="rId1389"/>
    <hyperlink xmlns:r="http://schemas.openxmlformats.org/officeDocument/2006/relationships" ref="Q711" r:id="rId1390"/>
    <hyperlink xmlns:r="http://schemas.openxmlformats.org/officeDocument/2006/relationships" ref="R711" r:id="rId1391"/>
    <hyperlink xmlns:r="http://schemas.openxmlformats.org/officeDocument/2006/relationships" ref="Q712" r:id="rId1392"/>
    <hyperlink xmlns:r="http://schemas.openxmlformats.org/officeDocument/2006/relationships" ref="R712" r:id="rId1393"/>
    <hyperlink xmlns:r="http://schemas.openxmlformats.org/officeDocument/2006/relationships" ref="Q713" r:id="rId1394"/>
    <hyperlink xmlns:r="http://schemas.openxmlformats.org/officeDocument/2006/relationships" ref="R713" r:id="rId1395"/>
    <hyperlink xmlns:r="http://schemas.openxmlformats.org/officeDocument/2006/relationships" ref="Q714" r:id="rId1396"/>
    <hyperlink xmlns:r="http://schemas.openxmlformats.org/officeDocument/2006/relationships" ref="R714" r:id="rId1397"/>
    <hyperlink xmlns:r="http://schemas.openxmlformats.org/officeDocument/2006/relationships" ref="Q715" r:id="rId1398"/>
    <hyperlink xmlns:r="http://schemas.openxmlformats.org/officeDocument/2006/relationships" ref="R715" r:id="rId1399"/>
    <hyperlink xmlns:r="http://schemas.openxmlformats.org/officeDocument/2006/relationships" ref="Q716" r:id="rId1400"/>
    <hyperlink xmlns:r="http://schemas.openxmlformats.org/officeDocument/2006/relationships" ref="R716" r:id="rId1401"/>
    <hyperlink xmlns:r="http://schemas.openxmlformats.org/officeDocument/2006/relationships" ref="Q717" r:id="rId1402"/>
    <hyperlink xmlns:r="http://schemas.openxmlformats.org/officeDocument/2006/relationships" ref="R717" r:id="rId1403"/>
    <hyperlink xmlns:r="http://schemas.openxmlformats.org/officeDocument/2006/relationships" ref="Q718" r:id="rId1404"/>
    <hyperlink xmlns:r="http://schemas.openxmlformats.org/officeDocument/2006/relationships" ref="R718" r:id="rId1405"/>
    <hyperlink xmlns:r="http://schemas.openxmlformats.org/officeDocument/2006/relationships" ref="Q719" r:id="rId1406"/>
    <hyperlink xmlns:r="http://schemas.openxmlformats.org/officeDocument/2006/relationships" ref="R719" r:id="rId1407"/>
    <hyperlink xmlns:r="http://schemas.openxmlformats.org/officeDocument/2006/relationships" ref="Q720" r:id="rId1408"/>
    <hyperlink xmlns:r="http://schemas.openxmlformats.org/officeDocument/2006/relationships" ref="R720" r:id="rId1409"/>
    <hyperlink xmlns:r="http://schemas.openxmlformats.org/officeDocument/2006/relationships" ref="Q721" r:id="rId1410"/>
    <hyperlink xmlns:r="http://schemas.openxmlformats.org/officeDocument/2006/relationships" ref="R721" r:id="rId1411"/>
    <hyperlink xmlns:r="http://schemas.openxmlformats.org/officeDocument/2006/relationships" ref="Q722" r:id="rId1412"/>
    <hyperlink xmlns:r="http://schemas.openxmlformats.org/officeDocument/2006/relationships" ref="R722" r:id="rId1413"/>
    <hyperlink xmlns:r="http://schemas.openxmlformats.org/officeDocument/2006/relationships" ref="Q723" r:id="rId1414"/>
    <hyperlink xmlns:r="http://schemas.openxmlformats.org/officeDocument/2006/relationships" ref="R723" r:id="rId1415"/>
    <hyperlink xmlns:r="http://schemas.openxmlformats.org/officeDocument/2006/relationships" ref="Q724" r:id="rId1416"/>
    <hyperlink xmlns:r="http://schemas.openxmlformats.org/officeDocument/2006/relationships" ref="R724" r:id="rId1417"/>
    <hyperlink xmlns:r="http://schemas.openxmlformats.org/officeDocument/2006/relationships" ref="Q725" r:id="rId1418"/>
    <hyperlink xmlns:r="http://schemas.openxmlformats.org/officeDocument/2006/relationships" ref="R725" r:id="rId1419"/>
    <hyperlink xmlns:r="http://schemas.openxmlformats.org/officeDocument/2006/relationships" ref="Q726" r:id="rId1420"/>
    <hyperlink xmlns:r="http://schemas.openxmlformats.org/officeDocument/2006/relationships" ref="R726" r:id="rId1421"/>
    <hyperlink xmlns:r="http://schemas.openxmlformats.org/officeDocument/2006/relationships" ref="Q727" r:id="rId1422"/>
    <hyperlink xmlns:r="http://schemas.openxmlformats.org/officeDocument/2006/relationships" ref="R727" r:id="rId1423"/>
    <hyperlink xmlns:r="http://schemas.openxmlformats.org/officeDocument/2006/relationships" ref="Q728" r:id="rId1424"/>
    <hyperlink xmlns:r="http://schemas.openxmlformats.org/officeDocument/2006/relationships" ref="R728" r:id="rId1425"/>
    <hyperlink xmlns:r="http://schemas.openxmlformats.org/officeDocument/2006/relationships" ref="Q729" r:id="rId1426"/>
    <hyperlink xmlns:r="http://schemas.openxmlformats.org/officeDocument/2006/relationships" ref="R729" r:id="rId1427"/>
    <hyperlink xmlns:r="http://schemas.openxmlformats.org/officeDocument/2006/relationships" ref="Q730" r:id="rId1428"/>
    <hyperlink xmlns:r="http://schemas.openxmlformats.org/officeDocument/2006/relationships" ref="R730" r:id="rId1429"/>
    <hyperlink xmlns:r="http://schemas.openxmlformats.org/officeDocument/2006/relationships" ref="Q731" r:id="rId1430"/>
    <hyperlink xmlns:r="http://schemas.openxmlformats.org/officeDocument/2006/relationships" ref="R731" r:id="rId1431"/>
    <hyperlink xmlns:r="http://schemas.openxmlformats.org/officeDocument/2006/relationships" ref="Q732" r:id="rId1432"/>
    <hyperlink xmlns:r="http://schemas.openxmlformats.org/officeDocument/2006/relationships" ref="R732" r:id="rId1433"/>
    <hyperlink xmlns:r="http://schemas.openxmlformats.org/officeDocument/2006/relationships" ref="Q733" r:id="rId1434"/>
    <hyperlink xmlns:r="http://schemas.openxmlformats.org/officeDocument/2006/relationships" ref="R733" r:id="rId1435"/>
    <hyperlink xmlns:r="http://schemas.openxmlformats.org/officeDocument/2006/relationships" ref="Q734" r:id="rId1436"/>
    <hyperlink xmlns:r="http://schemas.openxmlformats.org/officeDocument/2006/relationships" ref="R734" r:id="rId1437"/>
    <hyperlink xmlns:r="http://schemas.openxmlformats.org/officeDocument/2006/relationships" ref="Q735" r:id="rId1438"/>
    <hyperlink xmlns:r="http://schemas.openxmlformats.org/officeDocument/2006/relationships" ref="R735" r:id="rId1439"/>
    <hyperlink xmlns:r="http://schemas.openxmlformats.org/officeDocument/2006/relationships" ref="Q736" r:id="rId1440"/>
    <hyperlink xmlns:r="http://schemas.openxmlformats.org/officeDocument/2006/relationships" ref="R736" r:id="rId1441"/>
    <hyperlink xmlns:r="http://schemas.openxmlformats.org/officeDocument/2006/relationships" ref="Q737" r:id="rId1442"/>
    <hyperlink xmlns:r="http://schemas.openxmlformats.org/officeDocument/2006/relationships" ref="R737" r:id="rId1443"/>
    <hyperlink xmlns:r="http://schemas.openxmlformats.org/officeDocument/2006/relationships" ref="Q738" r:id="rId1444"/>
    <hyperlink xmlns:r="http://schemas.openxmlformats.org/officeDocument/2006/relationships" ref="R738" r:id="rId1445"/>
    <hyperlink xmlns:r="http://schemas.openxmlformats.org/officeDocument/2006/relationships" ref="Q739" r:id="rId1446"/>
    <hyperlink xmlns:r="http://schemas.openxmlformats.org/officeDocument/2006/relationships" ref="R739" r:id="rId1447"/>
    <hyperlink xmlns:r="http://schemas.openxmlformats.org/officeDocument/2006/relationships" ref="Q740" r:id="rId1448"/>
    <hyperlink xmlns:r="http://schemas.openxmlformats.org/officeDocument/2006/relationships" ref="R740" r:id="rId1449"/>
    <hyperlink xmlns:r="http://schemas.openxmlformats.org/officeDocument/2006/relationships" ref="Q741" r:id="rId1450"/>
    <hyperlink xmlns:r="http://schemas.openxmlformats.org/officeDocument/2006/relationships" ref="R741" r:id="rId1451"/>
    <hyperlink xmlns:r="http://schemas.openxmlformats.org/officeDocument/2006/relationships" ref="Q742" r:id="rId1452"/>
    <hyperlink xmlns:r="http://schemas.openxmlformats.org/officeDocument/2006/relationships" ref="R742" r:id="rId1453"/>
    <hyperlink xmlns:r="http://schemas.openxmlformats.org/officeDocument/2006/relationships" ref="Q743" r:id="rId1454"/>
    <hyperlink xmlns:r="http://schemas.openxmlformats.org/officeDocument/2006/relationships" ref="R743" r:id="rId1455"/>
    <hyperlink xmlns:r="http://schemas.openxmlformats.org/officeDocument/2006/relationships" ref="Q744" r:id="rId1456"/>
    <hyperlink xmlns:r="http://schemas.openxmlformats.org/officeDocument/2006/relationships" ref="R744" r:id="rId1457"/>
    <hyperlink xmlns:r="http://schemas.openxmlformats.org/officeDocument/2006/relationships" ref="Q745" r:id="rId1458"/>
    <hyperlink xmlns:r="http://schemas.openxmlformats.org/officeDocument/2006/relationships" ref="R745" r:id="rId1459"/>
    <hyperlink xmlns:r="http://schemas.openxmlformats.org/officeDocument/2006/relationships" ref="Q746" r:id="rId1460"/>
    <hyperlink xmlns:r="http://schemas.openxmlformats.org/officeDocument/2006/relationships" ref="R746" r:id="rId1461"/>
    <hyperlink xmlns:r="http://schemas.openxmlformats.org/officeDocument/2006/relationships" ref="Q747" r:id="rId1462"/>
    <hyperlink xmlns:r="http://schemas.openxmlformats.org/officeDocument/2006/relationships" ref="R747" r:id="rId1463"/>
    <hyperlink xmlns:r="http://schemas.openxmlformats.org/officeDocument/2006/relationships" ref="Q748" r:id="rId1464"/>
    <hyperlink xmlns:r="http://schemas.openxmlformats.org/officeDocument/2006/relationships" ref="R748" r:id="rId1465"/>
    <hyperlink xmlns:r="http://schemas.openxmlformats.org/officeDocument/2006/relationships" ref="Q749" r:id="rId1466"/>
    <hyperlink xmlns:r="http://schemas.openxmlformats.org/officeDocument/2006/relationships" ref="R749" r:id="rId1467"/>
    <hyperlink xmlns:r="http://schemas.openxmlformats.org/officeDocument/2006/relationships" ref="Q750" r:id="rId1468"/>
    <hyperlink xmlns:r="http://schemas.openxmlformats.org/officeDocument/2006/relationships" ref="Q751" r:id="rId1469"/>
    <hyperlink xmlns:r="http://schemas.openxmlformats.org/officeDocument/2006/relationships" ref="R751" r:id="rId1470"/>
    <hyperlink xmlns:r="http://schemas.openxmlformats.org/officeDocument/2006/relationships" ref="Q752" r:id="rId1471"/>
    <hyperlink xmlns:r="http://schemas.openxmlformats.org/officeDocument/2006/relationships" ref="R752" r:id="rId1472"/>
    <hyperlink xmlns:r="http://schemas.openxmlformats.org/officeDocument/2006/relationships" ref="Q753" r:id="rId1473"/>
    <hyperlink xmlns:r="http://schemas.openxmlformats.org/officeDocument/2006/relationships" ref="R753" r:id="rId1474"/>
    <hyperlink xmlns:r="http://schemas.openxmlformats.org/officeDocument/2006/relationships" ref="Q754" r:id="rId1475"/>
    <hyperlink xmlns:r="http://schemas.openxmlformats.org/officeDocument/2006/relationships" ref="R754" r:id="rId1476"/>
    <hyperlink xmlns:r="http://schemas.openxmlformats.org/officeDocument/2006/relationships" ref="Q755" r:id="rId1477"/>
    <hyperlink xmlns:r="http://schemas.openxmlformats.org/officeDocument/2006/relationships" ref="R755" r:id="rId1478"/>
    <hyperlink xmlns:r="http://schemas.openxmlformats.org/officeDocument/2006/relationships" ref="Q756" r:id="rId1479"/>
    <hyperlink xmlns:r="http://schemas.openxmlformats.org/officeDocument/2006/relationships" ref="R756" r:id="rId1480"/>
    <hyperlink xmlns:r="http://schemas.openxmlformats.org/officeDocument/2006/relationships" ref="Q757" r:id="rId1481"/>
    <hyperlink xmlns:r="http://schemas.openxmlformats.org/officeDocument/2006/relationships" ref="R757" r:id="rId1482"/>
    <hyperlink xmlns:r="http://schemas.openxmlformats.org/officeDocument/2006/relationships" ref="Q758" r:id="rId1483"/>
    <hyperlink xmlns:r="http://schemas.openxmlformats.org/officeDocument/2006/relationships" ref="R758" r:id="rId1484"/>
    <hyperlink xmlns:r="http://schemas.openxmlformats.org/officeDocument/2006/relationships" ref="Q759" r:id="rId1485"/>
    <hyperlink xmlns:r="http://schemas.openxmlformats.org/officeDocument/2006/relationships" ref="R759" r:id="rId1486"/>
    <hyperlink xmlns:r="http://schemas.openxmlformats.org/officeDocument/2006/relationships" ref="Q760" r:id="rId1487"/>
    <hyperlink xmlns:r="http://schemas.openxmlformats.org/officeDocument/2006/relationships" ref="R760" r:id="rId1488"/>
    <hyperlink xmlns:r="http://schemas.openxmlformats.org/officeDocument/2006/relationships" ref="Q761" r:id="rId1489"/>
    <hyperlink xmlns:r="http://schemas.openxmlformats.org/officeDocument/2006/relationships" ref="R761" r:id="rId1490"/>
    <hyperlink xmlns:r="http://schemas.openxmlformats.org/officeDocument/2006/relationships" ref="Q762" r:id="rId1491"/>
    <hyperlink xmlns:r="http://schemas.openxmlformats.org/officeDocument/2006/relationships" ref="R762" r:id="rId1492"/>
    <hyperlink xmlns:r="http://schemas.openxmlformats.org/officeDocument/2006/relationships" ref="Q763" r:id="rId1493"/>
    <hyperlink xmlns:r="http://schemas.openxmlformats.org/officeDocument/2006/relationships" ref="R763" r:id="rId1494"/>
    <hyperlink xmlns:r="http://schemas.openxmlformats.org/officeDocument/2006/relationships" ref="Q764" r:id="rId1495"/>
    <hyperlink xmlns:r="http://schemas.openxmlformats.org/officeDocument/2006/relationships" ref="R764" r:id="rId1496"/>
    <hyperlink xmlns:r="http://schemas.openxmlformats.org/officeDocument/2006/relationships" ref="Q765" r:id="rId1497"/>
    <hyperlink xmlns:r="http://schemas.openxmlformats.org/officeDocument/2006/relationships" ref="R765" r:id="rId1498"/>
    <hyperlink xmlns:r="http://schemas.openxmlformats.org/officeDocument/2006/relationships" ref="Q766" r:id="rId1499"/>
    <hyperlink xmlns:r="http://schemas.openxmlformats.org/officeDocument/2006/relationships" ref="R766" r:id="rId1500"/>
    <hyperlink xmlns:r="http://schemas.openxmlformats.org/officeDocument/2006/relationships" ref="Q767" r:id="rId1501"/>
    <hyperlink xmlns:r="http://schemas.openxmlformats.org/officeDocument/2006/relationships" ref="R767" r:id="rId1502"/>
    <hyperlink xmlns:r="http://schemas.openxmlformats.org/officeDocument/2006/relationships" ref="Q768" r:id="rId1503"/>
    <hyperlink xmlns:r="http://schemas.openxmlformats.org/officeDocument/2006/relationships" ref="R768" r:id="rId1504"/>
    <hyperlink xmlns:r="http://schemas.openxmlformats.org/officeDocument/2006/relationships" ref="Q769" r:id="rId1505"/>
    <hyperlink xmlns:r="http://schemas.openxmlformats.org/officeDocument/2006/relationships" ref="R769" r:id="rId1506"/>
    <hyperlink xmlns:r="http://schemas.openxmlformats.org/officeDocument/2006/relationships" ref="Q770" r:id="rId1507"/>
    <hyperlink xmlns:r="http://schemas.openxmlformats.org/officeDocument/2006/relationships" ref="R770" r:id="rId1508"/>
    <hyperlink xmlns:r="http://schemas.openxmlformats.org/officeDocument/2006/relationships" ref="Q771" r:id="rId1509"/>
    <hyperlink xmlns:r="http://schemas.openxmlformats.org/officeDocument/2006/relationships" ref="R771" r:id="rId1510"/>
    <hyperlink xmlns:r="http://schemas.openxmlformats.org/officeDocument/2006/relationships" ref="Q772" r:id="rId1511"/>
    <hyperlink xmlns:r="http://schemas.openxmlformats.org/officeDocument/2006/relationships" ref="R772" r:id="rId1512"/>
    <hyperlink xmlns:r="http://schemas.openxmlformats.org/officeDocument/2006/relationships" ref="Q773" r:id="rId1513"/>
    <hyperlink xmlns:r="http://schemas.openxmlformats.org/officeDocument/2006/relationships" ref="R773" r:id="rId1514"/>
    <hyperlink xmlns:r="http://schemas.openxmlformats.org/officeDocument/2006/relationships" ref="Q774" r:id="rId1515"/>
    <hyperlink xmlns:r="http://schemas.openxmlformats.org/officeDocument/2006/relationships" ref="R774" r:id="rId1516"/>
    <hyperlink xmlns:r="http://schemas.openxmlformats.org/officeDocument/2006/relationships" ref="Q775" r:id="rId1517"/>
    <hyperlink xmlns:r="http://schemas.openxmlformats.org/officeDocument/2006/relationships" ref="R775" r:id="rId1518"/>
    <hyperlink xmlns:r="http://schemas.openxmlformats.org/officeDocument/2006/relationships" ref="Q776" r:id="rId1519"/>
    <hyperlink xmlns:r="http://schemas.openxmlformats.org/officeDocument/2006/relationships" ref="R776" r:id="rId1520"/>
    <hyperlink xmlns:r="http://schemas.openxmlformats.org/officeDocument/2006/relationships" ref="Q777" r:id="rId1521"/>
    <hyperlink xmlns:r="http://schemas.openxmlformats.org/officeDocument/2006/relationships" ref="R777" r:id="rId1522"/>
    <hyperlink xmlns:r="http://schemas.openxmlformats.org/officeDocument/2006/relationships" ref="Q778" r:id="rId1523"/>
    <hyperlink xmlns:r="http://schemas.openxmlformats.org/officeDocument/2006/relationships" ref="R778" r:id="rId1524"/>
    <hyperlink xmlns:r="http://schemas.openxmlformats.org/officeDocument/2006/relationships" ref="Q779" r:id="rId1525"/>
    <hyperlink xmlns:r="http://schemas.openxmlformats.org/officeDocument/2006/relationships" ref="R779" r:id="rId1526"/>
    <hyperlink xmlns:r="http://schemas.openxmlformats.org/officeDocument/2006/relationships" ref="Q780" r:id="rId1527"/>
    <hyperlink xmlns:r="http://schemas.openxmlformats.org/officeDocument/2006/relationships" ref="R780" r:id="rId1528"/>
    <hyperlink xmlns:r="http://schemas.openxmlformats.org/officeDocument/2006/relationships" ref="Q781" r:id="rId1529"/>
    <hyperlink xmlns:r="http://schemas.openxmlformats.org/officeDocument/2006/relationships" ref="R781" r:id="rId1530"/>
    <hyperlink xmlns:r="http://schemas.openxmlformats.org/officeDocument/2006/relationships" ref="Q782" r:id="rId1531"/>
    <hyperlink xmlns:r="http://schemas.openxmlformats.org/officeDocument/2006/relationships" ref="R782" r:id="rId1532"/>
    <hyperlink xmlns:r="http://schemas.openxmlformats.org/officeDocument/2006/relationships" ref="Q783" r:id="rId1533"/>
    <hyperlink xmlns:r="http://schemas.openxmlformats.org/officeDocument/2006/relationships" ref="R783" r:id="rId1534"/>
    <hyperlink xmlns:r="http://schemas.openxmlformats.org/officeDocument/2006/relationships" ref="Q784" r:id="rId1535"/>
    <hyperlink xmlns:r="http://schemas.openxmlformats.org/officeDocument/2006/relationships" ref="R784" r:id="rId1536"/>
    <hyperlink xmlns:r="http://schemas.openxmlformats.org/officeDocument/2006/relationships" ref="Q785" r:id="rId1537"/>
    <hyperlink xmlns:r="http://schemas.openxmlformats.org/officeDocument/2006/relationships" ref="R785" r:id="rId1538"/>
    <hyperlink xmlns:r="http://schemas.openxmlformats.org/officeDocument/2006/relationships" ref="Q786" r:id="rId1539"/>
    <hyperlink xmlns:r="http://schemas.openxmlformats.org/officeDocument/2006/relationships" ref="R786" r:id="rId1540"/>
    <hyperlink xmlns:r="http://schemas.openxmlformats.org/officeDocument/2006/relationships" ref="Q787" r:id="rId1541"/>
    <hyperlink xmlns:r="http://schemas.openxmlformats.org/officeDocument/2006/relationships" ref="R787" r:id="rId1542"/>
    <hyperlink xmlns:r="http://schemas.openxmlformats.org/officeDocument/2006/relationships" ref="Q788" r:id="rId1543"/>
    <hyperlink xmlns:r="http://schemas.openxmlformats.org/officeDocument/2006/relationships" ref="R788" r:id="rId1544"/>
    <hyperlink xmlns:r="http://schemas.openxmlformats.org/officeDocument/2006/relationships" ref="Q789" r:id="rId1545"/>
    <hyperlink xmlns:r="http://schemas.openxmlformats.org/officeDocument/2006/relationships" ref="R789" r:id="rId1546"/>
    <hyperlink xmlns:r="http://schemas.openxmlformats.org/officeDocument/2006/relationships" ref="Q790" r:id="rId1547"/>
    <hyperlink xmlns:r="http://schemas.openxmlformats.org/officeDocument/2006/relationships" ref="Q791" r:id="rId1548"/>
    <hyperlink xmlns:r="http://schemas.openxmlformats.org/officeDocument/2006/relationships" ref="R791" r:id="rId1549"/>
    <hyperlink xmlns:r="http://schemas.openxmlformats.org/officeDocument/2006/relationships" ref="Q792" r:id="rId1550"/>
    <hyperlink xmlns:r="http://schemas.openxmlformats.org/officeDocument/2006/relationships" ref="R792" r:id="rId1551"/>
    <hyperlink xmlns:r="http://schemas.openxmlformats.org/officeDocument/2006/relationships" ref="Q793" r:id="rId1552"/>
    <hyperlink xmlns:r="http://schemas.openxmlformats.org/officeDocument/2006/relationships" ref="R793" r:id="rId1553"/>
    <hyperlink xmlns:r="http://schemas.openxmlformats.org/officeDocument/2006/relationships" ref="Q794" r:id="rId1554"/>
    <hyperlink xmlns:r="http://schemas.openxmlformats.org/officeDocument/2006/relationships" ref="R794" r:id="rId1555"/>
    <hyperlink xmlns:r="http://schemas.openxmlformats.org/officeDocument/2006/relationships" ref="Q795" r:id="rId1556"/>
    <hyperlink xmlns:r="http://schemas.openxmlformats.org/officeDocument/2006/relationships" ref="R795" r:id="rId1557"/>
    <hyperlink xmlns:r="http://schemas.openxmlformats.org/officeDocument/2006/relationships" ref="Q796" r:id="rId1558"/>
    <hyperlink xmlns:r="http://schemas.openxmlformats.org/officeDocument/2006/relationships" ref="R796" r:id="rId1559"/>
    <hyperlink xmlns:r="http://schemas.openxmlformats.org/officeDocument/2006/relationships" ref="Q797" r:id="rId1560"/>
    <hyperlink xmlns:r="http://schemas.openxmlformats.org/officeDocument/2006/relationships" ref="Q798" r:id="rId1561"/>
    <hyperlink xmlns:r="http://schemas.openxmlformats.org/officeDocument/2006/relationships" ref="R798" r:id="rId1562"/>
    <hyperlink xmlns:r="http://schemas.openxmlformats.org/officeDocument/2006/relationships" ref="Q799" r:id="rId1563"/>
    <hyperlink xmlns:r="http://schemas.openxmlformats.org/officeDocument/2006/relationships" ref="R799" r:id="rId1564"/>
    <hyperlink xmlns:r="http://schemas.openxmlformats.org/officeDocument/2006/relationships" ref="Q800" r:id="rId1565"/>
    <hyperlink xmlns:r="http://schemas.openxmlformats.org/officeDocument/2006/relationships" ref="R800" r:id="rId1566"/>
    <hyperlink xmlns:r="http://schemas.openxmlformats.org/officeDocument/2006/relationships" ref="Q801" r:id="rId1567"/>
    <hyperlink xmlns:r="http://schemas.openxmlformats.org/officeDocument/2006/relationships" ref="R801" r:id="rId1568"/>
    <hyperlink xmlns:r="http://schemas.openxmlformats.org/officeDocument/2006/relationships" ref="Q802" r:id="rId1569"/>
    <hyperlink xmlns:r="http://schemas.openxmlformats.org/officeDocument/2006/relationships" ref="R802" r:id="rId1570"/>
    <hyperlink xmlns:r="http://schemas.openxmlformats.org/officeDocument/2006/relationships" ref="Q803" r:id="rId1571"/>
    <hyperlink xmlns:r="http://schemas.openxmlformats.org/officeDocument/2006/relationships" ref="R803" r:id="rId1572"/>
    <hyperlink xmlns:r="http://schemas.openxmlformats.org/officeDocument/2006/relationships" ref="Q804" r:id="rId1573"/>
    <hyperlink xmlns:r="http://schemas.openxmlformats.org/officeDocument/2006/relationships" ref="R804" r:id="rId1574"/>
    <hyperlink xmlns:r="http://schemas.openxmlformats.org/officeDocument/2006/relationships" ref="Q805" r:id="rId1575"/>
    <hyperlink xmlns:r="http://schemas.openxmlformats.org/officeDocument/2006/relationships" ref="R805" r:id="rId1576"/>
    <hyperlink xmlns:r="http://schemas.openxmlformats.org/officeDocument/2006/relationships" ref="Q806" r:id="rId1577"/>
    <hyperlink xmlns:r="http://schemas.openxmlformats.org/officeDocument/2006/relationships" ref="R806" r:id="rId1578"/>
    <hyperlink xmlns:r="http://schemas.openxmlformats.org/officeDocument/2006/relationships" ref="Q807" r:id="rId1579"/>
    <hyperlink xmlns:r="http://schemas.openxmlformats.org/officeDocument/2006/relationships" ref="R807" r:id="rId1580"/>
    <hyperlink xmlns:r="http://schemas.openxmlformats.org/officeDocument/2006/relationships" ref="Q808" r:id="rId1581"/>
    <hyperlink xmlns:r="http://schemas.openxmlformats.org/officeDocument/2006/relationships" ref="R808" r:id="rId1582"/>
    <hyperlink xmlns:r="http://schemas.openxmlformats.org/officeDocument/2006/relationships" ref="Q809" r:id="rId1583"/>
    <hyperlink xmlns:r="http://schemas.openxmlformats.org/officeDocument/2006/relationships" ref="R809" r:id="rId1584"/>
    <hyperlink xmlns:r="http://schemas.openxmlformats.org/officeDocument/2006/relationships" ref="Q810" r:id="rId1585"/>
    <hyperlink xmlns:r="http://schemas.openxmlformats.org/officeDocument/2006/relationships" ref="R810" r:id="rId1586"/>
    <hyperlink xmlns:r="http://schemas.openxmlformats.org/officeDocument/2006/relationships" ref="Q811" r:id="rId1587"/>
    <hyperlink xmlns:r="http://schemas.openxmlformats.org/officeDocument/2006/relationships" ref="R811" r:id="rId1588"/>
    <hyperlink xmlns:r="http://schemas.openxmlformats.org/officeDocument/2006/relationships" ref="Q812" r:id="rId1589"/>
    <hyperlink xmlns:r="http://schemas.openxmlformats.org/officeDocument/2006/relationships" ref="R812" r:id="rId1590"/>
    <hyperlink xmlns:r="http://schemas.openxmlformats.org/officeDocument/2006/relationships" ref="Q813" r:id="rId1591"/>
    <hyperlink xmlns:r="http://schemas.openxmlformats.org/officeDocument/2006/relationships" ref="R813" r:id="rId1592"/>
    <hyperlink xmlns:r="http://schemas.openxmlformats.org/officeDocument/2006/relationships" ref="Q814" r:id="rId1593"/>
    <hyperlink xmlns:r="http://schemas.openxmlformats.org/officeDocument/2006/relationships" ref="R814" r:id="rId1594"/>
    <hyperlink xmlns:r="http://schemas.openxmlformats.org/officeDocument/2006/relationships" ref="Q815" r:id="rId1595"/>
    <hyperlink xmlns:r="http://schemas.openxmlformats.org/officeDocument/2006/relationships" ref="R815" r:id="rId1596"/>
    <hyperlink xmlns:r="http://schemas.openxmlformats.org/officeDocument/2006/relationships" ref="Q816" r:id="rId1597"/>
    <hyperlink xmlns:r="http://schemas.openxmlformats.org/officeDocument/2006/relationships" ref="Q817" r:id="rId1598"/>
    <hyperlink xmlns:r="http://schemas.openxmlformats.org/officeDocument/2006/relationships" ref="R817" r:id="rId1599"/>
    <hyperlink xmlns:r="http://schemas.openxmlformats.org/officeDocument/2006/relationships" ref="Q818" r:id="rId1600"/>
    <hyperlink xmlns:r="http://schemas.openxmlformats.org/officeDocument/2006/relationships" ref="R818" r:id="rId1601"/>
    <hyperlink xmlns:r="http://schemas.openxmlformats.org/officeDocument/2006/relationships" ref="Q819" r:id="rId1602"/>
    <hyperlink xmlns:r="http://schemas.openxmlformats.org/officeDocument/2006/relationships" ref="R819" r:id="rId1603"/>
    <hyperlink xmlns:r="http://schemas.openxmlformats.org/officeDocument/2006/relationships" ref="Q820" r:id="rId1604"/>
    <hyperlink xmlns:r="http://schemas.openxmlformats.org/officeDocument/2006/relationships" ref="R820" r:id="rId1605"/>
    <hyperlink xmlns:r="http://schemas.openxmlformats.org/officeDocument/2006/relationships" ref="Q821" r:id="rId1606"/>
    <hyperlink xmlns:r="http://schemas.openxmlformats.org/officeDocument/2006/relationships" ref="R821" r:id="rId1607"/>
    <hyperlink xmlns:r="http://schemas.openxmlformats.org/officeDocument/2006/relationships" ref="Q822" r:id="rId1608"/>
    <hyperlink xmlns:r="http://schemas.openxmlformats.org/officeDocument/2006/relationships" ref="R822" r:id="rId1609"/>
    <hyperlink xmlns:r="http://schemas.openxmlformats.org/officeDocument/2006/relationships" ref="Q823" r:id="rId1610"/>
    <hyperlink xmlns:r="http://schemas.openxmlformats.org/officeDocument/2006/relationships" ref="R823" r:id="rId1611"/>
    <hyperlink xmlns:r="http://schemas.openxmlformats.org/officeDocument/2006/relationships" ref="Q824" r:id="rId1612"/>
    <hyperlink xmlns:r="http://schemas.openxmlformats.org/officeDocument/2006/relationships" ref="R824" r:id="rId1613"/>
    <hyperlink xmlns:r="http://schemas.openxmlformats.org/officeDocument/2006/relationships" ref="Q825" r:id="rId1614"/>
    <hyperlink xmlns:r="http://schemas.openxmlformats.org/officeDocument/2006/relationships" ref="Q826" r:id="rId1615"/>
    <hyperlink xmlns:r="http://schemas.openxmlformats.org/officeDocument/2006/relationships" ref="Q827" r:id="rId1616"/>
    <hyperlink xmlns:r="http://schemas.openxmlformats.org/officeDocument/2006/relationships" ref="R827" r:id="rId1617"/>
    <hyperlink xmlns:r="http://schemas.openxmlformats.org/officeDocument/2006/relationships" ref="Q828" r:id="rId1618"/>
    <hyperlink xmlns:r="http://schemas.openxmlformats.org/officeDocument/2006/relationships" ref="Q829" r:id="rId1619"/>
    <hyperlink xmlns:r="http://schemas.openxmlformats.org/officeDocument/2006/relationships" ref="R829" r:id="rId1620"/>
    <hyperlink xmlns:r="http://schemas.openxmlformats.org/officeDocument/2006/relationships" ref="Q830" r:id="rId1621"/>
    <hyperlink xmlns:r="http://schemas.openxmlformats.org/officeDocument/2006/relationships" ref="R830" r:id="rId1622"/>
    <hyperlink xmlns:r="http://schemas.openxmlformats.org/officeDocument/2006/relationships" ref="Q831" r:id="rId1623"/>
    <hyperlink xmlns:r="http://schemas.openxmlformats.org/officeDocument/2006/relationships" ref="R831" r:id="rId1624"/>
    <hyperlink xmlns:r="http://schemas.openxmlformats.org/officeDocument/2006/relationships" ref="Q832" r:id="rId1625"/>
    <hyperlink xmlns:r="http://schemas.openxmlformats.org/officeDocument/2006/relationships" ref="R832" r:id="rId1626"/>
    <hyperlink xmlns:r="http://schemas.openxmlformats.org/officeDocument/2006/relationships" ref="Q833" r:id="rId1627"/>
    <hyperlink xmlns:r="http://schemas.openxmlformats.org/officeDocument/2006/relationships" ref="R833" r:id="rId1628"/>
    <hyperlink xmlns:r="http://schemas.openxmlformats.org/officeDocument/2006/relationships" ref="Q834" r:id="rId1629"/>
    <hyperlink xmlns:r="http://schemas.openxmlformats.org/officeDocument/2006/relationships" ref="R834" r:id="rId1630"/>
    <hyperlink xmlns:r="http://schemas.openxmlformats.org/officeDocument/2006/relationships" ref="Q835" r:id="rId1631"/>
    <hyperlink xmlns:r="http://schemas.openxmlformats.org/officeDocument/2006/relationships" ref="R835" r:id="rId1632"/>
    <hyperlink xmlns:r="http://schemas.openxmlformats.org/officeDocument/2006/relationships" ref="Q836" r:id="rId1633"/>
    <hyperlink xmlns:r="http://schemas.openxmlformats.org/officeDocument/2006/relationships" ref="R836" r:id="rId1634"/>
    <hyperlink xmlns:r="http://schemas.openxmlformats.org/officeDocument/2006/relationships" ref="Q837" r:id="rId1635"/>
    <hyperlink xmlns:r="http://schemas.openxmlformats.org/officeDocument/2006/relationships" ref="R837" r:id="rId1636"/>
    <hyperlink xmlns:r="http://schemas.openxmlformats.org/officeDocument/2006/relationships" ref="Q838" r:id="rId1637"/>
    <hyperlink xmlns:r="http://schemas.openxmlformats.org/officeDocument/2006/relationships" ref="R838" r:id="rId1638"/>
    <hyperlink xmlns:r="http://schemas.openxmlformats.org/officeDocument/2006/relationships" ref="Q839" r:id="rId1639"/>
    <hyperlink xmlns:r="http://schemas.openxmlformats.org/officeDocument/2006/relationships" ref="R839" r:id="rId1640"/>
    <hyperlink xmlns:r="http://schemas.openxmlformats.org/officeDocument/2006/relationships" ref="Q840" r:id="rId1641"/>
    <hyperlink xmlns:r="http://schemas.openxmlformats.org/officeDocument/2006/relationships" ref="R840" r:id="rId1642"/>
    <hyperlink xmlns:r="http://schemas.openxmlformats.org/officeDocument/2006/relationships" ref="Q841" r:id="rId1643"/>
    <hyperlink xmlns:r="http://schemas.openxmlformats.org/officeDocument/2006/relationships" ref="R841" r:id="rId1644"/>
    <hyperlink xmlns:r="http://schemas.openxmlformats.org/officeDocument/2006/relationships" ref="Q842" r:id="rId1645"/>
    <hyperlink xmlns:r="http://schemas.openxmlformats.org/officeDocument/2006/relationships" ref="R842" r:id="rId1646"/>
    <hyperlink xmlns:r="http://schemas.openxmlformats.org/officeDocument/2006/relationships" ref="Q843" r:id="rId1647"/>
    <hyperlink xmlns:r="http://schemas.openxmlformats.org/officeDocument/2006/relationships" ref="R843" r:id="rId1648"/>
    <hyperlink xmlns:r="http://schemas.openxmlformats.org/officeDocument/2006/relationships" ref="Q844" r:id="rId1649"/>
    <hyperlink xmlns:r="http://schemas.openxmlformats.org/officeDocument/2006/relationships" ref="Q845" r:id="rId1650"/>
    <hyperlink xmlns:r="http://schemas.openxmlformats.org/officeDocument/2006/relationships" ref="R845" r:id="rId1651"/>
    <hyperlink xmlns:r="http://schemas.openxmlformats.org/officeDocument/2006/relationships" ref="Q846" r:id="rId1652"/>
    <hyperlink xmlns:r="http://schemas.openxmlformats.org/officeDocument/2006/relationships" ref="R846" r:id="rId1653"/>
    <hyperlink xmlns:r="http://schemas.openxmlformats.org/officeDocument/2006/relationships" ref="Q847" r:id="rId1654"/>
    <hyperlink xmlns:r="http://schemas.openxmlformats.org/officeDocument/2006/relationships" ref="R847" r:id="rId1655"/>
    <hyperlink xmlns:r="http://schemas.openxmlformats.org/officeDocument/2006/relationships" ref="Q848" r:id="rId1656"/>
    <hyperlink xmlns:r="http://schemas.openxmlformats.org/officeDocument/2006/relationships" ref="R848" r:id="rId1657"/>
    <hyperlink xmlns:r="http://schemas.openxmlformats.org/officeDocument/2006/relationships" ref="Q849" r:id="rId1658"/>
    <hyperlink xmlns:r="http://schemas.openxmlformats.org/officeDocument/2006/relationships" ref="R849" r:id="rId1659"/>
    <hyperlink xmlns:r="http://schemas.openxmlformats.org/officeDocument/2006/relationships" ref="Q850" r:id="rId1660"/>
    <hyperlink xmlns:r="http://schemas.openxmlformats.org/officeDocument/2006/relationships" ref="R850" r:id="rId1661"/>
    <hyperlink xmlns:r="http://schemas.openxmlformats.org/officeDocument/2006/relationships" ref="Q851" r:id="rId1662"/>
    <hyperlink xmlns:r="http://schemas.openxmlformats.org/officeDocument/2006/relationships" ref="R851" r:id="rId1663"/>
    <hyperlink xmlns:r="http://schemas.openxmlformats.org/officeDocument/2006/relationships" ref="Q852" r:id="rId1664"/>
    <hyperlink xmlns:r="http://schemas.openxmlformats.org/officeDocument/2006/relationships" ref="R852" r:id="rId1665"/>
    <hyperlink xmlns:r="http://schemas.openxmlformats.org/officeDocument/2006/relationships" ref="Q853" r:id="rId1666"/>
    <hyperlink xmlns:r="http://schemas.openxmlformats.org/officeDocument/2006/relationships" ref="R853" r:id="rId1667"/>
    <hyperlink xmlns:r="http://schemas.openxmlformats.org/officeDocument/2006/relationships" ref="Q854" r:id="rId1668"/>
    <hyperlink xmlns:r="http://schemas.openxmlformats.org/officeDocument/2006/relationships" ref="R854" r:id="rId1669"/>
    <hyperlink xmlns:r="http://schemas.openxmlformats.org/officeDocument/2006/relationships" ref="Q855" r:id="rId1670"/>
    <hyperlink xmlns:r="http://schemas.openxmlformats.org/officeDocument/2006/relationships" ref="R855" r:id="rId1671"/>
    <hyperlink xmlns:r="http://schemas.openxmlformats.org/officeDocument/2006/relationships" ref="Q856" r:id="rId1672"/>
    <hyperlink xmlns:r="http://schemas.openxmlformats.org/officeDocument/2006/relationships" ref="R856" r:id="rId1673"/>
    <hyperlink xmlns:r="http://schemas.openxmlformats.org/officeDocument/2006/relationships" ref="Q857" r:id="rId1674"/>
    <hyperlink xmlns:r="http://schemas.openxmlformats.org/officeDocument/2006/relationships" ref="R857" r:id="rId1675"/>
    <hyperlink xmlns:r="http://schemas.openxmlformats.org/officeDocument/2006/relationships" ref="Q858" r:id="rId1676"/>
    <hyperlink xmlns:r="http://schemas.openxmlformats.org/officeDocument/2006/relationships" ref="R858" r:id="rId1677"/>
    <hyperlink xmlns:r="http://schemas.openxmlformats.org/officeDocument/2006/relationships" ref="Q859" r:id="rId1678"/>
    <hyperlink xmlns:r="http://schemas.openxmlformats.org/officeDocument/2006/relationships" ref="R859" r:id="rId1679"/>
    <hyperlink xmlns:r="http://schemas.openxmlformats.org/officeDocument/2006/relationships" ref="Q860" r:id="rId1680"/>
    <hyperlink xmlns:r="http://schemas.openxmlformats.org/officeDocument/2006/relationships" ref="R860" r:id="rId1681"/>
    <hyperlink xmlns:r="http://schemas.openxmlformats.org/officeDocument/2006/relationships" ref="Q861" r:id="rId1682"/>
    <hyperlink xmlns:r="http://schemas.openxmlformats.org/officeDocument/2006/relationships" ref="R861" r:id="rId1683"/>
    <hyperlink xmlns:r="http://schemas.openxmlformats.org/officeDocument/2006/relationships" ref="Q862" r:id="rId1684"/>
    <hyperlink xmlns:r="http://schemas.openxmlformats.org/officeDocument/2006/relationships" ref="R862" r:id="rId1685"/>
    <hyperlink xmlns:r="http://schemas.openxmlformats.org/officeDocument/2006/relationships" ref="Q863" r:id="rId1686"/>
    <hyperlink xmlns:r="http://schemas.openxmlformats.org/officeDocument/2006/relationships" ref="R863" r:id="rId1687"/>
    <hyperlink xmlns:r="http://schemas.openxmlformats.org/officeDocument/2006/relationships" ref="Q864" r:id="rId1688"/>
    <hyperlink xmlns:r="http://schemas.openxmlformats.org/officeDocument/2006/relationships" ref="R864" r:id="rId1689"/>
    <hyperlink xmlns:r="http://schemas.openxmlformats.org/officeDocument/2006/relationships" ref="Q865" r:id="rId1690"/>
    <hyperlink xmlns:r="http://schemas.openxmlformats.org/officeDocument/2006/relationships" ref="R865" r:id="rId1691"/>
    <hyperlink xmlns:r="http://schemas.openxmlformats.org/officeDocument/2006/relationships" ref="Q866" r:id="rId1692"/>
    <hyperlink xmlns:r="http://schemas.openxmlformats.org/officeDocument/2006/relationships" ref="R866" r:id="rId1693"/>
    <hyperlink xmlns:r="http://schemas.openxmlformats.org/officeDocument/2006/relationships" ref="Q867" r:id="rId1694"/>
    <hyperlink xmlns:r="http://schemas.openxmlformats.org/officeDocument/2006/relationships" ref="R867" r:id="rId1695"/>
    <hyperlink xmlns:r="http://schemas.openxmlformats.org/officeDocument/2006/relationships" ref="Q868" r:id="rId1696"/>
    <hyperlink xmlns:r="http://schemas.openxmlformats.org/officeDocument/2006/relationships" ref="R868" r:id="rId1697"/>
    <hyperlink xmlns:r="http://schemas.openxmlformats.org/officeDocument/2006/relationships" ref="Q869" r:id="rId1698"/>
    <hyperlink xmlns:r="http://schemas.openxmlformats.org/officeDocument/2006/relationships" ref="R869" r:id="rId1699"/>
    <hyperlink xmlns:r="http://schemas.openxmlformats.org/officeDocument/2006/relationships" ref="Q870" r:id="rId1700"/>
    <hyperlink xmlns:r="http://schemas.openxmlformats.org/officeDocument/2006/relationships" ref="R870" r:id="rId1701"/>
    <hyperlink xmlns:r="http://schemas.openxmlformats.org/officeDocument/2006/relationships" ref="Q871" r:id="rId1702"/>
    <hyperlink xmlns:r="http://schemas.openxmlformats.org/officeDocument/2006/relationships" ref="R871" r:id="rId1703"/>
    <hyperlink xmlns:r="http://schemas.openxmlformats.org/officeDocument/2006/relationships" ref="Q872" r:id="rId1704"/>
    <hyperlink xmlns:r="http://schemas.openxmlformats.org/officeDocument/2006/relationships" ref="R872" r:id="rId1705"/>
    <hyperlink xmlns:r="http://schemas.openxmlformats.org/officeDocument/2006/relationships" ref="Q873" r:id="rId1706"/>
    <hyperlink xmlns:r="http://schemas.openxmlformats.org/officeDocument/2006/relationships" ref="R873" r:id="rId1707"/>
    <hyperlink xmlns:r="http://schemas.openxmlformats.org/officeDocument/2006/relationships" ref="Q874" r:id="rId1708"/>
    <hyperlink xmlns:r="http://schemas.openxmlformats.org/officeDocument/2006/relationships" ref="Q875" r:id="rId1709"/>
    <hyperlink xmlns:r="http://schemas.openxmlformats.org/officeDocument/2006/relationships" ref="R875" r:id="rId1710"/>
    <hyperlink xmlns:r="http://schemas.openxmlformats.org/officeDocument/2006/relationships" ref="Q876" r:id="rId1711"/>
    <hyperlink xmlns:r="http://schemas.openxmlformats.org/officeDocument/2006/relationships" ref="R876" r:id="rId1712"/>
    <hyperlink xmlns:r="http://schemas.openxmlformats.org/officeDocument/2006/relationships" ref="Q877" r:id="rId1713"/>
    <hyperlink xmlns:r="http://schemas.openxmlformats.org/officeDocument/2006/relationships" ref="R877" r:id="rId1714"/>
    <hyperlink xmlns:r="http://schemas.openxmlformats.org/officeDocument/2006/relationships" ref="Q878" r:id="rId1715"/>
    <hyperlink xmlns:r="http://schemas.openxmlformats.org/officeDocument/2006/relationships" ref="R878" r:id="rId1716"/>
    <hyperlink xmlns:r="http://schemas.openxmlformats.org/officeDocument/2006/relationships" ref="Q879" r:id="rId1717"/>
    <hyperlink xmlns:r="http://schemas.openxmlformats.org/officeDocument/2006/relationships" ref="R879" r:id="rId1718"/>
    <hyperlink xmlns:r="http://schemas.openxmlformats.org/officeDocument/2006/relationships" ref="Q880" r:id="rId1719"/>
    <hyperlink xmlns:r="http://schemas.openxmlformats.org/officeDocument/2006/relationships" ref="R880" r:id="rId1720"/>
    <hyperlink xmlns:r="http://schemas.openxmlformats.org/officeDocument/2006/relationships" ref="Q881" r:id="rId1721"/>
    <hyperlink xmlns:r="http://schemas.openxmlformats.org/officeDocument/2006/relationships" ref="R881" r:id="rId1722"/>
    <hyperlink xmlns:r="http://schemas.openxmlformats.org/officeDocument/2006/relationships" ref="Q882" r:id="rId1723"/>
    <hyperlink xmlns:r="http://schemas.openxmlformats.org/officeDocument/2006/relationships" ref="R882" r:id="rId1724"/>
    <hyperlink xmlns:r="http://schemas.openxmlformats.org/officeDocument/2006/relationships" ref="Q883" r:id="rId1725"/>
    <hyperlink xmlns:r="http://schemas.openxmlformats.org/officeDocument/2006/relationships" ref="R883" r:id="rId1726"/>
    <hyperlink xmlns:r="http://schemas.openxmlformats.org/officeDocument/2006/relationships" ref="Q884" r:id="rId1727"/>
    <hyperlink xmlns:r="http://schemas.openxmlformats.org/officeDocument/2006/relationships" ref="R884" r:id="rId1728"/>
    <hyperlink xmlns:r="http://schemas.openxmlformats.org/officeDocument/2006/relationships" ref="Q885" r:id="rId1729"/>
    <hyperlink xmlns:r="http://schemas.openxmlformats.org/officeDocument/2006/relationships" ref="R885" r:id="rId1730"/>
    <hyperlink xmlns:r="http://schemas.openxmlformats.org/officeDocument/2006/relationships" ref="Q886" r:id="rId1731"/>
    <hyperlink xmlns:r="http://schemas.openxmlformats.org/officeDocument/2006/relationships" ref="R886" r:id="rId1732"/>
    <hyperlink xmlns:r="http://schemas.openxmlformats.org/officeDocument/2006/relationships" ref="Q887" r:id="rId1733"/>
    <hyperlink xmlns:r="http://schemas.openxmlformats.org/officeDocument/2006/relationships" ref="R887" r:id="rId1734"/>
    <hyperlink xmlns:r="http://schemas.openxmlformats.org/officeDocument/2006/relationships" ref="Q888" r:id="rId1735"/>
    <hyperlink xmlns:r="http://schemas.openxmlformats.org/officeDocument/2006/relationships" ref="R888" r:id="rId1736"/>
    <hyperlink xmlns:r="http://schemas.openxmlformats.org/officeDocument/2006/relationships" ref="Q889" r:id="rId1737"/>
    <hyperlink xmlns:r="http://schemas.openxmlformats.org/officeDocument/2006/relationships" ref="R889" r:id="rId1738"/>
    <hyperlink xmlns:r="http://schemas.openxmlformats.org/officeDocument/2006/relationships" ref="Q890" r:id="rId1739"/>
    <hyperlink xmlns:r="http://schemas.openxmlformats.org/officeDocument/2006/relationships" ref="R890" r:id="rId1740"/>
    <hyperlink xmlns:r="http://schemas.openxmlformats.org/officeDocument/2006/relationships" ref="Q891" r:id="rId1741"/>
    <hyperlink xmlns:r="http://schemas.openxmlformats.org/officeDocument/2006/relationships" ref="Q892" r:id="rId1742"/>
    <hyperlink xmlns:r="http://schemas.openxmlformats.org/officeDocument/2006/relationships" ref="R892" r:id="rId1743"/>
    <hyperlink xmlns:r="http://schemas.openxmlformats.org/officeDocument/2006/relationships" ref="Q893" r:id="rId1744"/>
    <hyperlink xmlns:r="http://schemas.openxmlformats.org/officeDocument/2006/relationships" ref="R893" r:id="rId1745"/>
    <hyperlink xmlns:r="http://schemas.openxmlformats.org/officeDocument/2006/relationships" ref="Q894" r:id="rId1746"/>
    <hyperlink xmlns:r="http://schemas.openxmlformats.org/officeDocument/2006/relationships" ref="R894" r:id="rId1747"/>
    <hyperlink xmlns:r="http://schemas.openxmlformats.org/officeDocument/2006/relationships" ref="Q895" r:id="rId1748"/>
    <hyperlink xmlns:r="http://schemas.openxmlformats.org/officeDocument/2006/relationships" ref="R895" r:id="rId1749"/>
    <hyperlink xmlns:r="http://schemas.openxmlformats.org/officeDocument/2006/relationships" ref="Q896" r:id="rId1750"/>
    <hyperlink xmlns:r="http://schemas.openxmlformats.org/officeDocument/2006/relationships" ref="R896" r:id="rId1751"/>
    <hyperlink xmlns:r="http://schemas.openxmlformats.org/officeDocument/2006/relationships" ref="Q897" r:id="rId1752"/>
    <hyperlink xmlns:r="http://schemas.openxmlformats.org/officeDocument/2006/relationships" ref="R897" r:id="rId1753"/>
    <hyperlink xmlns:r="http://schemas.openxmlformats.org/officeDocument/2006/relationships" ref="Q898" r:id="rId1754"/>
    <hyperlink xmlns:r="http://schemas.openxmlformats.org/officeDocument/2006/relationships" ref="R898" r:id="rId1755"/>
    <hyperlink xmlns:r="http://schemas.openxmlformats.org/officeDocument/2006/relationships" ref="Q899" r:id="rId1756"/>
    <hyperlink xmlns:r="http://schemas.openxmlformats.org/officeDocument/2006/relationships" ref="R899" r:id="rId1757"/>
    <hyperlink xmlns:r="http://schemas.openxmlformats.org/officeDocument/2006/relationships" ref="Q900" r:id="rId1758"/>
    <hyperlink xmlns:r="http://schemas.openxmlformats.org/officeDocument/2006/relationships" ref="R900" r:id="rId1759"/>
    <hyperlink xmlns:r="http://schemas.openxmlformats.org/officeDocument/2006/relationships" ref="Q901" r:id="rId1760"/>
    <hyperlink xmlns:r="http://schemas.openxmlformats.org/officeDocument/2006/relationships" ref="R901" r:id="rId1761"/>
    <hyperlink xmlns:r="http://schemas.openxmlformats.org/officeDocument/2006/relationships" ref="Q902" r:id="rId1762"/>
    <hyperlink xmlns:r="http://schemas.openxmlformats.org/officeDocument/2006/relationships" ref="R902" r:id="rId1763"/>
    <hyperlink xmlns:r="http://schemas.openxmlformats.org/officeDocument/2006/relationships" ref="Q903" r:id="rId1764"/>
    <hyperlink xmlns:r="http://schemas.openxmlformats.org/officeDocument/2006/relationships" ref="R903" r:id="rId1765"/>
    <hyperlink xmlns:r="http://schemas.openxmlformats.org/officeDocument/2006/relationships" ref="Q904" r:id="rId1766"/>
    <hyperlink xmlns:r="http://schemas.openxmlformats.org/officeDocument/2006/relationships" ref="R904" r:id="rId1767"/>
    <hyperlink xmlns:r="http://schemas.openxmlformats.org/officeDocument/2006/relationships" ref="Q905" r:id="rId1768"/>
    <hyperlink xmlns:r="http://schemas.openxmlformats.org/officeDocument/2006/relationships" ref="R905" r:id="rId1769"/>
    <hyperlink xmlns:r="http://schemas.openxmlformats.org/officeDocument/2006/relationships" ref="Q906" r:id="rId1770"/>
    <hyperlink xmlns:r="http://schemas.openxmlformats.org/officeDocument/2006/relationships" ref="R906" r:id="rId1771"/>
    <hyperlink xmlns:r="http://schemas.openxmlformats.org/officeDocument/2006/relationships" ref="Q907" r:id="rId1772"/>
    <hyperlink xmlns:r="http://schemas.openxmlformats.org/officeDocument/2006/relationships" ref="R907" r:id="rId1773"/>
    <hyperlink xmlns:r="http://schemas.openxmlformats.org/officeDocument/2006/relationships" ref="Q908" r:id="rId1774"/>
    <hyperlink xmlns:r="http://schemas.openxmlformats.org/officeDocument/2006/relationships" ref="R908" r:id="rId1775"/>
    <hyperlink xmlns:r="http://schemas.openxmlformats.org/officeDocument/2006/relationships" ref="Q909" r:id="rId1776"/>
    <hyperlink xmlns:r="http://schemas.openxmlformats.org/officeDocument/2006/relationships" ref="R909" r:id="rId1777"/>
    <hyperlink xmlns:r="http://schemas.openxmlformats.org/officeDocument/2006/relationships" ref="Q910" r:id="rId1778"/>
    <hyperlink xmlns:r="http://schemas.openxmlformats.org/officeDocument/2006/relationships" ref="R910" r:id="rId1779"/>
    <hyperlink xmlns:r="http://schemas.openxmlformats.org/officeDocument/2006/relationships" ref="Q911" r:id="rId1780"/>
    <hyperlink xmlns:r="http://schemas.openxmlformats.org/officeDocument/2006/relationships" ref="R911" r:id="rId1781"/>
    <hyperlink xmlns:r="http://schemas.openxmlformats.org/officeDocument/2006/relationships" ref="Q912" r:id="rId1782"/>
    <hyperlink xmlns:r="http://schemas.openxmlformats.org/officeDocument/2006/relationships" ref="R912" r:id="rId1783"/>
    <hyperlink xmlns:r="http://schemas.openxmlformats.org/officeDocument/2006/relationships" ref="Q913" r:id="rId1784"/>
    <hyperlink xmlns:r="http://schemas.openxmlformats.org/officeDocument/2006/relationships" ref="R913" r:id="rId1785"/>
    <hyperlink xmlns:r="http://schemas.openxmlformats.org/officeDocument/2006/relationships" ref="Q914" r:id="rId1786"/>
    <hyperlink xmlns:r="http://schemas.openxmlformats.org/officeDocument/2006/relationships" ref="R914" r:id="rId1787"/>
    <hyperlink xmlns:r="http://schemas.openxmlformats.org/officeDocument/2006/relationships" ref="Q915" r:id="rId1788"/>
    <hyperlink xmlns:r="http://schemas.openxmlformats.org/officeDocument/2006/relationships" ref="R915" r:id="rId1789"/>
    <hyperlink xmlns:r="http://schemas.openxmlformats.org/officeDocument/2006/relationships" ref="Q916" r:id="rId1790"/>
    <hyperlink xmlns:r="http://schemas.openxmlformats.org/officeDocument/2006/relationships" ref="R916" r:id="rId1791"/>
    <hyperlink xmlns:r="http://schemas.openxmlformats.org/officeDocument/2006/relationships" ref="Q917" r:id="rId1792"/>
    <hyperlink xmlns:r="http://schemas.openxmlformats.org/officeDocument/2006/relationships" ref="R917" r:id="rId1793"/>
    <hyperlink xmlns:r="http://schemas.openxmlformats.org/officeDocument/2006/relationships" ref="Q918" r:id="rId1794"/>
    <hyperlink xmlns:r="http://schemas.openxmlformats.org/officeDocument/2006/relationships" ref="R918" r:id="rId1795"/>
    <hyperlink xmlns:r="http://schemas.openxmlformats.org/officeDocument/2006/relationships" ref="Q919" r:id="rId1796"/>
    <hyperlink xmlns:r="http://schemas.openxmlformats.org/officeDocument/2006/relationships" ref="R919" r:id="rId1797"/>
    <hyperlink xmlns:r="http://schemas.openxmlformats.org/officeDocument/2006/relationships" ref="Q920" r:id="rId1798"/>
    <hyperlink xmlns:r="http://schemas.openxmlformats.org/officeDocument/2006/relationships" ref="R920" r:id="rId1799"/>
    <hyperlink xmlns:r="http://schemas.openxmlformats.org/officeDocument/2006/relationships" ref="Q921" r:id="rId1800"/>
    <hyperlink xmlns:r="http://schemas.openxmlformats.org/officeDocument/2006/relationships" ref="R921" r:id="rId1801"/>
    <hyperlink xmlns:r="http://schemas.openxmlformats.org/officeDocument/2006/relationships" ref="Q922" r:id="rId1802"/>
    <hyperlink xmlns:r="http://schemas.openxmlformats.org/officeDocument/2006/relationships" ref="R922" r:id="rId1803"/>
    <hyperlink xmlns:r="http://schemas.openxmlformats.org/officeDocument/2006/relationships" ref="Q923" r:id="rId1804"/>
    <hyperlink xmlns:r="http://schemas.openxmlformats.org/officeDocument/2006/relationships" ref="R923" r:id="rId1805"/>
    <hyperlink xmlns:r="http://schemas.openxmlformats.org/officeDocument/2006/relationships" ref="Q924" r:id="rId1806"/>
    <hyperlink xmlns:r="http://schemas.openxmlformats.org/officeDocument/2006/relationships" ref="R924" r:id="rId1807"/>
    <hyperlink xmlns:r="http://schemas.openxmlformats.org/officeDocument/2006/relationships" ref="Q925" r:id="rId1808"/>
    <hyperlink xmlns:r="http://schemas.openxmlformats.org/officeDocument/2006/relationships" ref="R925" r:id="rId1809"/>
    <hyperlink xmlns:r="http://schemas.openxmlformats.org/officeDocument/2006/relationships" ref="Q926" r:id="rId1810"/>
    <hyperlink xmlns:r="http://schemas.openxmlformats.org/officeDocument/2006/relationships" ref="R926" r:id="rId1811"/>
    <hyperlink xmlns:r="http://schemas.openxmlformats.org/officeDocument/2006/relationships" ref="Q927" r:id="rId1812"/>
    <hyperlink xmlns:r="http://schemas.openxmlformats.org/officeDocument/2006/relationships" ref="R927" r:id="rId1813"/>
    <hyperlink xmlns:r="http://schemas.openxmlformats.org/officeDocument/2006/relationships" ref="Q928" r:id="rId1814"/>
    <hyperlink xmlns:r="http://schemas.openxmlformats.org/officeDocument/2006/relationships" ref="R928" r:id="rId1815"/>
    <hyperlink xmlns:r="http://schemas.openxmlformats.org/officeDocument/2006/relationships" ref="Q929" r:id="rId1816"/>
    <hyperlink xmlns:r="http://schemas.openxmlformats.org/officeDocument/2006/relationships" ref="R929" r:id="rId1817"/>
    <hyperlink xmlns:r="http://schemas.openxmlformats.org/officeDocument/2006/relationships" ref="Q930" r:id="rId1818"/>
    <hyperlink xmlns:r="http://schemas.openxmlformats.org/officeDocument/2006/relationships" ref="R930" r:id="rId1819"/>
    <hyperlink xmlns:r="http://schemas.openxmlformats.org/officeDocument/2006/relationships" ref="Q931" r:id="rId1820"/>
    <hyperlink xmlns:r="http://schemas.openxmlformats.org/officeDocument/2006/relationships" ref="R931" r:id="rId1821"/>
    <hyperlink xmlns:r="http://schemas.openxmlformats.org/officeDocument/2006/relationships" ref="Q932" r:id="rId1822"/>
    <hyperlink xmlns:r="http://schemas.openxmlformats.org/officeDocument/2006/relationships" ref="R932" r:id="rId1823"/>
    <hyperlink xmlns:r="http://schemas.openxmlformats.org/officeDocument/2006/relationships" ref="Q933" r:id="rId1824"/>
    <hyperlink xmlns:r="http://schemas.openxmlformats.org/officeDocument/2006/relationships" ref="R933" r:id="rId1825"/>
    <hyperlink xmlns:r="http://schemas.openxmlformats.org/officeDocument/2006/relationships" ref="Q934" r:id="rId1826"/>
    <hyperlink xmlns:r="http://schemas.openxmlformats.org/officeDocument/2006/relationships" ref="R934" r:id="rId1827"/>
    <hyperlink xmlns:r="http://schemas.openxmlformats.org/officeDocument/2006/relationships" ref="Q935" r:id="rId1828"/>
    <hyperlink xmlns:r="http://schemas.openxmlformats.org/officeDocument/2006/relationships" ref="R935" r:id="rId1829"/>
    <hyperlink xmlns:r="http://schemas.openxmlformats.org/officeDocument/2006/relationships" ref="Q936" r:id="rId1830"/>
    <hyperlink xmlns:r="http://schemas.openxmlformats.org/officeDocument/2006/relationships" ref="R936" r:id="rId1831"/>
    <hyperlink xmlns:r="http://schemas.openxmlformats.org/officeDocument/2006/relationships" ref="Q937" r:id="rId1832"/>
    <hyperlink xmlns:r="http://schemas.openxmlformats.org/officeDocument/2006/relationships" ref="R937" r:id="rId1833"/>
    <hyperlink xmlns:r="http://schemas.openxmlformats.org/officeDocument/2006/relationships" ref="Q938" r:id="rId1834"/>
    <hyperlink xmlns:r="http://schemas.openxmlformats.org/officeDocument/2006/relationships" ref="R938" r:id="rId1835"/>
    <hyperlink xmlns:r="http://schemas.openxmlformats.org/officeDocument/2006/relationships" ref="Q939" r:id="rId1836"/>
    <hyperlink xmlns:r="http://schemas.openxmlformats.org/officeDocument/2006/relationships" ref="R939" r:id="rId1837"/>
    <hyperlink xmlns:r="http://schemas.openxmlformats.org/officeDocument/2006/relationships" ref="Q940" r:id="rId1838"/>
    <hyperlink xmlns:r="http://schemas.openxmlformats.org/officeDocument/2006/relationships" ref="R940" r:id="rId1839"/>
    <hyperlink xmlns:r="http://schemas.openxmlformats.org/officeDocument/2006/relationships" ref="Q941" r:id="rId1840"/>
    <hyperlink xmlns:r="http://schemas.openxmlformats.org/officeDocument/2006/relationships" ref="R941" r:id="rId1841"/>
    <hyperlink xmlns:r="http://schemas.openxmlformats.org/officeDocument/2006/relationships" ref="Q942" r:id="rId1842"/>
    <hyperlink xmlns:r="http://schemas.openxmlformats.org/officeDocument/2006/relationships" ref="Q943" r:id="rId1843"/>
    <hyperlink xmlns:r="http://schemas.openxmlformats.org/officeDocument/2006/relationships" ref="R943" r:id="rId1844"/>
    <hyperlink xmlns:r="http://schemas.openxmlformats.org/officeDocument/2006/relationships" ref="Q944" r:id="rId1845"/>
    <hyperlink xmlns:r="http://schemas.openxmlformats.org/officeDocument/2006/relationships" ref="R944" r:id="rId1846"/>
    <hyperlink xmlns:r="http://schemas.openxmlformats.org/officeDocument/2006/relationships" ref="Q945" r:id="rId1847"/>
    <hyperlink xmlns:r="http://schemas.openxmlformats.org/officeDocument/2006/relationships" ref="R945" r:id="rId1848"/>
    <hyperlink xmlns:r="http://schemas.openxmlformats.org/officeDocument/2006/relationships" ref="Q946" r:id="rId1849"/>
    <hyperlink xmlns:r="http://schemas.openxmlformats.org/officeDocument/2006/relationships" ref="R946" r:id="rId1850"/>
    <hyperlink xmlns:r="http://schemas.openxmlformats.org/officeDocument/2006/relationships" ref="Q947" r:id="rId1851"/>
    <hyperlink xmlns:r="http://schemas.openxmlformats.org/officeDocument/2006/relationships" ref="R947" r:id="rId1852"/>
    <hyperlink xmlns:r="http://schemas.openxmlformats.org/officeDocument/2006/relationships" ref="Q948" r:id="rId1853"/>
    <hyperlink xmlns:r="http://schemas.openxmlformats.org/officeDocument/2006/relationships" ref="R948" r:id="rId1854"/>
    <hyperlink xmlns:r="http://schemas.openxmlformats.org/officeDocument/2006/relationships" ref="Q949" r:id="rId1855"/>
    <hyperlink xmlns:r="http://schemas.openxmlformats.org/officeDocument/2006/relationships" ref="R949" r:id="rId1856"/>
    <hyperlink xmlns:r="http://schemas.openxmlformats.org/officeDocument/2006/relationships" ref="Q950" r:id="rId1857"/>
    <hyperlink xmlns:r="http://schemas.openxmlformats.org/officeDocument/2006/relationships" ref="R950" r:id="rId1858"/>
    <hyperlink xmlns:r="http://schemas.openxmlformats.org/officeDocument/2006/relationships" ref="Q951" r:id="rId1859"/>
    <hyperlink xmlns:r="http://schemas.openxmlformats.org/officeDocument/2006/relationships" ref="R951" r:id="rId1860"/>
    <hyperlink xmlns:r="http://schemas.openxmlformats.org/officeDocument/2006/relationships" ref="Q952" r:id="rId1861"/>
    <hyperlink xmlns:r="http://schemas.openxmlformats.org/officeDocument/2006/relationships" ref="R952" r:id="rId1862"/>
    <hyperlink xmlns:r="http://schemas.openxmlformats.org/officeDocument/2006/relationships" ref="Q953" r:id="rId1863"/>
    <hyperlink xmlns:r="http://schemas.openxmlformats.org/officeDocument/2006/relationships" ref="R953" r:id="rId1864"/>
    <hyperlink xmlns:r="http://schemas.openxmlformats.org/officeDocument/2006/relationships" ref="Q954" r:id="rId1865"/>
    <hyperlink xmlns:r="http://schemas.openxmlformats.org/officeDocument/2006/relationships" ref="R954" r:id="rId1866"/>
    <hyperlink xmlns:r="http://schemas.openxmlformats.org/officeDocument/2006/relationships" ref="Q955" r:id="rId1867"/>
    <hyperlink xmlns:r="http://schemas.openxmlformats.org/officeDocument/2006/relationships" ref="R955" r:id="rId1868"/>
    <hyperlink xmlns:r="http://schemas.openxmlformats.org/officeDocument/2006/relationships" ref="Q956" r:id="rId1869"/>
    <hyperlink xmlns:r="http://schemas.openxmlformats.org/officeDocument/2006/relationships" ref="R956" r:id="rId1870"/>
    <hyperlink xmlns:r="http://schemas.openxmlformats.org/officeDocument/2006/relationships" ref="Q957" r:id="rId1871"/>
    <hyperlink xmlns:r="http://schemas.openxmlformats.org/officeDocument/2006/relationships" ref="R957" r:id="rId1872"/>
    <hyperlink xmlns:r="http://schemas.openxmlformats.org/officeDocument/2006/relationships" ref="Q958" r:id="rId1873"/>
    <hyperlink xmlns:r="http://schemas.openxmlformats.org/officeDocument/2006/relationships" ref="R958" r:id="rId1874"/>
    <hyperlink xmlns:r="http://schemas.openxmlformats.org/officeDocument/2006/relationships" ref="Q959" r:id="rId1875"/>
    <hyperlink xmlns:r="http://schemas.openxmlformats.org/officeDocument/2006/relationships" ref="R959" r:id="rId1876"/>
    <hyperlink xmlns:r="http://schemas.openxmlformats.org/officeDocument/2006/relationships" ref="Q960" r:id="rId1877"/>
    <hyperlink xmlns:r="http://schemas.openxmlformats.org/officeDocument/2006/relationships" ref="R960" r:id="rId1878"/>
    <hyperlink xmlns:r="http://schemas.openxmlformats.org/officeDocument/2006/relationships" ref="Q961" r:id="rId1879"/>
    <hyperlink xmlns:r="http://schemas.openxmlformats.org/officeDocument/2006/relationships" ref="R961" r:id="rId1880"/>
    <hyperlink xmlns:r="http://schemas.openxmlformats.org/officeDocument/2006/relationships" ref="Q962" r:id="rId1881"/>
    <hyperlink xmlns:r="http://schemas.openxmlformats.org/officeDocument/2006/relationships" ref="R962" r:id="rId1882"/>
    <hyperlink xmlns:r="http://schemas.openxmlformats.org/officeDocument/2006/relationships" ref="Q963" r:id="rId1883"/>
    <hyperlink xmlns:r="http://schemas.openxmlformats.org/officeDocument/2006/relationships" ref="R963" r:id="rId1884"/>
    <hyperlink xmlns:r="http://schemas.openxmlformats.org/officeDocument/2006/relationships" ref="Q964" r:id="rId1885"/>
    <hyperlink xmlns:r="http://schemas.openxmlformats.org/officeDocument/2006/relationships" ref="R964" r:id="rId1886"/>
    <hyperlink xmlns:r="http://schemas.openxmlformats.org/officeDocument/2006/relationships" ref="Q965" r:id="rId1887"/>
    <hyperlink xmlns:r="http://schemas.openxmlformats.org/officeDocument/2006/relationships" ref="R965" r:id="rId1888"/>
    <hyperlink xmlns:r="http://schemas.openxmlformats.org/officeDocument/2006/relationships" ref="Q966" r:id="rId1889"/>
    <hyperlink xmlns:r="http://schemas.openxmlformats.org/officeDocument/2006/relationships" ref="Q967" r:id="rId1890"/>
    <hyperlink xmlns:r="http://schemas.openxmlformats.org/officeDocument/2006/relationships" ref="R967" r:id="rId1891"/>
    <hyperlink xmlns:r="http://schemas.openxmlformats.org/officeDocument/2006/relationships" ref="Q968" r:id="rId1892"/>
    <hyperlink xmlns:r="http://schemas.openxmlformats.org/officeDocument/2006/relationships" ref="R968" r:id="rId1893"/>
    <hyperlink xmlns:r="http://schemas.openxmlformats.org/officeDocument/2006/relationships" ref="Q969" r:id="rId1894"/>
    <hyperlink xmlns:r="http://schemas.openxmlformats.org/officeDocument/2006/relationships" ref="R969" r:id="rId1895"/>
    <hyperlink xmlns:r="http://schemas.openxmlformats.org/officeDocument/2006/relationships" ref="Q970" r:id="rId1896"/>
    <hyperlink xmlns:r="http://schemas.openxmlformats.org/officeDocument/2006/relationships" ref="R970" r:id="rId1897"/>
    <hyperlink xmlns:r="http://schemas.openxmlformats.org/officeDocument/2006/relationships" ref="Q971" r:id="rId1898"/>
    <hyperlink xmlns:r="http://schemas.openxmlformats.org/officeDocument/2006/relationships" ref="R971" r:id="rId1899"/>
    <hyperlink xmlns:r="http://schemas.openxmlformats.org/officeDocument/2006/relationships" ref="Q972" r:id="rId1900"/>
    <hyperlink xmlns:r="http://schemas.openxmlformats.org/officeDocument/2006/relationships" ref="R972" r:id="rId1901"/>
    <hyperlink xmlns:r="http://schemas.openxmlformats.org/officeDocument/2006/relationships" ref="Q973" r:id="rId1902"/>
    <hyperlink xmlns:r="http://schemas.openxmlformats.org/officeDocument/2006/relationships" ref="R973" r:id="rId1903"/>
    <hyperlink xmlns:r="http://schemas.openxmlformats.org/officeDocument/2006/relationships" ref="Q974" r:id="rId1904"/>
    <hyperlink xmlns:r="http://schemas.openxmlformats.org/officeDocument/2006/relationships" ref="R974" r:id="rId1905"/>
    <hyperlink xmlns:r="http://schemas.openxmlformats.org/officeDocument/2006/relationships" ref="Q975" r:id="rId1906"/>
    <hyperlink xmlns:r="http://schemas.openxmlformats.org/officeDocument/2006/relationships" ref="R975" r:id="rId1907"/>
    <hyperlink xmlns:r="http://schemas.openxmlformats.org/officeDocument/2006/relationships" ref="Q976" r:id="rId1908"/>
    <hyperlink xmlns:r="http://schemas.openxmlformats.org/officeDocument/2006/relationships" ref="R976" r:id="rId1909"/>
    <hyperlink xmlns:r="http://schemas.openxmlformats.org/officeDocument/2006/relationships" ref="Q977" r:id="rId1910"/>
    <hyperlink xmlns:r="http://schemas.openxmlformats.org/officeDocument/2006/relationships" ref="R977" r:id="rId1911"/>
    <hyperlink xmlns:r="http://schemas.openxmlformats.org/officeDocument/2006/relationships" ref="Q978" r:id="rId1912"/>
    <hyperlink xmlns:r="http://schemas.openxmlformats.org/officeDocument/2006/relationships" ref="R978" r:id="rId1913"/>
    <hyperlink xmlns:r="http://schemas.openxmlformats.org/officeDocument/2006/relationships" ref="Q979" r:id="rId1914"/>
    <hyperlink xmlns:r="http://schemas.openxmlformats.org/officeDocument/2006/relationships" ref="R979" r:id="rId1915"/>
    <hyperlink xmlns:r="http://schemas.openxmlformats.org/officeDocument/2006/relationships" ref="Q980" r:id="rId1916"/>
    <hyperlink xmlns:r="http://schemas.openxmlformats.org/officeDocument/2006/relationships" ref="R980" r:id="rId1917"/>
    <hyperlink xmlns:r="http://schemas.openxmlformats.org/officeDocument/2006/relationships" ref="Q981" r:id="rId1918"/>
    <hyperlink xmlns:r="http://schemas.openxmlformats.org/officeDocument/2006/relationships" ref="R981" r:id="rId1919"/>
    <hyperlink xmlns:r="http://schemas.openxmlformats.org/officeDocument/2006/relationships" ref="Q982" r:id="rId1920"/>
    <hyperlink xmlns:r="http://schemas.openxmlformats.org/officeDocument/2006/relationships" ref="R982" r:id="rId1921"/>
    <hyperlink xmlns:r="http://schemas.openxmlformats.org/officeDocument/2006/relationships" ref="Q983" r:id="rId1922"/>
    <hyperlink xmlns:r="http://schemas.openxmlformats.org/officeDocument/2006/relationships" ref="R983" r:id="rId1923"/>
    <hyperlink xmlns:r="http://schemas.openxmlformats.org/officeDocument/2006/relationships" ref="Q984" r:id="rId1924"/>
    <hyperlink xmlns:r="http://schemas.openxmlformats.org/officeDocument/2006/relationships" ref="R984" r:id="rId1925"/>
    <hyperlink xmlns:r="http://schemas.openxmlformats.org/officeDocument/2006/relationships" ref="Q985" r:id="rId1926"/>
    <hyperlink xmlns:r="http://schemas.openxmlformats.org/officeDocument/2006/relationships" ref="R985" r:id="rId1927"/>
    <hyperlink xmlns:r="http://schemas.openxmlformats.org/officeDocument/2006/relationships" ref="Q986" r:id="rId1928"/>
    <hyperlink xmlns:r="http://schemas.openxmlformats.org/officeDocument/2006/relationships" ref="R986" r:id="rId1929"/>
    <hyperlink xmlns:r="http://schemas.openxmlformats.org/officeDocument/2006/relationships" ref="Q987" r:id="rId1930"/>
    <hyperlink xmlns:r="http://schemas.openxmlformats.org/officeDocument/2006/relationships" ref="R987" r:id="rId1931"/>
    <hyperlink xmlns:r="http://schemas.openxmlformats.org/officeDocument/2006/relationships" ref="Q988" r:id="rId1932"/>
    <hyperlink xmlns:r="http://schemas.openxmlformats.org/officeDocument/2006/relationships" ref="R988" r:id="rId1933"/>
    <hyperlink xmlns:r="http://schemas.openxmlformats.org/officeDocument/2006/relationships" ref="Q989" r:id="rId1934"/>
    <hyperlink xmlns:r="http://schemas.openxmlformats.org/officeDocument/2006/relationships" ref="Q990" r:id="rId1935"/>
    <hyperlink xmlns:r="http://schemas.openxmlformats.org/officeDocument/2006/relationships" ref="R990" r:id="rId1936"/>
    <hyperlink xmlns:r="http://schemas.openxmlformats.org/officeDocument/2006/relationships" ref="Q991" r:id="rId1937"/>
    <hyperlink xmlns:r="http://schemas.openxmlformats.org/officeDocument/2006/relationships" ref="R991" r:id="rId1938"/>
    <hyperlink xmlns:r="http://schemas.openxmlformats.org/officeDocument/2006/relationships" ref="Q992" r:id="rId1939"/>
    <hyperlink xmlns:r="http://schemas.openxmlformats.org/officeDocument/2006/relationships" ref="R992" r:id="rId1940"/>
    <hyperlink xmlns:r="http://schemas.openxmlformats.org/officeDocument/2006/relationships" ref="Q993" r:id="rId1941"/>
    <hyperlink xmlns:r="http://schemas.openxmlformats.org/officeDocument/2006/relationships" ref="R993" r:id="rId1942"/>
    <hyperlink xmlns:r="http://schemas.openxmlformats.org/officeDocument/2006/relationships" ref="Q994" r:id="rId1943"/>
    <hyperlink xmlns:r="http://schemas.openxmlformats.org/officeDocument/2006/relationships" ref="R994" r:id="rId1944"/>
    <hyperlink xmlns:r="http://schemas.openxmlformats.org/officeDocument/2006/relationships" ref="Q995" r:id="rId1945"/>
    <hyperlink xmlns:r="http://schemas.openxmlformats.org/officeDocument/2006/relationships" ref="R995" r:id="rId1946"/>
    <hyperlink xmlns:r="http://schemas.openxmlformats.org/officeDocument/2006/relationships" ref="Q996" r:id="rId1947"/>
    <hyperlink xmlns:r="http://schemas.openxmlformats.org/officeDocument/2006/relationships" ref="R996" r:id="rId1948"/>
    <hyperlink xmlns:r="http://schemas.openxmlformats.org/officeDocument/2006/relationships" ref="Q997" r:id="rId1949"/>
    <hyperlink xmlns:r="http://schemas.openxmlformats.org/officeDocument/2006/relationships" ref="R997" r:id="rId1950"/>
    <hyperlink xmlns:r="http://schemas.openxmlformats.org/officeDocument/2006/relationships" ref="Q998" r:id="rId1951"/>
    <hyperlink xmlns:r="http://schemas.openxmlformats.org/officeDocument/2006/relationships" ref="R998" r:id="rId1952"/>
    <hyperlink xmlns:r="http://schemas.openxmlformats.org/officeDocument/2006/relationships" ref="Q999" r:id="rId1953"/>
    <hyperlink xmlns:r="http://schemas.openxmlformats.org/officeDocument/2006/relationships" ref="Q1000" r:id="rId1954"/>
    <hyperlink xmlns:r="http://schemas.openxmlformats.org/officeDocument/2006/relationships" ref="R1000" r:id="rId1955"/>
    <hyperlink xmlns:r="http://schemas.openxmlformats.org/officeDocument/2006/relationships" ref="Q1001" r:id="rId1956"/>
    <hyperlink xmlns:r="http://schemas.openxmlformats.org/officeDocument/2006/relationships" ref="R1001" r:id="rId1957"/>
    <hyperlink xmlns:r="http://schemas.openxmlformats.org/officeDocument/2006/relationships" ref="Q1002" r:id="rId1958"/>
    <hyperlink xmlns:r="http://schemas.openxmlformats.org/officeDocument/2006/relationships" ref="R1002" r:id="rId1959"/>
    <hyperlink xmlns:r="http://schemas.openxmlformats.org/officeDocument/2006/relationships" ref="Q1003" r:id="rId1960"/>
    <hyperlink xmlns:r="http://schemas.openxmlformats.org/officeDocument/2006/relationships" ref="R1003" r:id="rId1961"/>
    <hyperlink xmlns:r="http://schemas.openxmlformats.org/officeDocument/2006/relationships" ref="Q1004" r:id="rId1962"/>
    <hyperlink xmlns:r="http://schemas.openxmlformats.org/officeDocument/2006/relationships" ref="R1004" r:id="rId1963"/>
    <hyperlink xmlns:r="http://schemas.openxmlformats.org/officeDocument/2006/relationships" ref="Q1005" r:id="rId1964"/>
    <hyperlink xmlns:r="http://schemas.openxmlformats.org/officeDocument/2006/relationships" ref="R1005" r:id="rId1965"/>
    <hyperlink xmlns:r="http://schemas.openxmlformats.org/officeDocument/2006/relationships" ref="Q1006" r:id="rId1966"/>
    <hyperlink xmlns:r="http://schemas.openxmlformats.org/officeDocument/2006/relationships" ref="R1006" r:id="rId1967"/>
    <hyperlink xmlns:r="http://schemas.openxmlformats.org/officeDocument/2006/relationships" ref="Q1007" r:id="rId1968"/>
    <hyperlink xmlns:r="http://schemas.openxmlformats.org/officeDocument/2006/relationships" ref="R1007" r:id="rId1969"/>
    <hyperlink xmlns:r="http://schemas.openxmlformats.org/officeDocument/2006/relationships" ref="Q1008" r:id="rId1970"/>
    <hyperlink xmlns:r="http://schemas.openxmlformats.org/officeDocument/2006/relationships" ref="R1008" r:id="rId1971"/>
    <hyperlink xmlns:r="http://schemas.openxmlformats.org/officeDocument/2006/relationships" ref="Q1009" r:id="rId1972"/>
    <hyperlink xmlns:r="http://schemas.openxmlformats.org/officeDocument/2006/relationships" ref="R1009" r:id="rId1973"/>
    <hyperlink xmlns:r="http://schemas.openxmlformats.org/officeDocument/2006/relationships" ref="Q1010" r:id="rId1974"/>
    <hyperlink xmlns:r="http://schemas.openxmlformats.org/officeDocument/2006/relationships" ref="R1010" r:id="rId1975"/>
    <hyperlink xmlns:r="http://schemas.openxmlformats.org/officeDocument/2006/relationships" ref="Q1011" r:id="rId1976"/>
    <hyperlink xmlns:r="http://schemas.openxmlformats.org/officeDocument/2006/relationships" ref="R1011" r:id="rId1977"/>
    <hyperlink xmlns:r="http://schemas.openxmlformats.org/officeDocument/2006/relationships" ref="Q1012" r:id="rId1978"/>
    <hyperlink xmlns:r="http://schemas.openxmlformats.org/officeDocument/2006/relationships" ref="R1012" r:id="rId1979"/>
    <hyperlink xmlns:r="http://schemas.openxmlformats.org/officeDocument/2006/relationships" ref="Q1013" r:id="rId1980"/>
    <hyperlink xmlns:r="http://schemas.openxmlformats.org/officeDocument/2006/relationships" ref="R1013" r:id="rId1981"/>
    <hyperlink xmlns:r="http://schemas.openxmlformats.org/officeDocument/2006/relationships" ref="Q1014" r:id="rId1982"/>
    <hyperlink xmlns:r="http://schemas.openxmlformats.org/officeDocument/2006/relationships" ref="R1014" r:id="rId1983"/>
    <hyperlink xmlns:r="http://schemas.openxmlformats.org/officeDocument/2006/relationships" ref="Q1015" r:id="rId1984"/>
    <hyperlink xmlns:r="http://schemas.openxmlformats.org/officeDocument/2006/relationships" ref="R1015" r:id="rId1985"/>
    <hyperlink xmlns:r="http://schemas.openxmlformats.org/officeDocument/2006/relationships" ref="Q1016" r:id="rId1986"/>
    <hyperlink xmlns:r="http://schemas.openxmlformats.org/officeDocument/2006/relationships" ref="R1016" r:id="rId1987"/>
    <hyperlink xmlns:r="http://schemas.openxmlformats.org/officeDocument/2006/relationships" ref="Q1017" r:id="rId1988"/>
    <hyperlink xmlns:r="http://schemas.openxmlformats.org/officeDocument/2006/relationships" ref="R1017" r:id="rId1989"/>
    <hyperlink xmlns:r="http://schemas.openxmlformats.org/officeDocument/2006/relationships" ref="Q1018" r:id="rId1990"/>
    <hyperlink xmlns:r="http://schemas.openxmlformats.org/officeDocument/2006/relationships" ref="R1018" r:id="rId1991"/>
    <hyperlink xmlns:r="http://schemas.openxmlformats.org/officeDocument/2006/relationships" ref="Q1019" r:id="rId1992"/>
    <hyperlink xmlns:r="http://schemas.openxmlformats.org/officeDocument/2006/relationships" ref="R1019" r:id="rId1993"/>
    <hyperlink xmlns:r="http://schemas.openxmlformats.org/officeDocument/2006/relationships" ref="Q1020" r:id="rId1994"/>
    <hyperlink xmlns:r="http://schemas.openxmlformats.org/officeDocument/2006/relationships" ref="R1020" r:id="rId1995"/>
    <hyperlink xmlns:r="http://schemas.openxmlformats.org/officeDocument/2006/relationships" ref="Q1021" r:id="rId1996"/>
    <hyperlink xmlns:r="http://schemas.openxmlformats.org/officeDocument/2006/relationships" ref="R1021" r:id="rId1997"/>
    <hyperlink xmlns:r="http://schemas.openxmlformats.org/officeDocument/2006/relationships" ref="Q1022" r:id="rId1998"/>
    <hyperlink xmlns:r="http://schemas.openxmlformats.org/officeDocument/2006/relationships" ref="R1022" r:id="rId1999"/>
    <hyperlink xmlns:r="http://schemas.openxmlformats.org/officeDocument/2006/relationships" ref="Q1023" r:id="rId2000"/>
    <hyperlink xmlns:r="http://schemas.openxmlformats.org/officeDocument/2006/relationships" ref="R1023" r:id="rId2001"/>
    <hyperlink xmlns:r="http://schemas.openxmlformats.org/officeDocument/2006/relationships" ref="Q1024" r:id="rId2002"/>
    <hyperlink xmlns:r="http://schemas.openxmlformats.org/officeDocument/2006/relationships" ref="R1024" r:id="rId2003"/>
    <hyperlink xmlns:r="http://schemas.openxmlformats.org/officeDocument/2006/relationships" ref="Q1025" r:id="rId2004"/>
    <hyperlink xmlns:r="http://schemas.openxmlformats.org/officeDocument/2006/relationships" ref="R1025" r:id="rId2005"/>
    <hyperlink xmlns:r="http://schemas.openxmlformats.org/officeDocument/2006/relationships" ref="Q1026" r:id="rId2006"/>
    <hyperlink xmlns:r="http://schemas.openxmlformats.org/officeDocument/2006/relationships" ref="R1026" r:id="rId2007"/>
    <hyperlink xmlns:r="http://schemas.openxmlformats.org/officeDocument/2006/relationships" ref="Q1027" r:id="rId2008"/>
    <hyperlink xmlns:r="http://schemas.openxmlformats.org/officeDocument/2006/relationships" ref="R1027" r:id="rId2009"/>
    <hyperlink xmlns:r="http://schemas.openxmlformats.org/officeDocument/2006/relationships" ref="Q1028" r:id="rId2010"/>
    <hyperlink xmlns:r="http://schemas.openxmlformats.org/officeDocument/2006/relationships" ref="R1028" r:id="rId2011"/>
    <hyperlink xmlns:r="http://schemas.openxmlformats.org/officeDocument/2006/relationships" ref="Q1029" r:id="rId2012"/>
    <hyperlink xmlns:r="http://schemas.openxmlformats.org/officeDocument/2006/relationships" ref="R1029" r:id="rId2013"/>
    <hyperlink xmlns:r="http://schemas.openxmlformats.org/officeDocument/2006/relationships" ref="Q1030" r:id="rId2014"/>
    <hyperlink xmlns:r="http://schemas.openxmlformats.org/officeDocument/2006/relationships" ref="R1030" r:id="rId2015"/>
    <hyperlink xmlns:r="http://schemas.openxmlformats.org/officeDocument/2006/relationships" ref="Q1031" r:id="rId2016"/>
    <hyperlink xmlns:r="http://schemas.openxmlformats.org/officeDocument/2006/relationships" ref="R1031" r:id="rId2017"/>
    <hyperlink xmlns:r="http://schemas.openxmlformats.org/officeDocument/2006/relationships" ref="Q1032" r:id="rId2018"/>
    <hyperlink xmlns:r="http://schemas.openxmlformats.org/officeDocument/2006/relationships" ref="R1032" r:id="rId2019"/>
    <hyperlink xmlns:r="http://schemas.openxmlformats.org/officeDocument/2006/relationships" ref="Q1033" r:id="rId2020"/>
    <hyperlink xmlns:r="http://schemas.openxmlformats.org/officeDocument/2006/relationships" ref="R1033" r:id="rId2021"/>
    <hyperlink xmlns:r="http://schemas.openxmlformats.org/officeDocument/2006/relationships" ref="Q1034" r:id="rId2022"/>
    <hyperlink xmlns:r="http://schemas.openxmlformats.org/officeDocument/2006/relationships" ref="R1034" r:id="rId2023"/>
    <hyperlink xmlns:r="http://schemas.openxmlformats.org/officeDocument/2006/relationships" ref="Q1035" r:id="rId2024"/>
    <hyperlink xmlns:r="http://schemas.openxmlformats.org/officeDocument/2006/relationships" ref="R1035" r:id="rId2025"/>
    <hyperlink xmlns:r="http://schemas.openxmlformats.org/officeDocument/2006/relationships" ref="Q1036" r:id="rId2026"/>
    <hyperlink xmlns:r="http://schemas.openxmlformats.org/officeDocument/2006/relationships" ref="R1036" r:id="rId2027"/>
    <hyperlink xmlns:r="http://schemas.openxmlformats.org/officeDocument/2006/relationships" ref="Q1037" r:id="rId2028"/>
    <hyperlink xmlns:r="http://schemas.openxmlformats.org/officeDocument/2006/relationships" ref="Q1038" r:id="rId2029"/>
    <hyperlink xmlns:r="http://schemas.openxmlformats.org/officeDocument/2006/relationships" ref="R1038" r:id="rId2030"/>
    <hyperlink xmlns:r="http://schemas.openxmlformats.org/officeDocument/2006/relationships" ref="Q1039" r:id="rId2031"/>
    <hyperlink xmlns:r="http://schemas.openxmlformats.org/officeDocument/2006/relationships" ref="R1039" r:id="rId2032"/>
    <hyperlink xmlns:r="http://schemas.openxmlformats.org/officeDocument/2006/relationships" ref="Q1040" r:id="rId2033"/>
    <hyperlink xmlns:r="http://schemas.openxmlformats.org/officeDocument/2006/relationships" ref="R1040" r:id="rId2034"/>
    <hyperlink xmlns:r="http://schemas.openxmlformats.org/officeDocument/2006/relationships" ref="Q1041" r:id="rId2035"/>
    <hyperlink xmlns:r="http://schemas.openxmlformats.org/officeDocument/2006/relationships" ref="R1041" r:id="rId2036"/>
    <hyperlink xmlns:r="http://schemas.openxmlformats.org/officeDocument/2006/relationships" ref="Q1042" r:id="rId2037"/>
    <hyperlink xmlns:r="http://schemas.openxmlformats.org/officeDocument/2006/relationships" ref="R1042" r:id="rId2038"/>
    <hyperlink xmlns:r="http://schemas.openxmlformats.org/officeDocument/2006/relationships" ref="Q1043" r:id="rId2039"/>
    <hyperlink xmlns:r="http://schemas.openxmlformats.org/officeDocument/2006/relationships" ref="R1043" r:id="rId2040"/>
    <hyperlink xmlns:r="http://schemas.openxmlformats.org/officeDocument/2006/relationships" ref="Q1044" r:id="rId2041"/>
    <hyperlink xmlns:r="http://schemas.openxmlformats.org/officeDocument/2006/relationships" ref="R1044" r:id="rId2042"/>
    <hyperlink xmlns:r="http://schemas.openxmlformats.org/officeDocument/2006/relationships" ref="Q1045" r:id="rId2043"/>
    <hyperlink xmlns:r="http://schemas.openxmlformats.org/officeDocument/2006/relationships" ref="R1045" r:id="rId2044"/>
    <hyperlink xmlns:r="http://schemas.openxmlformats.org/officeDocument/2006/relationships" ref="Q1046" r:id="rId2045"/>
    <hyperlink xmlns:r="http://schemas.openxmlformats.org/officeDocument/2006/relationships" ref="R1046" r:id="rId2046"/>
    <hyperlink xmlns:r="http://schemas.openxmlformats.org/officeDocument/2006/relationships" ref="Q1047" r:id="rId2047"/>
    <hyperlink xmlns:r="http://schemas.openxmlformats.org/officeDocument/2006/relationships" ref="R1047" r:id="rId2048"/>
    <hyperlink xmlns:r="http://schemas.openxmlformats.org/officeDocument/2006/relationships" ref="Q1048" r:id="rId2049"/>
    <hyperlink xmlns:r="http://schemas.openxmlformats.org/officeDocument/2006/relationships" ref="R1048" r:id="rId2050"/>
    <hyperlink xmlns:r="http://schemas.openxmlformats.org/officeDocument/2006/relationships" ref="Q1049" r:id="rId2051"/>
    <hyperlink xmlns:r="http://schemas.openxmlformats.org/officeDocument/2006/relationships" ref="R1049" r:id="rId2052"/>
    <hyperlink xmlns:r="http://schemas.openxmlformats.org/officeDocument/2006/relationships" ref="Q1050" r:id="rId2053"/>
    <hyperlink xmlns:r="http://schemas.openxmlformats.org/officeDocument/2006/relationships" ref="R1050" r:id="rId2054"/>
    <hyperlink xmlns:r="http://schemas.openxmlformats.org/officeDocument/2006/relationships" ref="Q1051" r:id="rId2055"/>
    <hyperlink xmlns:r="http://schemas.openxmlformats.org/officeDocument/2006/relationships" ref="R1051" r:id="rId2056"/>
    <hyperlink xmlns:r="http://schemas.openxmlformats.org/officeDocument/2006/relationships" ref="Q1052" r:id="rId2057"/>
    <hyperlink xmlns:r="http://schemas.openxmlformats.org/officeDocument/2006/relationships" ref="R1052" r:id="rId2058"/>
    <hyperlink xmlns:r="http://schemas.openxmlformats.org/officeDocument/2006/relationships" ref="Q1053" r:id="rId2059"/>
    <hyperlink xmlns:r="http://schemas.openxmlformats.org/officeDocument/2006/relationships" ref="R1053" r:id="rId2060"/>
    <hyperlink xmlns:r="http://schemas.openxmlformats.org/officeDocument/2006/relationships" ref="Q1054" r:id="rId2061"/>
    <hyperlink xmlns:r="http://schemas.openxmlformats.org/officeDocument/2006/relationships" ref="R1054" r:id="rId2062"/>
    <hyperlink xmlns:r="http://schemas.openxmlformats.org/officeDocument/2006/relationships" ref="Q1055" r:id="rId2063"/>
    <hyperlink xmlns:r="http://schemas.openxmlformats.org/officeDocument/2006/relationships" ref="R1055" r:id="rId2064"/>
    <hyperlink xmlns:r="http://schemas.openxmlformats.org/officeDocument/2006/relationships" ref="Q1056" r:id="rId2065"/>
    <hyperlink xmlns:r="http://schemas.openxmlformats.org/officeDocument/2006/relationships" ref="R1056" r:id="rId2066"/>
    <hyperlink xmlns:r="http://schemas.openxmlformats.org/officeDocument/2006/relationships" ref="Q1057" r:id="rId2067"/>
    <hyperlink xmlns:r="http://schemas.openxmlformats.org/officeDocument/2006/relationships" ref="R1057" r:id="rId2068"/>
    <hyperlink xmlns:r="http://schemas.openxmlformats.org/officeDocument/2006/relationships" ref="Q1058" r:id="rId2069"/>
    <hyperlink xmlns:r="http://schemas.openxmlformats.org/officeDocument/2006/relationships" ref="R1058" r:id="rId2070"/>
    <hyperlink xmlns:r="http://schemas.openxmlformats.org/officeDocument/2006/relationships" ref="Q1059" r:id="rId2071"/>
    <hyperlink xmlns:r="http://schemas.openxmlformats.org/officeDocument/2006/relationships" ref="R1059" r:id="rId2072"/>
    <hyperlink xmlns:r="http://schemas.openxmlformats.org/officeDocument/2006/relationships" ref="Q1060" r:id="rId2073"/>
    <hyperlink xmlns:r="http://schemas.openxmlformats.org/officeDocument/2006/relationships" ref="R1060" r:id="rId2074"/>
    <hyperlink xmlns:r="http://schemas.openxmlformats.org/officeDocument/2006/relationships" ref="Q1061" r:id="rId2075"/>
    <hyperlink xmlns:r="http://schemas.openxmlformats.org/officeDocument/2006/relationships" ref="R1061" r:id="rId2076"/>
    <hyperlink xmlns:r="http://schemas.openxmlformats.org/officeDocument/2006/relationships" ref="Q1062" r:id="rId2077"/>
    <hyperlink xmlns:r="http://schemas.openxmlformats.org/officeDocument/2006/relationships" ref="R1062" r:id="rId2078"/>
    <hyperlink xmlns:r="http://schemas.openxmlformats.org/officeDocument/2006/relationships" ref="Q1063" r:id="rId2079"/>
    <hyperlink xmlns:r="http://schemas.openxmlformats.org/officeDocument/2006/relationships" ref="R1063" r:id="rId2080"/>
    <hyperlink xmlns:r="http://schemas.openxmlformats.org/officeDocument/2006/relationships" ref="Q1064" r:id="rId2081"/>
    <hyperlink xmlns:r="http://schemas.openxmlformats.org/officeDocument/2006/relationships" ref="R1064" r:id="rId2082"/>
    <hyperlink xmlns:r="http://schemas.openxmlformats.org/officeDocument/2006/relationships" ref="Q1065" r:id="rId2083"/>
    <hyperlink xmlns:r="http://schemas.openxmlformats.org/officeDocument/2006/relationships" ref="R1065" r:id="rId2084"/>
    <hyperlink xmlns:r="http://schemas.openxmlformats.org/officeDocument/2006/relationships" ref="Q1066" r:id="rId2085"/>
    <hyperlink xmlns:r="http://schemas.openxmlformats.org/officeDocument/2006/relationships" ref="R1066" r:id="rId2086"/>
    <hyperlink xmlns:r="http://schemas.openxmlformats.org/officeDocument/2006/relationships" ref="Q1067" r:id="rId2087"/>
    <hyperlink xmlns:r="http://schemas.openxmlformats.org/officeDocument/2006/relationships" ref="R1067" r:id="rId2088"/>
    <hyperlink xmlns:r="http://schemas.openxmlformats.org/officeDocument/2006/relationships" ref="Q1068" r:id="rId2089"/>
    <hyperlink xmlns:r="http://schemas.openxmlformats.org/officeDocument/2006/relationships" ref="R1068" r:id="rId2090"/>
    <hyperlink xmlns:r="http://schemas.openxmlformats.org/officeDocument/2006/relationships" ref="Q1069" r:id="rId2091"/>
    <hyperlink xmlns:r="http://schemas.openxmlformats.org/officeDocument/2006/relationships" ref="R1069" r:id="rId2092"/>
    <hyperlink xmlns:r="http://schemas.openxmlformats.org/officeDocument/2006/relationships" ref="Q1070" r:id="rId2093"/>
    <hyperlink xmlns:r="http://schemas.openxmlformats.org/officeDocument/2006/relationships" ref="R1070" r:id="rId2094"/>
    <hyperlink xmlns:r="http://schemas.openxmlformats.org/officeDocument/2006/relationships" ref="Q1071" r:id="rId2095"/>
    <hyperlink xmlns:r="http://schemas.openxmlformats.org/officeDocument/2006/relationships" ref="R1071" r:id="rId2096"/>
    <hyperlink xmlns:r="http://schemas.openxmlformats.org/officeDocument/2006/relationships" ref="Q1072" r:id="rId2097"/>
    <hyperlink xmlns:r="http://schemas.openxmlformats.org/officeDocument/2006/relationships" ref="R1072" r:id="rId2098"/>
    <hyperlink xmlns:r="http://schemas.openxmlformats.org/officeDocument/2006/relationships" ref="Q1073" r:id="rId2099"/>
    <hyperlink xmlns:r="http://schemas.openxmlformats.org/officeDocument/2006/relationships" ref="R1073" r:id="rId2100"/>
    <hyperlink xmlns:r="http://schemas.openxmlformats.org/officeDocument/2006/relationships" ref="Q1074" r:id="rId2101"/>
    <hyperlink xmlns:r="http://schemas.openxmlformats.org/officeDocument/2006/relationships" ref="R1074" r:id="rId2102"/>
    <hyperlink xmlns:r="http://schemas.openxmlformats.org/officeDocument/2006/relationships" ref="Q1075" r:id="rId2103"/>
    <hyperlink xmlns:r="http://schemas.openxmlformats.org/officeDocument/2006/relationships" ref="R1075" r:id="rId2104"/>
    <hyperlink xmlns:r="http://schemas.openxmlformats.org/officeDocument/2006/relationships" ref="Q1076" r:id="rId2105"/>
    <hyperlink xmlns:r="http://schemas.openxmlformats.org/officeDocument/2006/relationships" ref="R1076" r:id="rId2106"/>
    <hyperlink xmlns:r="http://schemas.openxmlformats.org/officeDocument/2006/relationships" ref="Q1077" r:id="rId2107"/>
    <hyperlink xmlns:r="http://schemas.openxmlformats.org/officeDocument/2006/relationships" ref="R1077" r:id="rId2108"/>
    <hyperlink xmlns:r="http://schemas.openxmlformats.org/officeDocument/2006/relationships" ref="Q1078" r:id="rId2109"/>
    <hyperlink xmlns:r="http://schemas.openxmlformats.org/officeDocument/2006/relationships" ref="R1078" r:id="rId2110"/>
    <hyperlink xmlns:r="http://schemas.openxmlformats.org/officeDocument/2006/relationships" ref="Q1079" r:id="rId2111"/>
    <hyperlink xmlns:r="http://schemas.openxmlformats.org/officeDocument/2006/relationships" ref="R1079" r:id="rId2112"/>
    <hyperlink xmlns:r="http://schemas.openxmlformats.org/officeDocument/2006/relationships" ref="Q1080" r:id="rId2113"/>
    <hyperlink xmlns:r="http://schemas.openxmlformats.org/officeDocument/2006/relationships" ref="R1080" r:id="rId2114"/>
    <hyperlink xmlns:r="http://schemas.openxmlformats.org/officeDocument/2006/relationships" ref="Q1081" r:id="rId2115"/>
    <hyperlink xmlns:r="http://schemas.openxmlformats.org/officeDocument/2006/relationships" ref="R1081" r:id="rId2116"/>
    <hyperlink xmlns:r="http://schemas.openxmlformats.org/officeDocument/2006/relationships" ref="Q1082" r:id="rId2117"/>
    <hyperlink xmlns:r="http://schemas.openxmlformats.org/officeDocument/2006/relationships" ref="R1082" r:id="rId2118"/>
    <hyperlink xmlns:r="http://schemas.openxmlformats.org/officeDocument/2006/relationships" ref="Q1083" r:id="rId2119"/>
    <hyperlink xmlns:r="http://schemas.openxmlformats.org/officeDocument/2006/relationships" ref="R1083" r:id="rId2120"/>
    <hyperlink xmlns:r="http://schemas.openxmlformats.org/officeDocument/2006/relationships" ref="Q1084" r:id="rId2121"/>
    <hyperlink xmlns:r="http://schemas.openxmlformats.org/officeDocument/2006/relationships" ref="R1084" r:id="rId2122"/>
    <hyperlink xmlns:r="http://schemas.openxmlformats.org/officeDocument/2006/relationships" ref="Q1085" r:id="rId2123"/>
    <hyperlink xmlns:r="http://schemas.openxmlformats.org/officeDocument/2006/relationships" ref="R1085" r:id="rId2124"/>
    <hyperlink xmlns:r="http://schemas.openxmlformats.org/officeDocument/2006/relationships" ref="Q1086" r:id="rId2125"/>
    <hyperlink xmlns:r="http://schemas.openxmlformats.org/officeDocument/2006/relationships" ref="R1086" r:id="rId2126"/>
    <hyperlink xmlns:r="http://schemas.openxmlformats.org/officeDocument/2006/relationships" ref="Q1087" r:id="rId2127"/>
    <hyperlink xmlns:r="http://schemas.openxmlformats.org/officeDocument/2006/relationships" ref="R1087" r:id="rId2128"/>
    <hyperlink xmlns:r="http://schemas.openxmlformats.org/officeDocument/2006/relationships" ref="Q1088" r:id="rId2129"/>
    <hyperlink xmlns:r="http://schemas.openxmlformats.org/officeDocument/2006/relationships" ref="R1088" r:id="rId2130"/>
    <hyperlink xmlns:r="http://schemas.openxmlformats.org/officeDocument/2006/relationships" ref="Q1089" r:id="rId2131"/>
    <hyperlink xmlns:r="http://schemas.openxmlformats.org/officeDocument/2006/relationships" ref="R1089" r:id="rId2132"/>
    <hyperlink xmlns:r="http://schemas.openxmlformats.org/officeDocument/2006/relationships" ref="Q1090" r:id="rId2133"/>
    <hyperlink xmlns:r="http://schemas.openxmlformats.org/officeDocument/2006/relationships" ref="R1090" r:id="rId2134"/>
    <hyperlink xmlns:r="http://schemas.openxmlformats.org/officeDocument/2006/relationships" ref="Q1091" r:id="rId2135"/>
    <hyperlink xmlns:r="http://schemas.openxmlformats.org/officeDocument/2006/relationships" ref="R1091" r:id="rId2136"/>
    <hyperlink xmlns:r="http://schemas.openxmlformats.org/officeDocument/2006/relationships" ref="Q1092" r:id="rId2137"/>
    <hyperlink xmlns:r="http://schemas.openxmlformats.org/officeDocument/2006/relationships" ref="R1092" r:id="rId2138"/>
    <hyperlink xmlns:r="http://schemas.openxmlformats.org/officeDocument/2006/relationships" ref="Q1093" r:id="rId2139"/>
    <hyperlink xmlns:r="http://schemas.openxmlformats.org/officeDocument/2006/relationships" ref="R1093" r:id="rId2140"/>
    <hyperlink xmlns:r="http://schemas.openxmlformats.org/officeDocument/2006/relationships" ref="Q1094" r:id="rId2141"/>
    <hyperlink xmlns:r="http://schemas.openxmlformats.org/officeDocument/2006/relationships" ref="R1094" r:id="rId2142"/>
    <hyperlink xmlns:r="http://schemas.openxmlformats.org/officeDocument/2006/relationships" ref="Q1095" r:id="rId2143"/>
    <hyperlink xmlns:r="http://schemas.openxmlformats.org/officeDocument/2006/relationships" ref="R1095" r:id="rId2144"/>
    <hyperlink xmlns:r="http://schemas.openxmlformats.org/officeDocument/2006/relationships" ref="Q1096" r:id="rId2145"/>
    <hyperlink xmlns:r="http://schemas.openxmlformats.org/officeDocument/2006/relationships" ref="R1096" r:id="rId2146"/>
    <hyperlink xmlns:r="http://schemas.openxmlformats.org/officeDocument/2006/relationships" ref="Q1097" r:id="rId2147"/>
    <hyperlink xmlns:r="http://schemas.openxmlformats.org/officeDocument/2006/relationships" ref="R1097" r:id="rId2148"/>
    <hyperlink xmlns:r="http://schemas.openxmlformats.org/officeDocument/2006/relationships" ref="Q1098" r:id="rId2149"/>
    <hyperlink xmlns:r="http://schemas.openxmlformats.org/officeDocument/2006/relationships" ref="R1098" r:id="rId2150"/>
    <hyperlink xmlns:r="http://schemas.openxmlformats.org/officeDocument/2006/relationships" ref="Q1099" r:id="rId2151"/>
    <hyperlink xmlns:r="http://schemas.openxmlformats.org/officeDocument/2006/relationships" ref="R1099" r:id="rId2152"/>
    <hyperlink xmlns:r="http://schemas.openxmlformats.org/officeDocument/2006/relationships" ref="Q1100" r:id="rId2153"/>
    <hyperlink xmlns:r="http://schemas.openxmlformats.org/officeDocument/2006/relationships" ref="R1100" r:id="rId2154"/>
    <hyperlink xmlns:r="http://schemas.openxmlformats.org/officeDocument/2006/relationships" ref="Q1101" r:id="rId2155"/>
    <hyperlink xmlns:r="http://schemas.openxmlformats.org/officeDocument/2006/relationships" ref="R1101" r:id="rId2156"/>
    <hyperlink xmlns:r="http://schemas.openxmlformats.org/officeDocument/2006/relationships" ref="Q1102" r:id="rId2157"/>
    <hyperlink xmlns:r="http://schemas.openxmlformats.org/officeDocument/2006/relationships" ref="R1102" r:id="rId2158"/>
    <hyperlink xmlns:r="http://schemas.openxmlformats.org/officeDocument/2006/relationships" ref="Q1103" r:id="rId2159"/>
    <hyperlink xmlns:r="http://schemas.openxmlformats.org/officeDocument/2006/relationships" ref="R1103" r:id="rId2160"/>
    <hyperlink xmlns:r="http://schemas.openxmlformats.org/officeDocument/2006/relationships" ref="Q1104" r:id="rId2161"/>
    <hyperlink xmlns:r="http://schemas.openxmlformats.org/officeDocument/2006/relationships" ref="R1104" r:id="rId2162"/>
    <hyperlink xmlns:r="http://schemas.openxmlformats.org/officeDocument/2006/relationships" ref="Q1105" r:id="rId2163"/>
    <hyperlink xmlns:r="http://schemas.openxmlformats.org/officeDocument/2006/relationships" ref="R1105" r:id="rId2164"/>
    <hyperlink xmlns:r="http://schemas.openxmlformats.org/officeDocument/2006/relationships" ref="Q1106" r:id="rId2165"/>
    <hyperlink xmlns:r="http://schemas.openxmlformats.org/officeDocument/2006/relationships" ref="R1106" r:id="rId2166"/>
    <hyperlink xmlns:r="http://schemas.openxmlformats.org/officeDocument/2006/relationships" ref="Q1107" r:id="rId2167"/>
    <hyperlink xmlns:r="http://schemas.openxmlformats.org/officeDocument/2006/relationships" ref="R1107" r:id="rId2168"/>
    <hyperlink xmlns:r="http://schemas.openxmlformats.org/officeDocument/2006/relationships" ref="Q1108" r:id="rId2169"/>
    <hyperlink xmlns:r="http://schemas.openxmlformats.org/officeDocument/2006/relationships" ref="R1108" r:id="rId2170"/>
    <hyperlink xmlns:r="http://schemas.openxmlformats.org/officeDocument/2006/relationships" ref="Q1109" r:id="rId2171"/>
    <hyperlink xmlns:r="http://schemas.openxmlformats.org/officeDocument/2006/relationships" ref="R1109" r:id="rId2172"/>
    <hyperlink xmlns:r="http://schemas.openxmlformats.org/officeDocument/2006/relationships" ref="Q1110" r:id="rId2173"/>
    <hyperlink xmlns:r="http://schemas.openxmlformats.org/officeDocument/2006/relationships" ref="R1110" r:id="rId2174"/>
    <hyperlink xmlns:r="http://schemas.openxmlformats.org/officeDocument/2006/relationships" ref="Q1111" r:id="rId2175"/>
    <hyperlink xmlns:r="http://schemas.openxmlformats.org/officeDocument/2006/relationships" ref="R1111" r:id="rId2176"/>
    <hyperlink xmlns:r="http://schemas.openxmlformats.org/officeDocument/2006/relationships" ref="Q1112" r:id="rId2177"/>
    <hyperlink xmlns:r="http://schemas.openxmlformats.org/officeDocument/2006/relationships" ref="R1112" r:id="rId2178"/>
    <hyperlink xmlns:r="http://schemas.openxmlformats.org/officeDocument/2006/relationships" ref="Q1113" r:id="rId2179"/>
    <hyperlink xmlns:r="http://schemas.openxmlformats.org/officeDocument/2006/relationships" ref="R1113" r:id="rId2180"/>
    <hyperlink xmlns:r="http://schemas.openxmlformats.org/officeDocument/2006/relationships" ref="Q1114" r:id="rId2181"/>
    <hyperlink xmlns:r="http://schemas.openxmlformats.org/officeDocument/2006/relationships" ref="R1114" r:id="rId2182"/>
    <hyperlink xmlns:r="http://schemas.openxmlformats.org/officeDocument/2006/relationships" ref="Q1115" r:id="rId2183"/>
    <hyperlink xmlns:r="http://schemas.openxmlformats.org/officeDocument/2006/relationships" ref="R1115" r:id="rId2184"/>
    <hyperlink xmlns:r="http://schemas.openxmlformats.org/officeDocument/2006/relationships" ref="Q1116" r:id="rId2185"/>
    <hyperlink xmlns:r="http://schemas.openxmlformats.org/officeDocument/2006/relationships" ref="R1116" r:id="rId2186"/>
    <hyperlink xmlns:r="http://schemas.openxmlformats.org/officeDocument/2006/relationships" ref="Q1117" r:id="rId2187"/>
    <hyperlink xmlns:r="http://schemas.openxmlformats.org/officeDocument/2006/relationships" ref="R1117" r:id="rId2188"/>
    <hyperlink xmlns:r="http://schemas.openxmlformats.org/officeDocument/2006/relationships" ref="Q1118" r:id="rId2189"/>
    <hyperlink xmlns:r="http://schemas.openxmlformats.org/officeDocument/2006/relationships" ref="R1118" r:id="rId2190"/>
    <hyperlink xmlns:r="http://schemas.openxmlformats.org/officeDocument/2006/relationships" ref="Q1119" r:id="rId2191"/>
    <hyperlink xmlns:r="http://schemas.openxmlformats.org/officeDocument/2006/relationships" ref="R1119" r:id="rId2192"/>
    <hyperlink xmlns:r="http://schemas.openxmlformats.org/officeDocument/2006/relationships" ref="Q1120" r:id="rId2193"/>
    <hyperlink xmlns:r="http://schemas.openxmlformats.org/officeDocument/2006/relationships" ref="R1120" r:id="rId2194"/>
    <hyperlink xmlns:r="http://schemas.openxmlformats.org/officeDocument/2006/relationships" ref="Q1121" r:id="rId2195"/>
    <hyperlink xmlns:r="http://schemas.openxmlformats.org/officeDocument/2006/relationships" ref="R1121" r:id="rId2196"/>
    <hyperlink xmlns:r="http://schemas.openxmlformats.org/officeDocument/2006/relationships" ref="Q1122" r:id="rId2197"/>
    <hyperlink xmlns:r="http://schemas.openxmlformats.org/officeDocument/2006/relationships" ref="R1122" r:id="rId2198"/>
    <hyperlink xmlns:r="http://schemas.openxmlformats.org/officeDocument/2006/relationships" ref="Q1123" r:id="rId2199"/>
    <hyperlink xmlns:r="http://schemas.openxmlformats.org/officeDocument/2006/relationships" ref="R1123" r:id="rId2200"/>
    <hyperlink xmlns:r="http://schemas.openxmlformats.org/officeDocument/2006/relationships" ref="Q1124" r:id="rId2201"/>
    <hyperlink xmlns:r="http://schemas.openxmlformats.org/officeDocument/2006/relationships" ref="R1124" r:id="rId2202"/>
    <hyperlink xmlns:r="http://schemas.openxmlformats.org/officeDocument/2006/relationships" ref="Q1125" r:id="rId2203"/>
    <hyperlink xmlns:r="http://schemas.openxmlformats.org/officeDocument/2006/relationships" ref="R1125" r:id="rId2204"/>
    <hyperlink xmlns:r="http://schemas.openxmlformats.org/officeDocument/2006/relationships" ref="Q1126" r:id="rId2205"/>
    <hyperlink xmlns:r="http://schemas.openxmlformats.org/officeDocument/2006/relationships" ref="R1126" r:id="rId2206"/>
    <hyperlink xmlns:r="http://schemas.openxmlformats.org/officeDocument/2006/relationships" ref="Q1127" r:id="rId2207"/>
    <hyperlink xmlns:r="http://schemas.openxmlformats.org/officeDocument/2006/relationships" ref="R1127" r:id="rId2208"/>
    <hyperlink xmlns:r="http://schemas.openxmlformats.org/officeDocument/2006/relationships" ref="Q1128" r:id="rId2209"/>
    <hyperlink xmlns:r="http://schemas.openxmlformats.org/officeDocument/2006/relationships" ref="R1128" r:id="rId2210"/>
    <hyperlink xmlns:r="http://schemas.openxmlformats.org/officeDocument/2006/relationships" ref="Q1129" r:id="rId2211"/>
    <hyperlink xmlns:r="http://schemas.openxmlformats.org/officeDocument/2006/relationships" ref="R1129" r:id="rId2212"/>
    <hyperlink xmlns:r="http://schemas.openxmlformats.org/officeDocument/2006/relationships" ref="Q1130" r:id="rId2213"/>
    <hyperlink xmlns:r="http://schemas.openxmlformats.org/officeDocument/2006/relationships" ref="R1130" r:id="rId2214"/>
    <hyperlink xmlns:r="http://schemas.openxmlformats.org/officeDocument/2006/relationships" ref="Q1131" r:id="rId2215"/>
    <hyperlink xmlns:r="http://schemas.openxmlformats.org/officeDocument/2006/relationships" ref="R1131" r:id="rId2216"/>
    <hyperlink xmlns:r="http://schemas.openxmlformats.org/officeDocument/2006/relationships" ref="Q1132" r:id="rId2217"/>
    <hyperlink xmlns:r="http://schemas.openxmlformats.org/officeDocument/2006/relationships" ref="R1132" r:id="rId2218"/>
    <hyperlink xmlns:r="http://schemas.openxmlformats.org/officeDocument/2006/relationships" ref="Q1133" r:id="rId2219"/>
    <hyperlink xmlns:r="http://schemas.openxmlformats.org/officeDocument/2006/relationships" ref="R1133" r:id="rId2220"/>
    <hyperlink xmlns:r="http://schemas.openxmlformats.org/officeDocument/2006/relationships" ref="Q1134" r:id="rId2221"/>
    <hyperlink xmlns:r="http://schemas.openxmlformats.org/officeDocument/2006/relationships" ref="R1134" r:id="rId2222"/>
    <hyperlink xmlns:r="http://schemas.openxmlformats.org/officeDocument/2006/relationships" ref="Q1135" r:id="rId2223"/>
    <hyperlink xmlns:r="http://schemas.openxmlformats.org/officeDocument/2006/relationships" ref="R1135" r:id="rId2224"/>
    <hyperlink xmlns:r="http://schemas.openxmlformats.org/officeDocument/2006/relationships" ref="Q1136" r:id="rId2225"/>
    <hyperlink xmlns:r="http://schemas.openxmlformats.org/officeDocument/2006/relationships" ref="R1136" r:id="rId2226"/>
    <hyperlink xmlns:r="http://schemas.openxmlformats.org/officeDocument/2006/relationships" ref="Q1137" r:id="rId2227"/>
    <hyperlink xmlns:r="http://schemas.openxmlformats.org/officeDocument/2006/relationships" ref="R1137" r:id="rId2228"/>
    <hyperlink xmlns:r="http://schemas.openxmlformats.org/officeDocument/2006/relationships" ref="Q1138" r:id="rId2229"/>
    <hyperlink xmlns:r="http://schemas.openxmlformats.org/officeDocument/2006/relationships" ref="R1138" r:id="rId2230"/>
    <hyperlink xmlns:r="http://schemas.openxmlformats.org/officeDocument/2006/relationships" ref="Q1139" r:id="rId2231"/>
    <hyperlink xmlns:r="http://schemas.openxmlformats.org/officeDocument/2006/relationships" ref="R1139" r:id="rId2232"/>
    <hyperlink xmlns:r="http://schemas.openxmlformats.org/officeDocument/2006/relationships" ref="Q1140" r:id="rId2233"/>
    <hyperlink xmlns:r="http://schemas.openxmlformats.org/officeDocument/2006/relationships" ref="R1140" r:id="rId2234"/>
    <hyperlink xmlns:r="http://schemas.openxmlformats.org/officeDocument/2006/relationships" ref="Q1141" r:id="rId2235"/>
    <hyperlink xmlns:r="http://schemas.openxmlformats.org/officeDocument/2006/relationships" ref="R1141" r:id="rId2236"/>
    <hyperlink xmlns:r="http://schemas.openxmlformats.org/officeDocument/2006/relationships" ref="Q1142" r:id="rId2237"/>
    <hyperlink xmlns:r="http://schemas.openxmlformats.org/officeDocument/2006/relationships" ref="R1142" r:id="rId2238"/>
    <hyperlink xmlns:r="http://schemas.openxmlformats.org/officeDocument/2006/relationships" ref="Q1143" r:id="rId2239"/>
    <hyperlink xmlns:r="http://schemas.openxmlformats.org/officeDocument/2006/relationships" ref="R1143" r:id="rId2240"/>
    <hyperlink xmlns:r="http://schemas.openxmlformats.org/officeDocument/2006/relationships" ref="Q1144" r:id="rId2241"/>
    <hyperlink xmlns:r="http://schemas.openxmlformats.org/officeDocument/2006/relationships" ref="R1144" r:id="rId2242"/>
    <hyperlink xmlns:r="http://schemas.openxmlformats.org/officeDocument/2006/relationships" ref="Q1145" r:id="rId2243"/>
    <hyperlink xmlns:r="http://schemas.openxmlformats.org/officeDocument/2006/relationships" ref="Q1146" r:id="rId2244"/>
    <hyperlink xmlns:r="http://schemas.openxmlformats.org/officeDocument/2006/relationships" ref="R1146" r:id="rId2245"/>
    <hyperlink xmlns:r="http://schemas.openxmlformats.org/officeDocument/2006/relationships" ref="Q1147" r:id="rId2246"/>
    <hyperlink xmlns:r="http://schemas.openxmlformats.org/officeDocument/2006/relationships" ref="Q1148" r:id="rId2247"/>
    <hyperlink xmlns:r="http://schemas.openxmlformats.org/officeDocument/2006/relationships" ref="Q1149" r:id="rId2248"/>
    <hyperlink xmlns:r="http://schemas.openxmlformats.org/officeDocument/2006/relationships" ref="R1149" r:id="rId2249"/>
    <hyperlink xmlns:r="http://schemas.openxmlformats.org/officeDocument/2006/relationships" ref="Q1150" r:id="rId2250"/>
    <hyperlink xmlns:r="http://schemas.openxmlformats.org/officeDocument/2006/relationships" ref="Q1151" r:id="rId2251"/>
    <hyperlink xmlns:r="http://schemas.openxmlformats.org/officeDocument/2006/relationships" ref="R1151" r:id="rId2252"/>
    <hyperlink xmlns:r="http://schemas.openxmlformats.org/officeDocument/2006/relationships" ref="Q1152" r:id="rId2253"/>
    <hyperlink xmlns:r="http://schemas.openxmlformats.org/officeDocument/2006/relationships" ref="R1152" r:id="rId2254"/>
    <hyperlink xmlns:r="http://schemas.openxmlformats.org/officeDocument/2006/relationships" ref="Q1153" r:id="rId2255"/>
    <hyperlink xmlns:r="http://schemas.openxmlformats.org/officeDocument/2006/relationships" ref="Q1154" r:id="rId2256"/>
    <hyperlink xmlns:r="http://schemas.openxmlformats.org/officeDocument/2006/relationships" ref="R1154" r:id="rId2257"/>
    <hyperlink xmlns:r="http://schemas.openxmlformats.org/officeDocument/2006/relationships" ref="Q1155" r:id="rId2258"/>
    <hyperlink xmlns:r="http://schemas.openxmlformats.org/officeDocument/2006/relationships" ref="R1155" r:id="rId2259"/>
    <hyperlink xmlns:r="http://schemas.openxmlformats.org/officeDocument/2006/relationships" ref="Q1156" r:id="rId2260"/>
    <hyperlink xmlns:r="http://schemas.openxmlformats.org/officeDocument/2006/relationships" ref="Q1157" r:id="rId2261"/>
    <hyperlink xmlns:r="http://schemas.openxmlformats.org/officeDocument/2006/relationships" ref="R1157" r:id="rId2262"/>
    <hyperlink xmlns:r="http://schemas.openxmlformats.org/officeDocument/2006/relationships" ref="Q1158" r:id="rId2263"/>
    <hyperlink xmlns:r="http://schemas.openxmlformats.org/officeDocument/2006/relationships" ref="Q1159" r:id="rId2264"/>
    <hyperlink xmlns:r="http://schemas.openxmlformats.org/officeDocument/2006/relationships" ref="R1159" r:id="rId2265"/>
    <hyperlink xmlns:r="http://schemas.openxmlformats.org/officeDocument/2006/relationships" ref="Q1160" r:id="rId2266"/>
    <hyperlink xmlns:r="http://schemas.openxmlformats.org/officeDocument/2006/relationships" ref="R1160" r:id="rId2267"/>
    <hyperlink xmlns:r="http://schemas.openxmlformats.org/officeDocument/2006/relationships" ref="Q1161" r:id="rId2268"/>
    <hyperlink xmlns:r="http://schemas.openxmlformats.org/officeDocument/2006/relationships" ref="R1161" r:id="rId2269"/>
    <hyperlink xmlns:r="http://schemas.openxmlformats.org/officeDocument/2006/relationships" ref="Q1162" r:id="rId2270"/>
    <hyperlink xmlns:r="http://schemas.openxmlformats.org/officeDocument/2006/relationships" ref="R1162" r:id="rId2271"/>
    <hyperlink xmlns:r="http://schemas.openxmlformats.org/officeDocument/2006/relationships" ref="Q1163" r:id="rId2272"/>
    <hyperlink xmlns:r="http://schemas.openxmlformats.org/officeDocument/2006/relationships" ref="R1163" r:id="rId2273"/>
    <hyperlink xmlns:r="http://schemas.openxmlformats.org/officeDocument/2006/relationships" ref="Q1164" r:id="rId2274"/>
    <hyperlink xmlns:r="http://schemas.openxmlformats.org/officeDocument/2006/relationships" ref="R1164" r:id="rId2275"/>
    <hyperlink xmlns:r="http://schemas.openxmlformats.org/officeDocument/2006/relationships" ref="Q1165" r:id="rId2276"/>
    <hyperlink xmlns:r="http://schemas.openxmlformats.org/officeDocument/2006/relationships" ref="R1165" r:id="rId2277"/>
    <hyperlink xmlns:r="http://schemas.openxmlformats.org/officeDocument/2006/relationships" ref="Q1166" r:id="rId2278"/>
    <hyperlink xmlns:r="http://schemas.openxmlformats.org/officeDocument/2006/relationships" ref="R1166" r:id="rId2279"/>
    <hyperlink xmlns:r="http://schemas.openxmlformats.org/officeDocument/2006/relationships" ref="Q1167" r:id="rId2280"/>
    <hyperlink xmlns:r="http://schemas.openxmlformats.org/officeDocument/2006/relationships" ref="R1167" r:id="rId2281"/>
    <hyperlink xmlns:r="http://schemas.openxmlformats.org/officeDocument/2006/relationships" ref="Q1168" r:id="rId2282"/>
    <hyperlink xmlns:r="http://schemas.openxmlformats.org/officeDocument/2006/relationships" ref="R1168" r:id="rId2283"/>
    <hyperlink xmlns:r="http://schemas.openxmlformats.org/officeDocument/2006/relationships" ref="Q1169" r:id="rId2284"/>
    <hyperlink xmlns:r="http://schemas.openxmlformats.org/officeDocument/2006/relationships" ref="R1169" r:id="rId2285"/>
    <hyperlink xmlns:r="http://schemas.openxmlformats.org/officeDocument/2006/relationships" ref="Q1170" r:id="rId2286"/>
    <hyperlink xmlns:r="http://schemas.openxmlformats.org/officeDocument/2006/relationships" ref="R1170" r:id="rId2287"/>
    <hyperlink xmlns:r="http://schemas.openxmlformats.org/officeDocument/2006/relationships" ref="Q1171" r:id="rId2288"/>
    <hyperlink xmlns:r="http://schemas.openxmlformats.org/officeDocument/2006/relationships" ref="R1171" r:id="rId2289"/>
    <hyperlink xmlns:r="http://schemas.openxmlformats.org/officeDocument/2006/relationships" ref="Q1172" r:id="rId2290"/>
    <hyperlink xmlns:r="http://schemas.openxmlformats.org/officeDocument/2006/relationships" ref="R1172" r:id="rId2291"/>
    <hyperlink xmlns:r="http://schemas.openxmlformats.org/officeDocument/2006/relationships" ref="Q1173" r:id="rId2292"/>
    <hyperlink xmlns:r="http://schemas.openxmlformats.org/officeDocument/2006/relationships" ref="R1173" r:id="rId2293"/>
    <hyperlink xmlns:r="http://schemas.openxmlformats.org/officeDocument/2006/relationships" ref="Q1174" r:id="rId2294"/>
    <hyperlink xmlns:r="http://schemas.openxmlformats.org/officeDocument/2006/relationships" ref="R1174" r:id="rId2295"/>
    <hyperlink xmlns:r="http://schemas.openxmlformats.org/officeDocument/2006/relationships" ref="Q1175" r:id="rId2296"/>
    <hyperlink xmlns:r="http://schemas.openxmlformats.org/officeDocument/2006/relationships" ref="R1175" r:id="rId2297"/>
    <hyperlink xmlns:r="http://schemas.openxmlformats.org/officeDocument/2006/relationships" ref="Q1176" r:id="rId2298"/>
    <hyperlink xmlns:r="http://schemas.openxmlformats.org/officeDocument/2006/relationships" ref="R1176" r:id="rId2299"/>
    <hyperlink xmlns:r="http://schemas.openxmlformats.org/officeDocument/2006/relationships" ref="Q1177" r:id="rId2300"/>
    <hyperlink xmlns:r="http://schemas.openxmlformats.org/officeDocument/2006/relationships" ref="R1177" r:id="rId2301"/>
    <hyperlink xmlns:r="http://schemas.openxmlformats.org/officeDocument/2006/relationships" ref="Q1178" r:id="rId2302"/>
    <hyperlink xmlns:r="http://schemas.openxmlformats.org/officeDocument/2006/relationships" ref="R1178" r:id="rId2303"/>
    <hyperlink xmlns:r="http://schemas.openxmlformats.org/officeDocument/2006/relationships" ref="Q1179" r:id="rId2304"/>
    <hyperlink xmlns:r="http://schemas.openxmlformats.org/officeDocument/2006/relationships" ref="R1179" r:id="rId2305"/>
    <hyperlink xmlns:r="http://schemas.openxmlformats.org/officeDocument/2006/relationships" ref="Q1180" r:id="rId2306"/>
    <hyperlink xmlns:r="http://schemas.openxmlformats.org/officeDocument/2006/relationships" ref="R1180" r:id="rId2307"/>
    <hyperlink xmlns:r="http://schemas.openxmlformats.org/officeDocument/2006/relationships" ref="Q1181" r:id="rId2308"/>
    <hyperlink xmlns:r="http://schemas.openxmlformats.org/officeDocument/2006/relationships" ref="R1181" r:id="rId2309"/>
    <hyperlink xmlns:r="http://schemas.openxmlformats.org/officeDocument/2006/relationships" ref="Q1182" r:id="rId2310"/>
    <hyperlink xmlns:r="http://schemas.openxmlformats.org/officeDocument/2006/relationships" ref="R1182" r:id="rId2311"/>
    <hyperlink xmlns:r="http://schemas.openxmlformats.org/officeDocument/2006/relationships" ref="Q1183" r:id="rId2312"/>
    <hyperlink xmlns:r="http://schemas.openxmlformats.org/officeDocument/2006/relationships" ref="R1183" r:id="rId2313"/>
    <hyperlink xmlns:r="http://schemas.openxmlformats.org/officeDocument/2006/relationships" ref="Q1184" r:id="rId2314"/>
    <hyperlink xmlns:r="http://schemas.openxmlformats.org/officeDocument/2006/relationships" ref="R1184" r:id="rId2315"/>
    <hyperlink xmlns:r="http://schemas.openxmlformats.org/officeDocument/2006/relationships" ref="Q1185" r:id="rId2316"/>
    <hyperlink xmlns:r="http://schemas.openxmlformats.org/officeDocument/2006/relationships" ref="R1185" r:id="rId2317"/>
    <hyperlink xmlns:r="http://schemas.openxmlformats.org/officeDocument/2006/relationships" ref="Q1186" r:id="rId2318"/>
    <hyperlink xmlns:r="http://schemas.openxmlformats.org/officeDocument/2006/relationships" ref="R1186" r:id="rId2319"/>
    <hyperlink xmlns:r="http://schemas.openxmlformats.org/officeDocument/2006/relationships" ref="Q1187" r:id="rId2320"/>
    <hyperlink xmlns:r="http://schemas.openxmlformats.org/officeDocument/2006/relationships" ref="R1187" r:id="rId2321"/>
    <hyperlink xmlns:r="http://schemas.openxmlformats.org/officeDocument/2006/relationships" ref="Q1188" r:id="rId2322"/>
    <hyperlink xmlns:r="http://schemas.openxmlformats.org/officeDocument/2006/relationships" ref="R1188" r:id="rId2323"/>
    <hyperlink xmlns:r="http://schemas.openxmlformats.org/officeDocument/2006/relationships" ref="Q1189" r:id="rId2324"/>
    <hyperlink xmlns:r="http://schemas.openxmlformats.org/officeDocument/2006/relationships" ref="R1189" r:id="rId2325"/>
    <hyperlink xmlns:r="http://schemas.openxmlformats.org/officeDocument/2006/relationships" ref="Q1190" r:id="rId2326"/>
    <hyperlink xmlns:r="http://schemas.openxmlformats.org/officeDocument/2006/relationships" ref="R1190" r:id="rId2327"/>
    <hyperlink xmlns:r="http://schemas.openxmlformats.org/officeDocument/2006/relationships" ref="Q1191" r:id="rId2328"/>
    <hyperlink xmlns:r="http://schemas.openxmlformats.org/officeDocument/2006/relationships" ref="R1191" r:id="rId2329"/>
    <hyperlink xmlns:r="http://schemas.openxmlformats.org/officeDocument/2006/relationships" ref="Q1192" r:id="rId2330"/>
    <hyperlink xmlns:r="http://schemas.openxmlformats.org/officeDocument/2006/relationships" ref="R1192" r:id="rId2331"/>
    <hyperlink xmlns:r="http://schemas.openxmlformats.org/officeDocument/2006/relationships" ref="Q1193" r:id="rId2332"/>
    <hyperlink xmlns:r="http://schemas.openxmlformats.org/officeDocument/2006/relationships" ref="R1193" r:id="rId2333"/>
    <hyperlink xmlns:r="http://schemas.openxmlformats.org/officeDocument/2006/relationships" ref="Q1194" r:id="rId2334"/>
    <hyperlink xmlns:r="http://schemas.openxmlformats.org/officeDocument/2006/relationships" ref="R1194" r:id="rId2335"/>
    <hyperlink xmlns:r="http://schemas.openxmlformats.org/officeDocument/2006/relationships" ref="Q1195" r:id="rId2336"/>
    <hyperlink xmlns:r="http://schemas.openxmlformats.org/officeDocument/2006/relationships" ref="R1195" r:id="rId2337"/>
    <hyperlink xmlns:r="http://schemas.openxmlformats.org/officeDocument/2006/relationships" ref="Q1196" r:id="rId2338"/>
    <hyperlink xmlns:r="http://schemas.openxmlformats.org/officeDocument/2006/relationships" ref="R1196" r:id="rId2339"/>
    <hyperlink xmlns:r="http://schemas.openxmlformats.org/officeDocument/2006/relationships" ref="Q1197" r:id="rId2340"/>
    <hyperlink xmlns:r="http://schemas.openxmlformats.org/officeDocument/2006/relationships" ref="R1197" r:id="rId2341"/>
    <hyperlink xmlns:r="http://schemas.openxmlformats.org/officeDocument/2006/relationships" ref="Q1198" r:id="rId2342"/>
    <hyperlink xmlns:r="http://schemas.openxmlformats.org/officeDocument/2006/relationships" ref="Q1199" r:id="rId2343"/>
    <hyperlink xmlns:r="http://schemas.openxmlformats.org/officeDocument/2006/relationships" ref="R1199" r:id="rId2344"/>
    <hyperlink xmlns:r="http://schemas.openxmlformats.org/officeDocument/2006/relationships" ref="Q1200" r:id="rId2345"/>
    <hyperlink xmlns:r="http://schemas.openxmlformats.org/officeDocument/2006/relationships" ref="Q1201" r:id="rId2346"/>
    <hyperlink xmlns:r="http://schemas.openxmlformats.org/officeDocument/2006/relationships" ref="R1201" r:id="rId2347"/>
    <hyperlink xmlns:r="http://schemas.openxmlformats.org/officeDocument/2006/relationships" ref="Q1202" r:id="rId2348"/>
    <hyperlink xmlns:r="http://schemas.openxmlformats.org/officeDocument/2006/relationships" ref="R1202" r:id="rId2349"/>
    <hyperlink xmlns:r="http://schemas.openxmlformats.org/officeDocument/2006/relationships" ref="Q1203" r:id="rId2350"/>
    <hyperlink xmlns:r="http://schemas.openxmlformats.org/officeDocument/2006/relationships" ref="R1203" r:id="rId2351"/>
    <hyperlink xmlns:r="http://schemas.openxmlformats.org/officeDocument/2006/relationships" ref="Q1204" r:id="rId2352"/>
    <hyperlink xmlns:r="http://schemas.openxmlformats.org/officeDocument/2006/relationships" ref="R1204" r:id="rId2353"/>
    <hyperlink xmlns:r="http://schemas.openxmlformats.org/officeDocument/2006/relationships" ref="Q1205" r:id="rId2354"/>
    <hyperlink xmlns:r="http://schemas.openxmlformats.org/officeDocument/2006/relationships" ref="R1205" r:id="rId2355"/>
    <hyperlink xmlns:r="http://schemas.openxmlformats.org/officeDocument/2006/relationships" ref="Q1206" r:id="rId2356"/>
    <hyperlink xmlns:r="http://schemas.openxmlformats.org/officeDocument/2006/relationships" ref="R1206" r:id="rId2357"/>
    <hyperlink xmlns:r="http://schemas.openxmlformats.org/officeDocument/2006/relationships" ref="Q1207" r:id="rId2358"/>
    <hyperlink xmlns:r="http://schemas.openxmlformats.org/officeDocument/2006/relationships" ref="R1207" r:id="rId2359"/>
    <hyperlink xmlns:r="http://schemas.openxmlformats.org/officeDocument/2006/relationships" ref="Q1208" r:id="rId2360"/>
    <hyperlink xmlns:r="http://schemas.openxmlformats.org/officeDocument/2006/relationships" ref="R1208" r:id="rId2361"/>
    <hyperlink xmlns:r="http://schemas.openxmlformats.org/officeDocument/2006/relationships" ref="Q1209" r:id="rId2362"/>
    <hyperlink xmlns:r="http://schemas.openxmlformats.org/officeDocument/2006/relationships" ref="R1209" r:id="rId2363"/>
    <hyperlink xmlns:r="http://schemas.openxmlformats.org/officeDocument/2006/relationships" ref="Q1210" r:id="rId2364"/>
    <hyperlink xmlns:r="http://schemas.openxmlformats.org/officeDocument/2006/relationships" ref="R1210" r:id="rId2365"/>
    <hyperlink xmlns:r="http://schemas.openxmlformats.org/officeDocument/2006/relationships" ref="Q1211" r:id="rId2366"/>
    <hyperlink xmlns:r="http://schemas.openxmlformats.org/officeDocument/2006/relationships" ref="R1211" r:id="rId2367"/>
    <hyperlink xmlns:r="http://schemas.openxmlformats.org/officeDocument/2006/relationships" ref="Q1212" r:id="rId2368"/>
    <hyperlink xmlns:r="http://schemas.openxmlformats.org/officeDocument/2006/relationships" ref="R1212" r:id="rId2369"/>
    <hyperlink xmlns:r="http://schemas.openxmlformats.org/officeDocument/2006/relationships" ref="Q1213" r:id="rId2370"/>
    <hyperlink xmlns:r="http://schemas.openxmlformats.org/officeDocument/2006/relationships" ref="R1213" r:id="rId2371"/>
    <hyperlink xmlns:r="http://schemas.openxmlformats.org/officeDocument/2006/relationships" ref="Q1214" r:id="rId2372"/>
    <hyperlink xmlns:r="http://schemas.openxmlformats.org/officeDocument/2006/relationships" ref="R1214" r:id="rId2373"/>
    <hyperlink xmlns:r="http://schemas.openxmlformats.org/officeDocument/2006/relationships" ref="Q1215" r:id="rId2374"/>
    <hyperlink xmlns:r="http://schemas.openxmlformats.org/officeDocument/2006/relationships" ref="R1215" r:id="rId2375"/>
    <hyperlink xmlns:r="http://schemas.openxmlformats.org/officeDocument/2006/relationships" ref="Q1216" r:id="rId2376"/>
    <hyperlink xmlns:r="http://schemas.openxmlformats.org/officeDocument/2006/relationships" ref="R1216" r:id="rId2377"/>
    <hyperlink xmlns:r="http://schemas.openxmlformats.org/officeDocument/2006/relationships" ref="Q1217" r:id="rId2378"/>
    <hyperlink xmlns:r="http://schemas.openxmlformats.org/officeDocument/2006/relationships" ref="R1217" r:id="rId2379"/>
    <hyperlink xmlns:r="http://schemas.openxmlformats.org/officeDocument/2006/relationships" ref="Q1218" r:id="rId2380"/>
    <hyperlink xmlns:r="http://schemas.openxmlformats.org/officeDocument/2006/relationships" ref="R1218" r:id="rId2381"/>
    <hyperlink xmlns:r="http://schemas.openxmlformats.org/officeDocument/2006/relationships" ref="Q1219" r:id="rId2382"/>
    <hyperlink xmlns:r="http://schemas.openxmlformats.org/officeDocument/2006/relationships" ref="R1219" r:id="rId2383"/>
    <hyperlink xmlns:r="http://schemas.openxmlformats.org/officeDocument/2006/relationships" ref="Q1220" r:id="rId2384"/>
    <hyperlink xmlns:r="http://schemas.openxmlformats.org/officeDocument/2006/relationships" ref="R1220" r:id="rId2385"/>
    <hyperlink xmlns:r="http://schemas.openxmlformats.org/officeDocument/2006/relationships" ref="Q1221" r:id="rId2386"/>
    <hyperlink xmlns:r="http://schemas.openxmlformats.org/officeDocument/2006/relationships" ref="R1221" r:id="rId2387"/>
    <hyperlink xmlns:r="http://schemas.openxmlformats.org/officeDocument/2006/relationships" ref="Q1222" r:id="rId2388"/>
    <hyperlink xmlns:r="http://schemas.openxmlformats.org/officeDocument/2006/relationships" ref="R1222" r:id="rId2389"/>
    <hyperlink xmlns:r="http://schemas.openxmlformats.org/officeDocument/2006/relationships" ref="Q1223" r:id="rId2390"/>
    <hyperlink xmlns:r="http://schemas.openxmlformats.org/officeDocument/2006/relationships" ref="R1223" r:id="rId2391"/>
    <hyperlink xmlns:r="http://schemas.openxmlformats.org/officeDocument/2006/relationships" ref="Q1224" r:id="rId2392"/>
    <hyperlink xmlns:r="http://schemas.openxmlformats.org/officeDocument/2006/relationships" ref="R1224" r:id="rId2393"/>
    <hyperlink xmlns:r="http://schemas.openxmlformats.org/officeDocument/2006/relationships" ref="Q1225" r:id="rId2394"/>
    <hyperlink xmlns:r="http://schemas.openxmlformats.org/officeDocument/2006/relationships" ref="R1225" r:id="rId2395"/>
    <hyperlink xmlns:r="http://schemas.openxmlformats.org/officeDocument/2006/relationships" ref="Q1226" r:id="rId2396"/>
    <hyperlink xmlns:r="http://schemas.openxmlformats.org/officeDocument/2006/relationships" ref="R1226" r:id="rId2397"/>
    <hyperlink xmlns:r="http://schemas.openxmlformats.org/officeDocument/2006/relationships" ref="Q1227" r:id="rId2398"/>
    <hyperlink xmlns:r="http://schemas.openxmlformats.org/officeDocument/2006/relationships" ref="R1227" r:id="rId2399"/>
    <hyperlink xmlns:r="http://schemas.openxmlformats.org/officeDocument/2006/relationships" ref="Q1228" r:id="rId2400"/>
    <hyperlink xmlns:r="http://schemas.openxmlformats.org/officeDocument/2006/relationships" ref="R1228" r:id="rId2401"/>
    <hyperlink xmlns:r="http://schemas.openxmlformats.org/officeDocument/2006/relationships" ref="Q1229" r:id="rId2402"/>
    <hyperlink xmlns:r="http://schemas.openxmlformats.org/officeDocument/2006/relationships" ref="R1229" r:id="rId2403"/>
    <hyperlink xmlns:r="http://schemas.openxmlformats.org/officeDocument/2006/relationships" ref="Q1230" r:id="rId2404"/>
    <hyperlink xmlns:r="http://schemas.openxmlformats.org/officeDocument/2006/relationships" ref="R1230" r:id="rId2405"/>
    <hyperlink xmlns:r="http://schemas.openxmlformats.org/officeDocument/2006/relationships" ref="Q1231" r:id="rId2406"/>
    <hyperlink xmlns:r="http://schemas.openxmlformats.org/officeDocument/2006/relationships" ref="R1231" r:id="rId2407"/>
    <hyperlink xmlns:r="http://schemas.openxmlformats.org/officeDocument/2006/relationships" ref="Q1232" r:id="rId2408"/>
    <hyperlink xmlns:r="http://schemas.openxmlformats.org/officeDocument/2006/relationships" ref="R1232" r:id="rId2409"/>
    <hyperlink xmlns:r="http://schemas.openxmlformats.org/officeDocument/2006/relationships" ref="Q1233" r:id="rId2410"/>
    <hyperlink xmlns:r="http://schemas.openxmlformats.org/officeDocument/2006/relationships" ref="R1233" r:id="rId2411"/>
    <hyperlink xmlns:r="http://schemas.openxmlformats.org/officeDocument/2006/relationships" ref="Q1234" r:id="rId2412"/>
    <hyperlink xmlns:r="http://schemas.openxmlformats.org/officeDocument/2006/relationships" ref="R1234" r:id="rId2413"/>
    <hyperlink xmlns:r="http://schemas.openxmlformats.org/officeDocument/2006/relationships" ref="Q1235" r:id="rId2414"/>
    <hyperlink xmlns:r="http://schemas.openxmlformats.org/officeDocument/2006/relationships" ref="R1235" r:id="rId2415"/>
    <hyperlink xmlns:r="http://schemas.openxmlformats.org/officeDocument/2006/relationships" ref="Q1236" r:id="rId2416"/>
    <hyperlink xmlns:r="http://schemas.openxmlformats.org/officeDocument/2006/relationships" ref="R1236" r:id="rId2417"/>
    <hyperlink xmlns:r="http://schemas.openxmlformats.org/officeDocument/2006/relationships" ref="Q1237" r:id="rId2418"/>
    <hyperlink xmlns:r="http://schemas.openxmlformats.org/officeDocument/2006/relationships" ref="R1237" r:id="rId2419"/>
    <hyperlink xmlns:r="http://schemas.openxmlformats.org/officeDocument/2006/relationships" ref="Q1238" r:id="rId2420"/>
    <hyperlink xmlns:r="http://schemas.openxmlformats.org/officeDocument/2006/relationships" ref="R1238" r:id="rId2421"/>
    <hyperlink xmlns:r="http://schemas.openxmlformats.org/officeDocument/2006/relationships" ref="Q1239" r:id="rId2422"/>
    <hyperlink xmlns:r="http://schemas.openxmlformats.org/officeDocument/2006/relationships" ref="R1239" r:id="rId2423"/>
    <hyperlink xmlns:r="http://schemas.openxmlformats.org/officeDocument/2006/relationships" ref="Q1240" r:id="rId2424"/>
    <hyperlink xmlns:r="http://schemas.openxmlformats.org/officeDocument/2006/relationships" ref="R1240" r:id="rId2425"/>
    <hyperlink xmlns:r="http://schemas.openxmlformats.org/officeDocument/2006/relationships" ref="Q1241" r:id="rId2426"/>
    <hyperlink xmlns:r="http://schemas.openxmlformats.org/officeDocument/2006/relationships" ref="R1241" r:id="rId2427"/>
    <hyperlink xmlns:r="http://schemas.openxmlformats.org/officeDocument/2006/relationships" ref="Q1242" r:id="rId2428"/>
    <hyperlink xmlns:r="http://schemas.openxmlformats.org/officeDocument/2006/relationships" ref="R1242" r:id="rId2429"/>
    <hyperlink xmlns:r="http://schemas.openxmlformats.org/officeDocument/2006/relationships" ref="Q1243" r:id="rId2430"/>
    <hyperlink xmlns:r="http://schemas.openxmlformats.org/officeDocument/2006/relationships" ref="R1243" r:id="rId2431"/>
    <hyperlink xmlns:r="http://schemas.openxmlformats.org/officeDocument/2006/relationships" ref="Q1244" r:id="rId2432"/>
    <hyperlink xmlns:r="http://schemas.openxmlformats.org/officeDocument/2006/relationships" ref="R1244" r:id="rId2433"/>
    <hyperlink xmlns:r="http://schemas.openxmlformats.org/officeDocument/2006/relationships" ref="Q1245" r:id="rId2434"/>
    <hyperlink xmlns:r="http://schemas.openxmlformats.org/officeDocument/2006/relationships" ref="R1245" r:id="rId2435"/>
    <hyperlink xmlns:r="http://schemas.openxmlformats.org/officeDocument/2006/relationships" ref="Q1246" r:id="rId2436"/>
    <hyperlink xmlns:r="http://schemas.openxmlformats.org/officeDocument/2006/relationships" ref="R1246" r:id="rId2437"/>
    <hyperlink xmlns:r="http://schemas.openxmlformats.org/officeDocument/2006/relationships" ref="Q1247" r:id="rId2438"/>
    <hyperlink xmlns:r="http://schemas.openxmlformats.org/officeDocument/2006/relationships" ref="R1247" r:id="rId2439"/>
    <hyperlink xmlns:r="http://schemas.openxmlformats.org/officeDocument/2006/relationships" ref="Q1248" r:id="rId2440"/>
    <hyperlink xmlns:r="http://schemas.openxmlformats.org/officeDocument/2006/relationships" ref="R1248" r:id="rId2441"/>
    <hyperlink xmlns:r="http://schemas.openxmlformats.org/officeDocument/2006/relationships" ref="Q1249" r:id="rId2442"/>
    <hyperlink xmlns:r="http://schemas.openxmlformats.org/officeDocument/2006/relationships" ref="R1249" r:id="rId2443"/>
    <hyperlink xmlns:r="http://schemas.openxmlformats.org/officeDocument/2006/relationships" ref="Q1250" r:id="rId2444"/>
    <hyperlink xmlns:r="http://schemas.openxmlformats.org/officeDocument/2006/relationships" ref="Q1251" r:id="rId2445"/>
    <hyperlink xmlns:r="http://schemas.openxmlformats.org/officeDocument/2006/relationships" ref="Q1252" r:id="rId2446"/>
    <hyperlink xmlns:r="http://schemas.openxmlformats.org/officeDocument/2006/relationships" ref="R1252" r:id="rId2447"/>
    <hyperlink xmlns:r="http://schemas.openxmlformats.org/officeDocument/2006/relationships" ref="Q1253" r:id="rId2448"/>
    <hyperlink xmlns:r="http://schemas.openxmlformats.org/officeDocument/2006/relationships" ref="R1253" r:id="rId2449"/>
    <hyperlink xmlns:r="http://schemas.openxmlformats.org/officeDocument/2006/relationships" ref="Q1254" r:id="rId2450"/>
    <hyperlink xmlns:r="http://schemas.openxmlformats.org/officeDocument/2006/relationships" ref="R1254" r:id="rId2451"/>
    <hyperlink xmlns:r="http://schemas.openxmlformats.org/officeDocument/2006/relationships" ref="Q1255" r:id="rId2452"/>
    <hyperlink xmlns:r="http://schemas.openxmlformats.org/officeDocument/2006/relationships" ref="R1255" r:id="rId2453"/>
    <hyperlink xmlns:r="http://schemas.openxmlformats.org/officeDocument/2006/relationships" ref="Q1256" r:id="rId2454"/>
    <hyperlink xmlns:r="http://schemas.openxmlformats.org/officeDocument/2006/relationships" ref="R1256" r:id="rId2455"/>
    <hyperlink xmlns:r="http://schemas.openxmlformats.org/officeDocument/2006/relationships" ref="Q1257" r:id="rId2456"/>
    <hyperlink xmlns:r="http://schemas.openxmlformats.org/officeDocument/2006/relationships" ref="R1257" r:id="rId2457"/>
    <hyperlink xmlns:r="http://schemas.openxmlformats.org/officeDocument/2006/relationships" ref="Q1258" r:id="rId2458"/>
    <hyperlink xmlns:r="http://schemas.openxmlformats.org/officeDocument/2006/relationships" ref="R1258" r:id="rId2459"/>
    <hyperlink xmlns:r="http://schemas.openxmlformats.org/officeDocument/2006/relationships" ref="Q1259" r:id="rId2460"/>
    <hyperlink xmlns:r="http://schemas.openxmlformats.org/officeDocument/2006/relationships" ref="R1259" r:id="rId2461"/>
    <hyperlink xmlns:r="http://schemas.openxmlformats.org/officeDocument/2006/relationships" ref="Q1260" r:id="rId2462"/>
    <hyperlink xmlns:r="http://schemas.openxmlformats.org/officeDocument/2006/relationships" ref="R1260" r:id="rId2463"/>
    <hyperlink xmlns:r="http://schemas.openxmlformats.org/officeDocument/2006/relationships" ref="Q1261" r:id="rId2464"/>
    <hyperlink xmlns:r="http://schemas.openxmlformats.org/officeDocument/2006/relationships" ref="R1261" r:id="rId2465"/>
    <hyperlink xmlns:r="http://schemas.openxmlformats.org/officeDocument/2006/relationships" ref="Q1262" r:id="rId2466"/>
    <hyperlink xmlns:r="http://schemas.openxmlformats.org/officeDocument/2006/relationships" ref="R1262" r:id="rId2467"/>
    <hyperlink xmlns:r="http://schemas.openxmlformats.org/officeDocument/2006/relationships" ref="Q1263" r:id="rId2468"/>
    <hyperlink xmlns:r="http://schemas.openxmlformats.org/officeDocument/2006/relationships" ref="R1263" r:id="rId2469"/>
    <hyperlink xmlns:r="http://schemas.openxmlformats.org/officeDocument/2006/relationships" ref="Q1264" r:id="rId2470"/>
    <hyperlink xmlns:r="http://schemas.openxmlformats.org/officeDocument/2006/relationships" ref="R1264" r:id="rId2471"/>
    <hyperlink xmlns:r="http://schemas.openxmlformats.org/officeDocument/2006/relationships" ref="Q1265" r:id="rId2472"/>
    <hyperlink xmlns:r="http://schemas.openxmlformats.org/officeDocument/2006/relationships" ref="R1265" r:id="rId2473"/>
    <hyperlink xmlns:r="http://schemas.openxmlformats.org/officeDocument/2006/relationships" ref="Q1266" r:id="rId2474"/>
    <hyperlink xmlns:r="http://schemas.openxmlformats.org/officeDocument/2006/relationships" ref="R1266" r:id="rId2475"/>
    <hyperlink xmlns:r="http://schemas.openxmlformats.org/officeDocument/2006/relationships" ref="Q1267" r:id="rId2476"/>
    <hyperlink xmlns:r="http://schemas.openxmlformats.org/officeDocument/2006/relationships" ref="R1267" r:id="rId2477"/>
    <hyperlink xmlns:r="http://schemas.openxmlformats.org/officeDocument/2006/relationships" ref="Q1268" r:id="rId2478"/>
    <hyperlink xmlns:r="http://schemas.openxmlformats.org/officeDocument/2006/relationships" ref="R1268" r:id="rId2479"/>
    <hyperlink xmlns:r="http://schemas.openxmlformats.org/officeDocument/2006/relationships" ref="Q1269" r:id="rId2480"/>
    <hyperlink xmlns:r="http://schemas.openxmlformats.org/officeDocument/2006/relationships" ref="R1269" r:id="rId2481"/>
    <hyperlink xmlns:r="http://schemas.openxmlformats.org/officeDocument/2006/relationships" ref="Q1270" r:id="rId2482"/>
    <hyperlink xmlns:r="http://schemas.openxmlformats.org/officeDocument/2006/relationships" ref="R1270" r:id="rId2483"/>
    <hyperlink xmlns:r="http://schemas.openxmlformats.org/officeDocument/2006/relationships" ref="Q1271" r:id="rId2484"/>
    <hyperlink xmlns:r="http://schemas.openxmlformats.org/officeDocument/2006/relationships" ref="R1271" r:id="rId2485"/>
    <hyperlink xmlns:r="http://schemas.openxmlformats.org/officeDocument/2006/relationships" ref="Q1272" r:id="rId2486"/>
    <hyperlink xmlns:r="http://schemas.openxmlformats.org/officeDocument/2006/relationships" ref="R1272" r:id="rId2487"/>
    <hyperlink xmlns:r="http://schemas.openxmlformats.org/officeDocument/2006/relationships" ref="Q1273" r:id="rId2488"/>
    <hyperlink xmlns:r="http://schemas.openxmlformats.org/officeDocument/2006/relationships" ref="R1273" r:id="rId2489"/>
    <hyperlink xmlns:r="http://schemas.openxmlformats.org/officeDocument/2006/relationships" ref="Q1274" r:id="rId2490"/>
    <hyperlink xmlns:r="http://schemas.openxmlformats.org/officeDocument/2006/relationships" ref="R1274" r:id="rId2491"/>
    <hyperlink xmlns:r="http://schemas.openxmlformats.org/officeDocument/2006/relationships" ref="Q1275" r:id="rId2492"/>
    <hyperlink xmlns:r="http://schemas.openxmlformats.org/officeDocument/2006/relationships" ref="R1275" r:id="rId2493"/>
    <hyperlink xmlns:r="http://schemas.openxmlformats.org/officeDocument/2006/relationships" ref="Q1276" r:id="rId2494"/>
    <hyperlink xmlns:r="http://schemas.openxmlformats.org/officeDocument/2006/relationships" ref="R1276" r:id="rId2495"/>
    <hyperlink xmlns:r="http://schemas.openxmlformats.org/officeDocument/2006/relationships" ref="Q1277" r:id="rId2496"/>
    <hyperlink xmlns:r="http://schemas.openxmlformats.org/officeDocument/2006/relationships" ref="R1277" r:id="rId2497"/>
    <hyperlink xmlns:r="http://schemas.openxmlformats.org/officeDocument/2006/relationships" ref="Q1278" r:id="rId2498"/>
    <hyperlink xmlns:r="http://schemas.openxmlformats.org/officeDocument/2006/relationships" ref="R1278" r:id="rId2499"/>
    <hyperlink xmlns:r="http://schemas.openxmlformats.org/officeDocument/2006/relationships" ref="Q1279" r:id="rId2500"/>
    <hyperlink xmlns:r="http://schemas.openxmlformats.org/officeDocument/2006/relationships" ref="R1279" r:id="rId2501"/>
    <hyperlink xmlns:r="http://schemas.openxmlformats.org/officeDocument/2006/relationships" ref="Q1280" r:id="rId2502"/>
    <hyperlink xmlns:r="http://schemas.openxmlformats.org/officeDocument/2006/relationships" ref="R1280" r:id="rId2503"/>
    <hyperlink xmlns:r="http://schemas.openxmlformats.org/officeDocument/2006/relationships" ref="Q1281" r:id="rId2504"/>
    <hyperlink xmlns:r="http://schemas.openxmlformats.org/officeDocument/2006/relationships" ref="R1281" r:id="rId2505"/>
    <hyperlink xmlns:r="http://schemas.openxmlformats.org/officeDocument/2006/relationships" ref="Q1282" r:id="rId2506"/>
    <hyperlink xmlns:r="http://schemas.openxmlformats.org/officeDocument/2006/relationships" ref="R1282" r:id="rId2507"/>
    <hyperlink xmlns:r="http://schemas.openxmlformats.org/officeDocument/2006/relationships" ref="Q1283" r:id="rId2508"/>
    <hyperlink xmlns:r="http://schemas.openxmlformats.org/officeDocument/2006/relationships" ref="R1283" r:id="rId2509"/>
    <hyperlink xmlns:r="http://schemas.openxmlformats.org/officeDocument/2006/relationships" ref="Q1284" r:id="rId2510"/>
    <hyperlink xmlns:r="http://schemas.openxmlformats.org/officeDocument/2006/relationships" ref="R1284" r:id="rId2511"/>
    <hyperlink xmlns:r="http://schemas.openxmlformats.org/officeDocument/2006/relationships" ref="Q1285" r:id="rId2512"/>
    <hyperlink xmlns:r="http://schemas.openxmlformats.org/officeDocument/2006/relationships" ref="R1285" r:id="rId2513"/>
    <hyperlink xmlns:r="http://schemas.openxmlformats.org/officeDocument/2006/relationships" ref="Q1286" r:id="rId2514"/>
    <hyperlink xmlns:r="http://schemas.openxmlformats.org/officeDocument/2006/relationships" ref="R1286" r:id="rId2515"/>
    <hyperlink xmlns:r="http://schemas.openxmlformats.org/officeDocument/2006/relationships" ref="Q1287" r:id="rId2516"/>
    <hyperlink xmlns:r="http://schemas.openxmlformats.org/officeDocument/2006/relationships" ref="R1287" r:id="rId2517"/>
    <hyperlink xmlns:r="http://schemas.openxmlformats.org/officeDocument/2006/relationships" ref="Q1288" r:id="rId2518"/>
    <hyperlink xmlns:r="http://schemas.openxmlformats.org/officeDocument/2006/relationships" ref="R1288" r:id="rId2519"/>
    <hyperlink xmlns:r="http://schemas.openxmlformats.org/officeDocument/2006/relationships" ref="Q1289" r:id="rId2520"/>
    <hyperlink xmlns:r="http://schemas.openxmlformats.org/officeDocument/2006/relationships" ref="R1289" r:id="rId2521"/>
    <hyperlink xmlns:r="http://schemas.openxmlformats.org/officeDocument/2006/relationships" ref="Q1290" r:id="rId2522"/>
    <hyperlink xmlns:r="http://schemas.openxmlformats.org/officeDocument/2006/relationships" ref="R1290" r:id="rId2523"/>
    <hyperlink xmlns:r="http://schemas.openxmlformats.org/officeDocument/2006/relationships" ref="Q1291" r:id="rId2524"/>
    <hyperlink xmlns:r="http://schemas.openxmlformats.org/officeDocument/2006/relationships" ref="R1291" r:id="rId2525"/>
    <hyperlink xmlns:r="http://schemas.openxmlformats.org/officeDocument/2006/relationships" ref="Q1292" r:id="rId2526"/>
    <hyperlink xmlns:r="http://schemas.openxmlformats.org/officeDocument/2006/relationships" ref="R1292" r:id="rId2527"/>
    <hyperlink xmlns:r="http://schemas.openxmlformats.org/officeDocument/2006/relationships" ref="Q1293" r:id="rId2528"/>
    <hyperlink xmlns:r="http://schemas.openxmlformats.org/officeDocument/2006/relationships" ref="R1293" r:id="rId2529"/>
    <hyperlink xmlns:r="http://schemas.openxmlformats.org/officeDocument/2006/relationships" ref="Q1294" r:id="rId2530"/>
    <hyperlink xmlns:r="http://schemas.openxmlformats.org/officeDocument/2006/relationships" ref="R1294" r:id="rId2531"/>
    <hyperlink xmlns:r="http://schemas.openxmlformats.org/officeDocument/2006/relationships" ref="Q1295" r:id="rId2532"/>
    <hyperlink xmlns:r="http://schemas.openxmlformats.org/officeDocument/2006/relationships" ref="R1295" r:id="rId2533"/>
    <hyperlink xmlns:r="http://schemas.openxmlformats.org/officeDocument/2006/relationships" ref="Q1296" r:id="rId2534"/>
    <hyperlink xmlns:r="http://schemas.openxmlformats.org/officeDocument/2006/relationships" ref="R1296" r:id="rId2535"/>
    <hyperlink xmlns:r="http://schemas.openxmlformats.org/officeDocument/2006/relationships" ref="Q1297" r:id="rId2536"/>
    <hyperlink xmlns:r="http://schemas.openxmlformats.org/officeDocument/2006/relationships" ref="Q1298" r:id="rId2537"/>
    <hyperlink xmlns:r="http://schemas.openxmlformats.org/officeDocument/2006/relationships" ref="R1298" r:id="rId2538"/>
    <hyperlink xmlns:r="http://schemas.openxmlformats.org/officeDocument/2006/relationships" ref="Q1299" r:id="rId2539"/>
    <hyperlink xmlns:r="http://schemas.openxmlformats.org/officeDocument/2006/relationships" ref="Q1300" r:id="rId2540"/>
    <hyperlink xmlns:r="http://schemas.openxmlformats.org/officeDocument/2006/relationships" ref="R1300" r:id="rId2541"/>
    <hyperlink xmlns:r="http://schemas.openxmlformats.org/officeDocument/2006/relationships" ref="Q1301" r:id="rId2542"/>
    <hyperlink xmlns:r="http://schemas.openxmlformats.org/officeDocument/2006/relationships" ref="R1301" r:id="rId2543"/>
    <hyperlink xmlns:r="http://schemas.openxmlformats.org/officeDocument/2006/relationships" ref="Q1302" r:id="rId2544"/>
    <hyperlink xmlns:r="http://schemas.openxmlformats.org/officeDocument/2006/relationships" ref="Q1303" r:id="rId2545"/>
    <hyperlink xmlns:r="http://schemas.openxmlformats.org/officeDocument/2006/relationships" ref="R1303" r:id="rId2546"/>
    <hyperlink xmlns:r="http://schemas.openxmlformats.org/officeDocument/2006/relationships" ref="Q1304" r:id="rId2547"/>
    <hyperlink xmlns:r="http://schemas.openxmlformats.org/officeDocument/2006/relationships" ref="R1304" r:id="rId2548"/>
    <hyperlink xmlns:r="http://schemas.openxmlformats.org/officeDocument/2006/relationships" ref="Q1305" r:id="rId2549"/>
    <hyperlink xmlns:r="http://schemas.openxmlformats.org/officeDocument/2006/relationships" ref="R1305" r:id="rId2550"/>
    <hyperlink xmlns:r="http://schemas.openxmlformats.org/officeDocument/2006/relationships" ref="Q1306" r:id="rId2551"/>
    <hyperlink xmlns:r="http://schemas.openxmlformats.org/officeDocument/2006/relationships" ref="R1306" r:id="rId2552"/>
    <hyperlink xmlns:r="http://schemas.openxmlformats.org/officeDocument/2006/relationships" ref="Q1307" r:id="rId2553"/>
    <hyperlink xmlns:r="http://schemas.openxmlformats.org/officeDocument/2006/relationships" ref="R1307" r:id="rId2554"/>
    <hyperlink xmlns:r="http://schemas.openxmlformats.org/officeDocument/2006/relationships" ref="Q1308" r:id="rId2555"/>
    <hyperlink xmlns:r="http://schemas.openxmlformats.org/officeDocument/2006/relationships" ref="R1308" r:id="rId2556"/>
    <hyperlink xmlns:r="http://schemas.openxmlformats.org/officeDocument/2006/relationships" ref="Q1309" r:id="rId2557"/>
    <hyperlink xmlns:r="http://schemas.openxmlformats.org/officeDocument/2006/relationships" ref="R1309" r:id="rId2558"/>
    <hyperlink xmlns:r="http://schemas.openxmlformats.org/officeDocument/2006/relationships" ref="Q1310" r:id="rId2559"/>
    <hyperlink xmlns:r="http://schemas.openxmlformats.org/officeDocument/2006/relationships" ref="R1310" r:id="rId2560"/>
    <hyperlink xmlns:r="http://schemas.openxmlformats.org/officeDocument/2006/relationships" ref="Q1311" r:id="rId2561"/>
    <hyperlink xmlns:r="http://schemas.openxmlformats.org/officeDocument/2006/relationships" ref="R1311" r:id="rId2562"/>
    <hyperlink xmlns:r="http://schemas.openxmlformats.org/officeDocument/2006/relationships" ref="Q1312" r:id="rId2563"/>
    <hyperlink xmlns:r="http://schemas.openxmlformats.org/officeDocument/2006/relationships" ref="R1312" r:id="rId2564"/>
    <hyperlink xmlns:r="http://schemas.openxmlformats.org/officeDocument/2006/relationships" ref="Q1313" r:id="rId2565"/>
    <hyperlink xmlns:r="http://schemas.openxmlformats.org/officeDocument/2006/relationships" ref="R1313" r:id="rId2566"/>
    <hyperlink xmlns:r="http://schemas.openxmlformats.org/officeDocument/2006/relationships" ref="Q1314" r:id="rId2567"/>
    <hyperlink xmlns:r="http://schemas.openxmlformats.org/officeDocument/2006/relationships" ref="R1314" r:id="rId2568"/>
    <hyperlink xmlns:r="http://schemas.openxmlformats.org/officeDocument/2006/relationships" ref="Q1315" r:id="rId2569"/>
    <hyperlink xmlns:r="http://schemas.openxmlformats.org/officeDocument/2006/relationships" ref="R1315" r:id="rId2570"/>
    <hyperlink xmlns:r="http://schemas.openxmlformats.org/officeDocument/2006/relationships" ref="Q1316" r:id="rId2571"/>
    <hyperlink xmlns:r="http://schemas.openxmlformats.org/officeDocument/2006/relationships" ref="R1316" r:id="rId2572"/>
    <hyperlink xmlns:r="http://schemas.openxmlformats.org/officeDocument/2006/relationships" ref="Q1317" r:id="rId2573"/>
    <hyperlink xmlns:r="http://schemas.openxmlformats.org/officeDocument/2006/relationships" ref="R1317" r:id="rId2574"/>
    <hyperlink xmlns:r="http://schemas.openxmlformats.org/officeDocument/2006/relationships" ref="Q1318" r:id="rId2575"/>
    <hyperlink xmlns:r="http://schemas.openxmlformats.org/officeDocument/2006/relationships" ref="R1318" r:id="rId2576"/>
    <hyperlink xmlns:r="http://schemas.openxmlformats.org/officeDocument/2006/relationships" ref="Q1319" r:id="rId2577"/>
    <hyperlink xmlns:r="http://schemas.openxmlformats.org/officeDocument/2006/relationships" ref="R1319" r:id="rId2578"/>
    <hyperlink xmlns:r="http://schemas.openxmlformats.org/officeDocument/2006/relationships" ref="Q1320" r:id="rId2579"/>
    <hyperlink xmlns:r="http://schemas.openxmlformats.org/officeDocument/2006/relationships" ref="R1320" r:id="rId2580"/>
    <hyperlink xmlns:r="http://schemas.openxmlformats.org/officeDocument/2006/relationships" ref="Q1321" r:id="rId2581"/>
    <hyperlink xmlns:r="http://schemas.openxmlformats.org/officeDocument/2006/relationships" ref="R1321" r:id="rId2582"/>
    <hyperlink xmlns:r="http://schemas.openxmlformats.org/officeDocument/2006/relationships" ref="Q1322" r:id="rId2583"/>
    <hyperlink xmlns:r="http://schemas.openxmlformats.org/officeDocument/2006/relationships" ref="R1322" r:id="rId2584"/>
    <hyperlink xmlns:r="http://schemas.openxmlformats.org/officeDocument/2006/relationships" ref="Q1323" r:id="rId2585"/>
    <hyperlink xmlns:r="http://schemas.openxmlformats.org/officeDocument/2006/relationships" ref="R1323" r:id="rId2586"/>
    <hyperlink xmlns:r="http://schemas.openxmlformats.org/officeDocument/2006/relationships" ref="Q1324" r:id="rId2587"/>
    <hyperlink xmlns:r="http://schemas.openxmlformats.org/officeDocument/2006/relationships" ref="R1324" r:id="rId2588"/>
    <hyperlink xmlns:r="http://schemas.openxmlformats.org/officeDocument/2006/relationships" ref="Q1325" r:id="rId2589"/>
    <hyperlink xmlns:r="http://schemas.openxmlformats.org/officeDocument/2006/relationships" ref="R1325" r:id="rId2590"/>
    <hyperlink xmlns:r="http://schemas.openxmlformats.org/officeDocument/2006/relationships" ref="Q1326" r:id="rId2591"/>
    <hyperlink xmlns:r="http://schemas.openxmlformats.org/officeDocument/2006/relationships" ref="R1326" r:id="rId2592"/>
    <hyperlink xmlns:r="http://schemas.openxmlformats.org/officeDocument/2006/relationships" ref="Q1327" r:id="rId2593"/>
    <hyperlink xmlns:r="http://schemas.openxmlformats.org/officeDocument/2006/relationships" ref="R1327" r:id="rId2594"/>
    <hyperlink xmlns:r="http://schemas.openxmlformats.org/officeDocument/2006/relationships" ref="Q1328" r:id="rId2595"/>
    <hyperlink xmlns:r="http://schemas.openxmlformats.org/officeDocument/2006/relationships" ref="R1328" r:id="rId2596"/>
    <hyperlink xmlns:r="http://schemas.openxmlformats.org/officeDocument/2006/relationships" ref="Q1329" r:id="rId2597"/>
    <hyperlink xmlns:r="http://schemas.openxmlformats.org/officeDocument/2006/relationships" ref="R1329" r:id="rId2598"/>
    <hyperlink xmlns:r="http://schemas.openxmlformats.org/officeDocument/2006/relationships" ref="Q1330" r:id="rId2599"/>
    <hyperlink xmlns:r="http://schemas.openxmlformats.org/officeDocument/2006/relationships" ref="R1330" r:id="rId2600"/>
    <hyperlink xmlns:r="http://schemas.openxmlformats.org/officeDocument/2006/relationships" ref="Q1331" r:id="rId2601"/>
    <hyperlink xmlns:r="http://schemas.openxmlformats.org/officeDocument/2006/relationships" ref="R1331" r:id="rId2602"/>
    <hyperlink xmlns:r="http://schemas.openxmlformats.org/officeDocument/2006/relationships" ref="Q1332" r:id="rId2603"/>
    <hyperlink xmlns:r="http://schemas.openxmlformats.org/officeDocument/2006/relationships" ref="R1332" r:id="rId2604"/>
    <hyperlink xmlns:r="http://schemas.openxmlformats.org/officeDocument/2006/relationships" ref="Q1333" r:id="rId2605"/>
    <hyperlink xmlns:r="http://schemas.openxmlformats.org/officeDocument/2006/relationships" ref="R1333" r:id="rId2606"/>
    <hyperlink xmlns:r="http://schemas.openxmlformats.org/officeDocument/2006/relationships" ref="Q1334" r:id="rId2607"/>
    <hyperlink xmlns:r="http://schemas.openxmlformats.org/officeDocument/2006/relationships" ref="Q1335" r:id="rId2608"/>
    <hyperlink xmlns:r="http://schemas.openxmlformats.org/officeDocument/2006/relationships" ref="R1335" r:id="rId2609"/>
    <hyperlink xmlns:r="http://schemas.openxmlformats.org/officeDocument/2006/relationships" ref="Q1336" r:id="rId2610"/>
    <hyperlink xmlns:r="http://schemas.openxmlformats.org/officeDocument/2006/relationships" ref="R1336" r:id="rId2611"/>
    <hyperlink xmlns:r="http://schemas.openxmlformats.org/officeDocument/2006/relationships" ref="Q1337" r:id="rId2612"/>
    <hyperlink xmlns:r="http://schemas.openxmlformats.org/officeDocument/2006/relationships" ref="R1337" r:id="rId2613"/>
    <hyperlink xmlns:r="http://schemas.openxmlformats.org/officeDocument/2006/relationships" ref="Q1338" r:id="rId2614"/>
    <hyperlink xmlns:r="http://schemas.openxmlformats.org/officeDocument/2006/relationships" ref="R1338" r:id="rId2615"/>
    <hyperlink xmlns:r="http://schemas.openxmlformats.org/officeDocument/2006/relationships" ref="Q1339" r:id="rId2616"/>
    <hyperlink xmlns:r="http://schemas.openxmlformats.org/officeDocument/2006/relationships" ref="R1339" r:id="rId2617"/>
    <hyperlink xmlns:r="http://schemas.openxmlformats.org/officeDocument/2006/relationships" ref="Q1340" r:id="rId2618"/>
    <hyperlink xmlns:r="http://schemas.openxmlformats.org/officeDocument/2006/relationships" ref="R1340" r:id="rId2619"/>
    <hyperlink xmlns:r="http://schemas.openxmlformats.org/officeDocument/2006/relationships" ref="Q1341" r:id="rId2620"/>
    <hyperlink xmlns:r="http://schemas.openxmlformats.org/officeDocument/2006/relationships" ref="R1341" r:id="rId2621"/>
    <hyperlink xmlns:r="http://schemas.openxmlformats.org/officeDocument/2006/relationships" ref="Q1342" r:id="rId2622"/>
    <hyperlink xmlns:r="http://schemas.openxmlformats.org/officeDocument/2006/relationships" ref="R1342" r:id="rId2623"/>
    <hyperlink xmlns:r="http://schemas.openxmlformats.org/officeDocument/2006/relationships" ref="Q1343" r:id="rId2624"/>
    <hyperlink xmlns:r="http://schemas.openxmlformats.org/officeDocument/2006/relationships" ref="R1343" r:id="rId2625"/>
    <hyperlink xmlns:r="http://schemas.openxmlformats.org/officeDocument/2006/relationships" ref="Q1344" r:id="rId2626"/>
    <hyperlink xmlns:r="http://schemas.openxmlformats.org/officeDocument/2006/relationships" ref="R1344" r:id="rId2627"/>
    <hyperlink xmlns:r="http://schemas.openxmlformats.org/officeDocument/2006/relationships" ref="Q1345" r:id="rId2628"/>
    <hyperlink xmlns:r="http://schemas.openxmlformats.org/officeDocument/2006/relationships" ref="R1345" r:id="rId2629"/>
    <hyperlink xmlns:r="http://schemas.openxmlformats.org/officeDocument/2006/relationships" ref="Q1346" r:id="rId2630"/>
    <hyperlink xmlns:r="http://schemas.openxmlformats.org/officeDocument/2006/relationships" ref="R1346" r:id="rId2631"/>
    <hyperlink xmlns:r="http://schemas.openxmlformats.org/officeDocument/2006/relationships" ref="Q1347" r:id="rId2632"/>
    <hyperlink xmlns:r="http://schemas.openxmlformats.org/officeDocument/2006/relationships" ref="R1347" r:id="rId2633"/>
    <hyperlink xmlns:r="http://schemas.openxmlformats.org/officeDocument/2006/relationships" ref="Q1348" r:id="rId2634"/>
    <hyperlink xmlns:r="http://schemas.openxmlformats.org/officeDocument/2006/relationships" ref="R1348" r:id="rId2635"/>
    <hyperlink xmlns:r="http://schemas.openxmlformats.org/officeDocument/2006/relationships" ref="Q1349" r:id="rId2636"/>
    <hyperlink xmlns:r="http://schemas.openxmlformats.org/officeDocument/2006/relationships" ref="R1349" r:id="rId2637"/>
    <hyperlink xmlns:r="http://schemas.openxmlformats.org/officeDocument/2006/relationships" ref="Q1350" r:id="rId2638"/>
    <hyperlink xmlns:r="http://schemas.openxmlformats.org/officeDocument/2006/relationships" ref="R1350" r:id="rId2639"/>
    <hyperlink xmlns:r="http://schemas.openxmlformats.org/officeDocument/2006/relationships" ref="Q1351" r:id="rId2640"/>
    <hyperlink xmlns:r="http://schemas.openxmlformats.org/officeDocument/2006/relationships" ref="R1351" r:id="rId2641"/>
    <hyperlink xmlns:r="http://schemas.openxmlformats.org/officeDocument/2006/relationships" ref="Q1352" r:id="rId2642"/>
    <hyperlink xmlns:r="http://schemas.openxmlformats.org/officeDocument/2006/relationships" ref="R1352" r:id="rId2643"/>
    <hyperlink xmlns:r="http://schemas.openxmlformats.org/officeDocument/2006/relationships" ref="Q1353" r:id="rId2644"/>
    <hyperlink xmlns:r="http://schemas.openxmlformats.org/officeDocument/2006/relationships" ref="R1353" r:id="rId2645"/>
    <hyperlink xmlns:r="http://schemas.openxmlformats.org/officeDocument/2006/relationships" ref="Q1354" r:id="rId2646"/>
    <hyperlink xmlns:r="http://schemas.openxmlformats.org/officeDocument/2006/relationships" ref="R1354" r:id="rId2647"/>
    <hyperlink xmlns:r="http://schemas.openxmlformats.org/officeDocument/2006/relationships" ref="Q1355" r:id="rId2648"/>
    <hyperlink xmlns:r="http://schemas.openxmlformats.org/officeDocument/2006/relationships" ref="R1355" r:id="rId2649"/>
    <hyperlink xmlns:r="http://schemas.openxmlformats.org/officeDocument/2006/relationships" ref="Q1356" r:id="rId2650"/>
    <hyperlink xmlns:r="http://schemas.openxmlformats.org/officeDocument/2006/relationships" ref="R1356" r:id="rId2651"/>
    <hyperlink xmlns:r="http://schemas.openxmlformats.org/officeDocument/2006/relationships" ref="Q1357" r:id="rId2652"/>
    <hyperlink xmlns:r="http://schemas.openxmlformats.org/officeDocument/2006/relationships" ref="R1357" r:id="rId2653"/>
    <hyperlink xmlns:r="http://schemas.openxmlformats.org/officeDocument/2006/relationships" ref="Q1358" r:id="rId2654"/>
    <hyperlink xmlns:r="http://schemas.openxmlformats.org/officeDocument/2006/relationships" ref="R1358" r:id="rId2655"/>
    <hyperlink xmlns:r="http://schemas.openxmlformats.org/officeDocument/2006/relationships" ref="Q1359" r:id="rId2656"/>
    <hyperlink xmlns:r="http://schemas.openxmlformats.org/officeDocument/2006/relationships" ref="R1359" r:id="rId2657"/>
    <hyperlink xmlns:r="http://schemas.openxmlformats.org/officeDocument/2006/relationships" ref="Q1360" r:id="rId2658"/>
    <hyperlink xmlns:r="http://schemas.openxmlformats.org/officeDocument/2006/relationships" ref="R1360" r:id="rId2659"/>
    <hyperlink xmlns:r="http://schemas.openxmlformats.org/officeDocument/2006/relationships" ref="Q1361" r:id="rId2660"/>
    <hyperlink xmlns:r="http://schemas.openxmlformats.org/officeDocument/2006/relationships" ref="R1361" r:id="rId2661"/>
    <hyperlink xmlns:r="http://schemas.openxmlformats.org/officeDocument/2006/relationships" ref="Q1362" r:id="rId2662"/>
    <hyperlink xmlns:r="http://schemas.openxmlformats.org/officeDocument/2006/relationships" ref="R1362" r:id="rId2663"/>
    <hyperlink xmlns:r="http://schemas.openxmlformats.org/officeDocument/2006/relationships" ref="Q1363" r:id="rId2664"/>
    <hyperlink xmlns:r="http://schemas.openxmlformats.org/officeDocument/2006/relationships" ref="R1363" r:id="rId2665"/>
    <hyperlink xmlns:r="http://schemas.openxmlformats.org/officeDocument/2006/relationships" ref="Q1364" r:id="rId2666"/>
    <hyperlink xmlns:r="http://schemas.openxmlformats.org/officeDocument/2006/relationships" ref="R1364" r:id="rId2667"/>
    <hyperlink xmlns:r="http://schemas.openxmlformats.org/officeDocument/2006/relationships" ref="Q1365" r:id="rId2668"/>
    <hyperlink xmlns:r="http://schemas.openxmlformats.org/officeDocument/2006/relationships" ref="R1365" r:id="rId2669"/>
    <hyperlink xmlns:r="http://schemas.openxmlformats.org/officeDocument/2006/relationships" ref="Q1366" r:id="rId2670"/>
    <hyperlink xmlns:r="http://schemas.openxmlformats.org/officeDocument/2006/relationships" ref="R1366" r:id="rId2671"/>
    <hyperlink xmlns:r="http://schemas.openxmlformats.org/officeDocument/2006/relationships" ref="Q1367" r:id="rId2672"/>
    <hyperlink xmlns:r="http://schemas.openxmlformats.org/officeDocument/2006/relationships" ref="R1367" r:id="rId2673"/>
    <hyperlink xmlns:r="http://schemas.openxmlformats.org/officeDocument/2006/relationships" ref="Q1368" r:id="rId2674"/>
    <hyperlink xmlns:r="http://schemas.openxmlformats.org/officeDocument/2006/relationships" ref="R1368" r:id="rId2675"/>
    <hyperlink xmlns:r="http://schemas.openxmlformats.org/officeDocument/2006/relationships" ref="Q1369" r:id="rId2676"/>
    <hyperlink xmlns:r="http://schemas.openxmlformats.org/officeDocument/2006/relationships" ref="R1369" r:id="rId2677"/>
    <hyperlink xmlns:r="http://schemas.openxmlformats.org/officeDocument/2006/relationships" ref="Q1370" r:id="rId2678"/>
    <hyperlink xmlns:r="http://schemas.openxmlformats.org/officeDocument/2006/relationships" ref="R1370" r:id="rId2679"/>
    <hyperlink xmlns:r="http://schemas.openxmlformats.org/officeDocument/2006/relationships" ref="Q1371" r:id="rId2680"/>
    <hyperlink xmlns:r="http://schemas.openxmlformats.org/officeDocument/2006/relationships" ref="R1371" r:id="rId2681"/>
    <hyperlink xmlns:r="http://schemas.openxmlformats.org/officeDocument/2006/relationships" ref="Q1372" r:id="rId2682"/>
    <hyperlink xmlns:r="http://schemas.openxmlformats.org/officeDocument/2006/relationships" ref="R1372" r:id="rId2683"/>
    <hyperlink xmlns:r="http://schemas.openxmlformats.org/officeDocument/2006/relationships" ref="Q1373" r:id="rId2684"/>
    <hyperlink xmlns:r="http://schemas.openxmlformats.org/officeDocument/2006/relationships" ref="R1373" r:id="rId2685"/>
    <hyperlink xmlns:r="http://schemas.openxmlformats.org/officeDocument/2006/relationships" ref="Q1374" r:id="rId2686"/>
    <hyperlink xmlns:r="http://schemas.openxmlformats.org/officeDocument/2006/relationships" ref="R1374" r:id="rId2687"/>
    <hyperlink xmlns:r="http://schemas.openxmlformats.org/officeDocument/2006/relationships" ref="Q1375" r:id="rId2688"/>
    <hyperlink xmlns:r="http://schemas.openxmlformats.org/officeDocument/2006/relationships" ref="R1375" r:id="rId2689"/>
    <hyperlink xmlns:r="http://schemas.openxmlformats.org/officeDocument/2006/relationships" ref="Q1376" r:id="rId2690"/>
    <hyperlink xmlns:r="http://schemas.openxmlformats.org/officeDocument/2006/relationships" ref="R1376" r:id="rId2691"/>
    <hyperlink xmlns:r="http://schemas.openxmlformats.org/officeDocument/2006/relationships" ref="Q1377" r:id="rId2692"/>
    <hyperlink xmlns:r="http://schemas.openxmlformats.org/officeDocument/2006/relationships" ref="R1377" r:id="rId2693"/>
    <hyperlink xmlns:r="http://schemas.openxmlformats.org/officeDocument/2006/relationships" ref="Q1378" r:id="rId2694"/>
    <hyperlink xmlns:r="http://schemas.openxmlformats.org/officeDocument/2006/relationships" ref="R1378" r:id="rId2695"/>
    <hyperlink xmlns:r="http://schemas.openxmlformats.org/officeDocument/2006/relationships" ref="Q1379" r:id="rId2696"/>
    <hyperlink xmlns:r="http://schemas.openxmlformats.org/officeDocument/2006/relationships" ref="R1379" r:id="rId2697"/>
    <hyperlink xmlns:r="http://schemas.openxmlformats.org/officeDocument/2006/relationships" ref="Q1380" r:id="rId2698"/>
    <hyperlink xmlns:r="http://schemas.openxmlformats.org/officeDocument/2006/relationships" ref="R1380" r:id="rId2699"/>
    <hyperlink xmlns:r="http://schemas.openxmlformats.org/officeDocument/2006/relationships" ref="Q1381" r:id="rId2700"/>
    <hyperlink xmlns:r="http://schemas.openxmlformats.org/officeDocument/2006/relationships" ref="R1381" r:id="rId2701"/>
    <hyperlink xmlns:r="http://schemas.openxmlformats.org/officeDocument/2006/relationships" ref="Q1382" r:id="rId2702"/>
    <hyperlink xmlns:r="http://schemas.openxmlformats.org/officeDocument/2006/relationships" ref="Q1383" r:id="rId2703"/>
    <hyperlink xmlns:r="http://schemas.openxmlformats.org/officeDocument/2006/relationships" ref="R1383" r:id="rId2704"/>
    <hyperlink xmlns:r="http://schemas.openxmlformats.org/officeDocument/2006/relationships" ref="Q1384" r:id="rId2705"/>
    <hyperlink xmlns:r="http://schemas.openxmlformats.org/officeDocument/2006/relationships" ref="R1384" r:id="rId2706"/>
    <hyperlink xmlns:r="http://schemas.openxmlformats.org/officeDocument/2006/relationships" ref="Q1385" r:id="rId2707"/>
    <hyperlink xmlns:r="http://schemas.openxmlformats.org/officeDocument/2006/relationships" ref="R1385" r:id="rId2708"/>
    <hyperlink xmlns:r="http://schemas.openxmlformats.org/officeDocument/2006/relationships" ref="Q1386" r:id="rId2709"/>
    <hyperlink xmlns:r="http://schemas.openxmlformats.org/officeDocument/2006/relationships" ref="R1386" r:id="rId2710"/>
    <hyperlink xmlns:r="http://schemas.openxmlformats.org/officeDocument/2006/relationships" ref="Q1387" r:id="rId2711"/>
    <hyperlink xmlns:r="http://schemas.openxmlformats.org/officeDocument/2006/relationships" ref="R1387" r:id="rId2712"/>
    <hyperlink xmlns:r="http://schemas.openxmlformats.org/officeDocument/2006/relationships" ref="Q1388" r:id="rId2713"/>
    <hyperlink xmlns:r="http://schemas.openxmlformats.org/officeDocument/2006/relationships" ref="R1388" r:id="rId2714"/>
    <hyperlink xmlns:r="http://schemas.openxmlformats.org/officeDocument/2006/relationships" ref="Q1389" r:id="rId2715"/>
    <hyperlink xmlns:r="http://schemas.openxmlformats.org/officeDocument/2006/relationships" ref="R1389" r:id="rId2716"/>
    <hyperlink xmlns:r="http://schemas.openxmlformats.org/officeDocument/2006/relationships" ref="Q1390" r:id="rId2717"/>
    <hyperlink xmlns:r="http://schemas.openxmlformats.org/officeDocument/2006/relationships" ref="R1390" r:id="rId2718"/>
    <hyperlink xmlns:r="http://schemas.openxmlformats.org/officeDocument/2006/relationships" ref="Q1391" r:id="rId2719"/>
    <hyperlink xmlns:r="http://schemas.openxmlformats.org/officeDocument/2006/relationships" ref="Q1392" r:id="rId2720"/>
    <hyperlink xmlns:r="http://schemas.openxmlformats.org/officeDocument/2006/relationships" ref="Q1393" r:id="rId2721"/>
    <hyperlink xmlns:r="http://schemas.openxmlformats.org/officeDocument/2006/relationships" ref="R1393" r:id="rId2722"/>
    <hyperlink xmlns:r="http://schemas.openxmlformats.org/officeDocument/2006/relationships" ref="Q1394" r:id="rId2723"/>
    <hyperlink xmlns:r="http://schemas.openxmlformats.org/officeDocument/2006/relationships" ref="R1394" r:id="rId2724"/>
    <hyperlink xmlns:r="http://schemas.openxmlformats.org/officeDocument/2006/relationships" ref="Q1395" r:id="rId2725"/>
    <hyperlink xmlns:r="http://schemas.openxmlformats.org/officeDocument/2006/relationships" ref="R1395" r:id="rId2726"/>
    <hyperlink xmlns:r="http://schemas.openxmlformats.org/officeDocument/2006/relationships" ref="Q1396" r:id="rId2727"/>
    <hyperlink xmlns:r="http://schemas.openxmlformats.org/officeDocument/2006/relationships" ref="R1396" r:id="rId2728"/>
    <hyperlink xmlns:r="http://schemas.openxmlformats.org/officeDocument/2006/relationships" ref="Q1397" r:id="rId2729"/>
    <hyperlink xmlns:r="http://schemas.openxmlformats.org/officeDocument/2006/relationships" ref="R1397" r:id="rId2730"/>
    <hyperlink xmlns:r="http://schemas.openxmlformats.org/officeDocument/2006/relationships" ref="Q1398" r:id="rId2731"/>
    <hyperlink xmlns:r="http://schemas.openxmlformats.org/officeDocument/2006/relationships" ref="R1398" r:id="rId2732"/>
    <hyperlink xmlns:r="http://schemas.openxmlformats.org/officeDocument/2006/relationships" ref="Q1399" r:id="rId2733"/>
    <hyperlink xmlns:r="http://schemas.openxmlformats.org/officeDocument/2006/relationships" ref="R1399" r:id="rId2734"/>
    <hyperlink xmlns:r="http://schemas.openxmlformats.org/officeDocument/2006/relationships" ref="Q1400" r:id="rId2735"/>
    <hyperlink xmlns:r="http://schemas.openxmlformats.org/officeDocument/2006/relationships" ref="R1400" r:id="rId2736"/>
    <hyperlink xmlns:r="http://schemas.openxmlformats.org/officeDocument/2006/relationships" ref="Q1401" r:id="rId2737"/>
    <hyperlink xmlns:r="http://schemas.openxmlformats.org/officeDocument/2006/relationships" ref="R1401" r:id="rId2738"/>
    <hyperlink xmlns:r="http://schemas.openxmlformats.org/officeDocument/2006/relationships" ref="Q1402" r:id="rId2739"/>
    <hyperlink xmlns:r="http://schemas.openxmlformats.org/officeDocument/2006/relationships" ref="R1402" r:id="rId2740"/>
    <hyperlink xmlns:r="http://schemas.openxmlformats.org/officeDocument/2006/relationships" ref="Q1403" r:id="rId2741"/>
    <hyperlink xmlns:r="http://schemas.openxmlformats.org/officeDocument/2006/relationships" ref="R1403" r:id="rId2742"/>
    <hyperlink xmlns:r="http://schemas.openxmlformats.org/officeDocument/2006/relationships" ref="Q1404" r:id="rId2743"/>
    <hyperlink xmlns:r="http://schemas.openxmlformats.org/officeDocument/2006/relationships" ref="R1404" r:id="rId2744"/>
    <hyperlink xmlns:r="http://schemas.openxmlformats.org/officeDocument/2006/relationships" ref="Q1405" r:id="rId2745"/>
    <hyperlink xmlns:r="http://schemas.openxmlformats.org/officeDocument/2006/relationships" ref="R1405" r:id="rId2746"/>
    <hyperlink xmlns:r="http://schemas.openxmlformats.org/officeDocument/2006/relationships" ref="Q1406" r:id="rId2747"/>
    <hyperlink xmlns:r="http://schemas.openxmlformats.org/officeDocument/2006/relationships" ref="R1406" r:id="rId2748"/>
    <hyperlink xmlns:r="http://schemas.openxmlformats.org/officeDocument/2006/relationships" ref="Q1407" r:id="rId2749"/>
    <hyperlink xmlns:r="http://schemas.openxmlformats.org/officeDocument/2006/relationships" ref="R1407" r:id="rId2750"/>
    <hyperlink xmlns:r="http://schemas.openxmlformats.org/officeDocument/2006/relationships" ref="Q1408" r:id="rId2751"/>
    <hyperlink xmlns:r="http://schemas.openxmlformats.org/officeDocument/2006/relationships" ref="R1408" r:id="rId2752"/>
    <hyperlink xmlns:r="http://schemas.openxmlformats.org/officeDocument/2006/relationships" ref="Q1409" r:id="rId2753"/>
    <hyperlink xmlns:r="http://schemas.openxmlformats.org/officeDocument/2006/relationships" ref="R1409" r:id="rId2754"/>
    <hyperlink xmlns:r="http://schemas.openxmlformats.org/officeDocument/2006/relationships" ref="Q1410" r:id="rId2755"/>
    <hyperlink xmlns:r="http://schemas.openxmlformats.org/officeDocument/2006/relationships" ref="R1410" r:id="rId2756"/>
    <hyperlink xmlns:r="http://schemas.openxmlformats.org/officeDocument/2006/relationships" ref="Q1411" r:id="rId2757"/>
    <hyperlink xmlns:r="http://schemas.openxmlformats.org/officeDocument/2006/relationships" ref="R1411" r:id="rId2758"/>
    <hyperlink xmlns:r="http://schemas.openxmlformats.org/officeDocument/2006/relationships" ref="Q1412" r:id="rId2759"/>
    <hyperlink xmlns:r="http://schemas.openxmlformats.org/officeDocument/2006/relationships" ref="R1412" r:id="rId2760"/>
    <hyperlink xmlns:r="http://schemas.openxmlformats.org/officeDocument/2006/relationships" ref="Q1413" r:id="rId2761"/>
    <hyperlink xmlns:r="http://schemas.openxmlformats.org/officeDocument/2006/relationships" ref="R1413" r:id="rId2762"/>
    <hyperlink xmlns:r="http://schemas.openxmlformats.org/officeDocument/2006/relationships" ref="Q1414" r:id="rId2763"/>
    <hyperlink xmlns:r="http://schemas.openxmlformats.org/officeDocument/2006/relationships" ref="R1414" r:id="rId2764"/>
    <hyperlink xmlns:r="http://schemas.openxmlformats.org/officeDocument/2006/relationships" ref="Q1415" r:id="rId2765"/>
    <hyperlink xmlns:r="http://schemas.openxmlformats.org/officeDocument/2006/relationships" ref="R1415" r:id="rId2766"/>
    <hyperlink xmlns:r="http://schemas.openxmlformats.org/officeDocument/2006/relationships" ref="Q1416" r:id="rId2767"/>
    <hyperlink xmlns:r="http://schemas.openxmlformats.org/officeDocument/2006/relationships" ref="Q1417" r:id="rId2768"/>
    <hyperlink xmlns:r="http://schemas.openxmlformats.org/officeDocument/2006/relationships" ref="R1417" r:id="rId2769"/>
    <hyperlink xmlns:r="http://schemas.openxmlformats.org/officeDocument/2006/relationships" ref="Q1418" r:id="rId2770"/>
    <hyperlink xmlns:r="http://schemas.openxmlformats.org/officeDocument/2006/relationships" ref="R1418" r:id="rId2771"/>
    <hyperlink xmlns:r="http://schemas.openxmlformats.org/officeDocument/2006/relationships" ref="Q1419" r:id="rId2772"/>
    <hyperlink xmlns:r="http://schemas.openxmlformats.org/officeDocument/2006/relationships" ref="R1419" r:id="rId2773"/>
    <hyperlink xmlns:r="http://schemas.openxmlformats.org/officeDocument/2006/relationships" ref="Q1420" r:id="rId2774"/>
    <hyperlink xmlns:r="http://schemas.openxmlformats.org/officeDocument/2006/relationships" ref="R1420" r:id="rId2775"/>
    <hyperlink xmlns:r="http://schemas.openxmlformats.org/officeDocument/2006/relationships" ref="Q1421" r:id="rId2776"/>
    <hyperlink xmlns:r="http://schemas.openxmlformats.org/officeDocument/2006/relationships" ref="R1421" r:id="rId2777"/>
    <hyperlink xmlns:r="http://schemas.openxmlformats.org/officeDocument/2006/relationships" ref="Q1422" r:id="rId2778"/>
    <hyperlink xmlns:r="http://schemas.openxmlformats.org/officeDocument/2006/relationships" ref="R1422" r:id="rId2779"/>
    <hyperlink xmlns:r="http://schemas.openxmlformats.org/officeDocument/2006/relationships" ref="Q1423" r:id="rId2780"/>
    <hyperlink xmlns:r="http://schemas.openxmlformats.org/officeDocument/2006/relationships" ref="R1423" r:id="rId2781"/>
    <hyperlink xmlns:r="http://schemas.openxmlformats.org/officeDocument/2006/relationships" ref="Q1424" r:id="rId2782"/>
    <hyperlink xmlns:r="http://schemas.openxmlformats.org/officeDocument/2006/relationships" ref="R1424" r:id="rId2783"/>
    <hyperlink xmlns:r="http://schemas.openxmlformats.org/officeDocument/2006/relationships" ref="Q1425" r:id="rId2784"/>
    <hyperlink xmlns:r="http://schemas.openxmlformats.org/officeDocument/2006/relationships" ref="R1425" r:id="rId2785"/>
    <hyperlink xmlns:r="http://schemas.openxmlformats.org/officeDocument/2006/relationships" ref="Q1426" r:id="rId2786"/>
    <hyperlink xmlns:r="http://schemas.openxmlformats.org/officeDocument/2006/relationships" ref="R1426" r:id="rId2787"/>
    <hyperlink xmlns:r="http://schemas.openxmlformats.org/officeDocument/2006/relationships" ref="Q1427" r:id="rId2788"/>
    <hyperlink xmlns:r="http://schemas.openxmlformats.org/officeDocument/2006/relationships" ref="R1427" r:id="rId2789"/>
    <hyperlink xmlns:r="http://schemas.openxmlformats.org/officeDocument/2006/relationships" ref="Q1428" r:id="rId2790"/>
    <hyperlink xmlns:r="http://schemas.openxmlformats.org/officeDocument/2006/relationships" ref="R1428" r:id="rId2791"/>
    <hyperlink xmlns:r="http://schemas.openxmlformats.org/officeDocument/2006/relationships" ref="Q1429" r:id="rId2792"/>
    <hyperlink xmlns:r="http://schemas.openxmlformats.org/officeDocument/2006/relationships" ref="R1429" r:id="rId2793"/>
    <hyperlink xmlns:r="http://schemas.openxmlformats.org/officeDocument/2006/relationships" ref="Q1430" r:id="rId2794"/>
    <hyperlink xmlns:r="http://schemas.openxmlformats.org/officeDocument/2006/relationships" ref="R1430" r:id="rId2795"/>
    <hyperlink xmlns:r="http://schemas.openxmlformats.org/officeDocument/2006/relationships" ref="Q1431" r:id="rId2796"/>
    <hyperlink xmlns:r="http://schemas.openxmlformats.org/officeDocument/2006/relationships" ref="R1431" r:id="rId2797"/>
    <hyperlink xmlns:r="http://schemas.openxmlformats.org/officeDocument/2006/relationships" ref="Q1432" r:id="rId2798"/>
    <hyperlink xmlns:r="http://schemas.openxmlformats.org/officeDocument/2006/relationships" ref="R1432" r:id="rId2799"/>
    <hyperlink xmlns:r="http://schemas.openxmlformats.org/officeDocument/2006/relationships" ref="Q1433" r:id="rId2800"/>
    <hyperlink xmlns:r="http://schemas.openxmlformats.org/officeDocument/2006/relationships" ref="R1433" r:id="rId2801"/>
    <hyperlink xmlns:r="http://schemas.openxmlformats.org/officeDocument/2006/relationships" ref="Q1434" r:id="rId2802"/>
    <hyperlink xmlns:r="http://schemas.openxmlformats.org/officeDocument/2006/relationships" ref="R1434" r:id="rId2803"/>
    <hyperlink xmlns:r="http://schemas.openxmlformats.org/officeDocument/2006/relationships" ref="Q1435" r:id="rId2804"/>
    <hyperlink xmlns:r="http://schemas.openxmlformats.org/officeDocument/2006/relationships" ref="R1435" r:id="rId2805"/>
    <hyperlink xmlns:r="http://schemas.openxmlformats.org/officeDocument/2006/relationships" ref="Q1436" r:id="rId2806"/>
    <hyperlink xmlns:r="http://schemas.openxmlformats.org/officeDocument/2006/relationships" ref="R1436" r:id="rId2807"/>
    <hyperlink xmlns:r="http://schemas.openxmlformats.org/officeDocument/2006/relationships" ref="Q1437" r:id="rId2808"/>
    <hyperlink xmlns:r="http://schemas.openxmlformats.org/officeDocument/2006/relationships" ref="R1437" r:id="rId2809"/>
    <hyperlink xmlns:r="http://schemas.openxmlformats.org/officeDocument/2006/relationships" ref="Q1438" r:id="rId2810"/>
    <hyperlink xmlns:r="http://schemas.openxmlformats.org/officeDocument/2006/relationships" ref="R1438" r:id="rId2811"/>
    <hyperlink xmlns:r="http://schemas.openxmlformats.org/officeDocument/2006/relationships" ref="Q1439" r:id="rId2812"/>
    <hyperlink xmlns:r="http://schemas.openxmlformats.org/officeDocument/2006/relationships" ref="R1439" r:id="rId2813"/>
    <hyperlink xmlns:r="http://schemas.openxmlformats.org/officeDocument/2006/relationships" ref="Q1440" r:id="rId2814"/>
    <hyperlink xmlns:r="http://schemas.openxmlformats.org/officeDocument/2006/relationships" ref="R1440" r:id="rId2815"/>
    <hyperlink xmlns:r="http://schemas.openxmlformats.org/officeDocument/2006/relationships" ref="Q1441" r:id="rId2816"/>
    <hyperlink xmlns:r="http://schemas.openxmlformats.org/officeDocument/2006/relationships" ref="R1441" r:id="rId2817"/>
    <hyperlink xmlns:r="http://schemas.openxmlformats.org/officeDocument/2006/relationships" ref="Q1442" r:id="rId2818"/>
    <hyperlink xmlns:r="http://schemas.openxmlformats.org/officeDocument/2006/relationships" ref="R1442" r:id="rId2819"/>
    <hyperlink xmlns:r="http://schemas.openxmlformats.org/officeDocument/2006/relationships" ref="Q1443" r:id="rId2820"/>
    <hyperlink xmlns:r="http://schemas.openxmlformats.org/officeDocument/2006/relationships" ref="R1443" r:id="rId2821"/>
    <hyperlink xmlns:r="http://schemas.openxmlformats.org/officeDocument/2006/relationships" ref="Q1444" r:id="rId2822"/>
    <hyperlink xmlns:r="http://schemas.openxmlformats.org/officeDocument/2006/relationships" ref="R1444" r:id="rId2823"/>
    <hyperlink xmlns:r="http://schemas.openxmlformats.org/officeDocument/2006/relationships" ref="Q1445" r:id="rId2824"/>
    <hyperlink xmlns:r="http://schemas.openxmlformats.org/officeDocument/2006/relationships" ref="R1445" r:id="rId2825"/>
    <hyperlink xmlns:r="http://schemas.openxmlformats.org/officeDocument/2006/relationships" ref="Q1446" r:id="rId2826"/>
    <hyperlink xmlns:r="http://schemas.openxmlformats.org/officeDocument/2006/relationships" ref="R1446" r:id="rId2827"/>
    <hyperlink xmlns:r="http://schemas.openxmlformats.org/officeDocument/2006/relationships" ref="Q1447" r:id="rId2828"/>
    <hyperlink xmlns:r="http://schemas.openxmlformats.org/officeDocument/2006/relationships" ref="R1447" r:id="rId2829"/>
    <hyperlink xmlns:r="http://schemas.openxmlformats.org/officeDocument/2006/relationships" ref="Q1448" r:id="rId2830"/>
    <hyperlink xmlns:r="http://schemas.openxmlformats.org/officeDocument/2006/relationships" ref="R1448" r:id="rId2831"/>
    <hyperlink xmlns:r="http://schemas.openxmlformats.org/officeDocument/2006/relationships" ref="Q1449" r:id="rId2832"/>
    <hyperlink xmlns:r="http://schemas.openxmlformats.org/officeDocument/2006/relationships" ref="R1449" r:id="rId2833"/>
    <hyperlink xmlns:r="http://schemas.openxmlformats.org/officeDocument/2006/relationships" ref="Q1450" r:id="rId2834"/>
    <hyperlink xmlns:r="http://schemas.openxmlformats.org/officeDocument/2006/relationships" ref="R1450" r:id="rId2835"/>
    <hyperlink xmlns:r="http://schemas.openxmlformats.org/officeDocument/2006/relationships" ref="Q1451" r:id="rId2836"/>
    <hyperlink xmlns:r="http://schemas.openxmlformats.org/officeDocument/2006/relationships" ref="R1451" r:id="rId2837"/>
    <hyperlink xmlns:r="http://schemas.openxmlformats.org/officeDocument/2006/relationships" ref="Q1452" r:id="rId2838"/>
    <hyperlink xmlns:r="http://schemas.openxmlformats.org/officeDocument/2006/relationships" ref="R1452" r:id="rId2839"/>
    <hyperlink xmlns:r="http://schemas.openxmlformats.org/officeDocument/2006/relationships" ref="Q1453" r:id="rId2840"/>
    <hyperlink xmlns:r="http://schemas.openxmlformats.org/officeDocument/2006/relationships" ref="R1453" r:id="rId2841"/>
    <hyperlink xmlns:r="http://schemas.openxmlformats.org/officeDocument/2006/relationships" ref="Q1454" r:id="rId2842"/>
    <hyperlink xmlns:r="http://schemas.openxmlformats.org/officeDocument/2006/relationships" ref="R1454" r:id="rId2843"/>
    <hyperlink xmlns:r="http://schemas.openxmlformats.org/officeDocument/2006/relationships" ref="Q1455" r:id="rId2844"/>
    <hyperlink xmlns:r="http://schemas.openxmlformats.org/officeDocument/2006/relationships" ref="R1455" r:id="rId2845"/>
    <hyperlink xmlns:r="http://schemas.openxmlformats.org/officeDocument/2006/relationships" ref="Q1456" r:id="rId2846"/>
    <hyperlink xmlns:r="http://schemas.openxmlformats.org/officeDocument/2006/relationships" ref="R1456" r:id="rId2847"/>
    <hyperlink xmlns:r="http://schemas.openxmlformats.org/officeDocument/2006/relationships" ref="Q1457" r:id="rId2848"/>
    <hyperlink xmlns:r="http://schemas.openxmlformats.org/officeDocument/2006/relationships" ref="R1457" r:id="rId2849"/>
    <hyperlink xmlns:r="http://schemas.openxmlformats.org/officeDocument/2006/relationships" ref="Q1458" r:id="rId2850"/>
    <hyperlink xmlns:r="http://schemas.openxmlformats.org/officeDocument/2006/relationships" ref="R1458" r:id="rId2851"/>
    <hyperlink xmlns:r="http://schemas.openxmlformats.org/officeDocument/2006/relationships" ref="Q1459" r:id="rId2852"/>
    <hyperlink xmlns:r="http://schemas.openxmlformats.org/officeDocument/2006/relationships" ref="R1459" r:id="rId2853"/>
    <hyperlink xmlns:r="http://schemas.openxmlformats.org/officeDocument/2006/relationships" ref="Q1460" r:id="rId2854"/>
    <hyperlink xmlns:r="http://schemas.openxmlformats.org/officeDocument/2006/relationships" ref="R1460" r:id="rId2855"/>
    <hyperlink xmlns:r="http://schemas.openxmlformats.org/officeDocument/2006/relationships" ref="Q1461" r:id="rId2856"/>
    <hyperlink xmlns:r="http://schemas.openxmlformats.org/officeDocument/2006/relationships" ref="R1461" r:id="rId2857"/>
    <hyperlink xmlns:r="http://schemas.openxmlformats.org/officeDocument/2006/relationships" ref="Q1462" r:id="rId2858"/>
    <hyperlink xmlns:r="http://schemas.openxmlformats.org/officeDocument/2006/relationships" ref="R1462" r:id="rId2859"/>
    <hyperlink xmlns:r="http://schemas.openxmlformats.org/officeDocument/2006/relationships" ref="Q1463" r:id="rId2860"/>
    <hyperlink xmlns:r="http://schemas.openxmlformats.org/officeDocument/2006/relationships" ref="R1463" r:id="rId2861"/>
    <hyperlink xmlns:r="http://schemas.openxmlformats.org/officeDocument/2006/relationships" ref="Q1464" r:id="rId2862"/>
    <hyperlink xmlns:r="http://schemas.openxmlformats.org/officeDocument/2006/relationships" ref="R1464" r:id="rId2863"/>
    <hyperlink xmlns:r="http://schemas.openxmlformats.org/officeDocument/2006/relationships" ref="Q1465" r:id="rId2864"/>
    <hyperlink xmlns:r="http://schemas.openxmlformats.org/officeDocument/2006/relationships" ref="R1465" r:id="rId2865"/>
    <hyperlink xmlns:r="http://schemas.openxmlformats.org/officeDocument/2006/relationships" ref="Q1466" r:id="rId2866"/>
    <hyperlink xmlns:r="http://schemas.openxmlformats.org/officeDocument/2006/relationships" ref="R1466" r:id="rId2867"/>
    <hyperlink xmlns:r="http://schemas.openxmlformats.org/officeDocument/2006/relationships" ref="Q1467" r:id="rId2868"/>
    <hyperlink xmlns:r="http://schemas.openxmlformats.org/officeDocument/2006/relationships" ref="R1467" r:id="rId2869"/>
    <hyperlink xmlns:r="http://schemas.openxmlformats.org/officeDocument/2006/relationships" ref="Q1468" r:id="rId2870"/>
    <hyperlink xmlns:r="http://schemas.openxmlformats.org/officeDocument/2006/relationships" ref="R1468" r:id="rId2871"/>
    <hyperlink xmlns:r="http://schemas.openxmlformats.org/officeDocument/2006/relationships" ref="Q1469" r:id="rId2872"/>
    <hyperlink xmlns:r="http://schemas.openxmlformats.org/officeDocument/2006/relationships" ref="R1469" r:id="rId2873"/>
    <hyperlink xmlns:r="http://schemas.openxmlformats.org/officeDocument/2006/relationships" ref="Q1470" r:id="rId2874"/>
    <hyperlink xmlns:r="http://schemas.openxmlformats.org/officeDocument/2006/relationships" ref="R1470" r:id="rId2875"/>
    <hyperlink xmlns:r="http://schemas.openxmlformats.org/officeDocument/2006/relationships" ref="Q1471" r:id="rId2876"/>
    <hyperlink xmlns:r="http://schemas.openxmlformats.org/officeDocument/2006/relationships" ref="R1471" r:id="rId2877"/>
    <hyperlink xmlns:r="http://schemas.openxmlformats.org/officeDocument/2006/relationships" ref="Q1472" r:id="rId2878"/>
    <hyperlink xmlns:r="http://schemas.openxmlformats.org/officeDocument/2006/relationships" ref="R1472" r:id="rId2879"/>
    <hyperlink xmlns:r="http://schemas.openxmlformats.org/officeDocument/2006/relationships" ref="Q1473" r:id="rId2880"/>
    <hyperlink xmlns:r="http://schemas.openxmlformats.org/officeDocument/2006/relationships" ref="R1473" r:id="rId2881"/>
    <hyperlink xmlns:r="http://schemas.openxmlformats.org/officeDocument/2006/relationships" ref="Q1474" r:id="rId2882"/>
    <hyperlink xmlns:r="http://schemas.openxmlformats.org/officeDocument/2006/relationships" ref="R1474" r:id="rId2883"/>
    <hyperlink xmlns:r="http://schemas.openxmlformats.org/officeDocument/2006/relationships" ref="Q1475" r:id="rId2884"/>
    <hyperlink xmlns:r="http://schemas.openxmlformats.org/officeDocument/2006/relationships" ref="R1475" r:id="rId2885"/>
    <hyperlink xmlns:r="http://schemas.openxmlformats.org/officeDocument/2006/relationships" ref="Q1476" r:id="rId2886"/>
    <hyperlink xmlns:r="http://schemas.openxmlformats.org/officeDocument/2006/relationships" ref="R1476" r:id="rId2887"/>
    <hyperlink xmlns:r="http://schemas.openxmlformats.org/officeDocument/2006/relationships" ref="Q1477" r:id="rId2888"/>
    <hyperlink xmlns:r="http://schemas.openxmlformats.org/officeDocument/2006/relationships" ref="R1477" r:id="rId2889"/>
    <hyperlink xmlns:r="http://schemas.openxmlformats.org/officeDocument/2006/relationships" ref="Q1478" r:id="rId2890"/>
    <hyperlink xmlns:r="http://schemas.openxmlformats.org/officeDocument/2006/relationships" ref="R1478" r:id="rId2891"/>
    <hyperlink xmlns:r="http://schemas.openxmlformats.org/officeDocument/2006/relationships" ref="Q1479" r:id="rId2892"/>
    <hyperlink xmlns:r="http://schemas.openxmlformats.org/officeDocument/2006/relationships" ref="R1479" r:id="rId2893"/>
    <hyperlink xmlns:r="http://schemas.openxmlformats.org/officeDocument/2006/relationships" ref="Q1480" r:id="rId2894"/>
    <hyperlink xmlns:r="http://schemas.openxmlformats.org/officeDocument/2006/relationships" ref="R1480" r:id="rId2895"/>
    <hyperlink xmlns:r="http://schemas.openxmlformats.org/officeDocument/2006/relationships" ref="Q1481" r:id="rId2896"/>
    <hyperlink xmlns:r="http://schemas.openxmlformats.org/officeDocument/2006/relationships" ref="R1481" r:id="rId2897"/>
    <hyperlink xmlns:r="http://schemas.openxmlformats.org/officeDocument/2006/relationships" ref="Q1482" r:id="rId2898"/>
    <hyperlink xmlns:r="http://schemas.openxmlformats.org/officeDocument/2006/relationships" ref="R1482" r:id="rId2899"/>
    <hyperlink xmlns:r="http://schemas.openxmlformats.org/officeDocument/2006/relationships" ref="Q1483" r:id="rId2900"/>
    <hyperlink xmlns:r="http://schemas.openxmlformats.org/officeDocument/2006/relationships" ref="R1483" r:id="rId2901"/>
    <hyperlink xmlns:r="http://schemas.openxmlformats.org/officeDocument/2006/relationships" ref="Q1484" r:id="rId2902"/>
    <hyperlink xmlns:r="http://schemas.openxmlformats.org/officeDocument/2006/relationships" ref="R1484" r:id="rId2903"/>
    <hyperlink xmlns:r="http://schemas.openxmlformats.org/officeDocument/2006/relationships" ref="Q1485" r:id="rId2904"/>
    <hyperlink xmlns:r="http://schemas.openxmlformats.org/officeDocument/2006/relationships" ref="R1485" r:id="rId2905"/>
    <hyperlink xmlns:r="http://schemas.openxmlformats.org/officeDocument/2006/relationships" ref="Q1486" r:id="rId2906"/>
    <hyperlink xmlns:r="http://schemas.openxmlformats.org/officeDocument/2006/relationships" ref="R1486" r:id="rId2907"/>
    <hyperlink xmlns:r="http://schemas.openxmlformats.org/officeDocument/2006/relationships" ref="Q1487" r:id="rId2908"/>
    <hyperlink xmlns:r="http://schemas.openxmlformats.org/officeDocument/2006/relationships" ref="R1487" r:id="rId2909"/>
    <hyperlink xmlns:r="http://schemas.openxmlformats.org/officeDocument/2006/relationships" ref="Q1488" r:id="rId2910"/>
    <hyperlink xmlns:r="http://schemas.openxmlformats.org/officeDocument/2006/relationships" ref="R1488" r:id="rId2911"/>
    <hyperlink xmlns:r="http://schemas.openxmlformats.org/officeDocument/2006/relationships" ref="Q1489" r:id="rId2912"/>
    <hyperlink xmlns:r="http://schemas.openxmlformats.org/officeDocument/2006/relationships" ref="R1489" r:id="rId2913"/>
    <hyperlink xmlns:r="http://schemas.openxmlformats.org/officeDocument/2006/relationships" ref="Q1490" r:id="rId2914"/>
    <hyperlink xmlns:r="http://schemas.openxmlformats.org/officeDocument/2006/relationships" ref="R1490" r:id="rId2915"/>
    <hyperlink xmlns:r="http://schemas.openxmlformats.org/officeDocument/2006/relationships" ref="Q1491" r:id="rId2916"/>
    <hyperlink xmlns:r="http://schemas.openxmlformats.org/officeDocument/2006/relationships" ref="R1491" r:id="rId2917"/>
    <hyperlink xmlns:r="http://schemas.openxmlformats.org/officeDocument/2006/relationships" ref="Q1492" r:id="rId2918"/>
    <hyperlink xmlns:r="http://schemas.openxmlformats.org/officeDocument/2006/relationships" ref="R1492" r:id="rId2919"/>
    <hyperlink xmlns:r="http://schemas.openxmlformats.org/officeDocument/2006/relationships" ref="Q1493" r:id="rId2920"/>
    <hyperlink xmlns:r="http://schemas.openxmlformats.org/officeDocument/2006/relationships" ref="R1493" r:id="rId2921"/>
    <hyperlink xmlns:r="http://schemas.openxmlformats.org/officeDocument/2006/relationships" ref="Q1494" r:id="rId2922"/>
    <hyperlink xmlns:r="http://schemas.openxmlformats.org/officeDocument/2006/relationships" ref="R1494" r:id="rId2923"/>
    <hyperlink xmlns:r="http://schemas.openxmlformats.org/officeDocument/2006/relationships" ref="Q1495" r:id="rId2924"/>
    <hyperlink xmlns:r="http://schemas.openxmlformats.org/officeDocument/2006/relationships" ref="R1495" r:id="rId2925"/>
    <hyperlink xmlns:r="http://schemas.openxmlformats.org/officeDocument/2006/relationships" ref="Q1496" r:id="rId2926"/>
    <hyperlink xmlns:r="http://schemas.openxmlformats.org/officeDocument/2006/relationships" ref="R1496" r:id="rId2927"/>
    <hyperlink xmlns:r="http://schemas.openxmlformats.org/officeDocument/2006/relationships" ref="Q1497" r:id="rId2928"/>
    <hyperlink xmlns:r="http://schemas.openxmlformats.org/officeDocument/2006/relationships" ref="R1497" r:id="rId2929"/>
    <hyperlink xmlns:r="http://schemas.openxmlformats.org/officeDocument/2006/relationships" ref="Q1498" r:id="rId2930"/>
    <hyperlink xmlns:r="http://schemas.openxmlformats.org/officeDocument/2006/relationships" ref="R1498" r:id="rId2931"/>
    <hyperlink xmlns:r="http://schemas.openxmlformats.org/officeDocument/2006/relationships" ref="Q1499" r:id="rId2932"/>
    <hyperlink xmlns:r="http://schemas.openxmlformats.org/officeDocument/2006/relationships" ref="R1499" r:id="rId2933"/>
    <hyperlink xmlns:r="http://schemas.openxmlformats.org/officeDocument/2006/relationships" ref="Q1500" r:id="rId2934"/>
    <hyperlink xmlns:r="http://schemas.openxmlformats.org/officeDocument/2006/relationships" ref="R1500" r:id="rId2935"/>
    <hyperlink xmlns:r="http://schemas.openxmlformats.org/officeDocument/2006/relationships" ref="Q1501" r:id="rId2936"/>
    <hyperlink xmlns:r="http://schemas.openxmlformats.org/officeDocument/2006/relationships" ref="R1501" r:id="rId2937"/>
    <hyperlink xmlns:r="http://schemas.openxmlformats.org/officeDocument/2006/relationships" ref="Q1502" r:id="rId2938"/>
    <hyperlink xmlns:r="http://schemas.openxmlformats.org/officeDocument/2006/relationships" ref="R1502" r:id="rId2939"/>
    <hyperlink xmlns:r="http://schemas.openxmlformats.org/officeDocument/2006/relationships" ref="Q1503" r:id="rId2940"/>
    <hyperlink xmlns:r="http://schemas.openxmlformats.org/officeDocument/2006/relationships" ref="R1503" r:id="rId2941"/>
    <hyperlink xmlns:r="http://schemas.openxmlformats.org/officeDocument/2006/relationships" ref="Q1504" r:id="rId2942"/>
    <hyperlink xmlns:r="http://schemas.openxmlformats.org/officeDocument/2006/relationships" ref="R1504" r:id="rId2943"/>
    <hyperlink xmlns:r="http://schemas.openxmlformats.org/officeDocument/2006/relationships" ref="Q1505" r:id="rId2944"/>
    <hyperlink xmlns:r="http://schemas.openxmlformats.org/officeDocument/2006/relationships" ref="R1505" r:id="rId2945"/>
    <hyperlink xmlns:r="http://schemas.openxmlformats.org/officeDocument/2006/relationships" ref="Q1506" r:id="rId2946"/>
    <hyperlink xmlns:r="http://schemas.openxmlformats.org/officeDocument/2006/relationships" ref="R1506" r:id="rId2947"/>
    <hyperlink xmlns:r="http://schemas.openxmlformats.org/officeDocument/2006/relationships" ref="Q1507" r:id="rId2948"/>
    <hyperlink xmlns:r="http://schemas.openxmlformats.org/officeDocument/2006/relationships" ref="R1507" r:id="rId2949"/>
    <hyperlink xmlns:r="http://schemas.openxmlformats.org/officeDocument/2006/relationships" ref="Q1508" r:id="rId2950"/>
    <hyperlink xmlns:r="http://schemas.openxmlformats.org/officeDocument/2006/relationships" ref="R1508" r:id="rId2951"/>
    <hyperlink xmlns:r="http://schemas.openxmlformats.org/officeDocument/2006/relationships" ref="Q1509" r:id="rId2952"/>
    <hyperlink xmlns:r="http://schemas.openxmlformats.org/officeDocument/2006/relationships" ref="R1509" r:id="rId2953"/>
    <hyperlink xmlns:r="http://schemas.openxmlformats.org/officeDocument/2006/relationships" ref="Q1510" r:id="rId2954"/>
    <hyperlink xmlns:r="http://schemas.openxmlformats.org/officeDocument/2006/relationships" ref="R1510" r:id="rId2955"/>
    <hyperlink xmlns:r="http://schemas.openxmlformats.org/officeDocument/2006/relationships" ref="Q1511" r:id="rId2956"/>
    <hyperlink xmlns:r="http://schemas.openxmlformats.org/officeDocument/2006/relationships" ref="R1511" r:id="rId2957"/>
    <hyperlink xmlns:r="http://schemas.openxmlformats.org/officeDocument/2006/relationships" ref="Q1512" r:id="rId2958"/>
    <hyperlink xmlns:r="http://schemas.openxmlformats.org/officeDocument/2006/relationships" ref="R1512" r:id="rId2959"/>
    <hyperlink xmlns:r="http://schemas.openxmlformats.org/officeDocument/2006/relationships" ref="Q1513" r:id="rId2960"/>
    <hyperlink xmlns:r="http://schemas.openxmlformats.org/officeDocument/2006/relationships" ref="R1513" r:id="rId2961"/>
    <hyperlink xmlns:r="http://schemas.openxmlformats.org/officeDocument/2006/relationships" ref="Q1514" r:id="rId2962"/>
    <hyperlink xmlns:r="http://schemas.openxmlformats.org/officeDocument/2006/relationships" ref="R1514" r:id="rId2963"/>
    <hyperlink xmlns:r="http://schemas.openxmlformats.org/officeDocument/2006/relationships" ref="Q1515" r:id="rId2964"/>
    <hyperlink xmlns:r="http://schemas.openxmlformats.org/officeDocument/2006/relationships" ref="R1515" r:id="rId2965"/>
    <hyperlink xmlns:r="http://schemas.openxmlformats.org/officeDocument/2006/relationships" ref="Q1516" r:id="rId2966"/>
    <hyperlink xmlns:r="http://schemas.openxmlformats.org/officeDocument/2006/relationships" ref="R1516" r:id="rId2967"/>
    <hyperlink xmlns:r="http://schemas.openxmlformats.org/officeDocument/2006/relationships" ref="Q1517" r:id="rId2968"/>
    <hyperlink xmlns:r="http://schemas.openxmlformats.org/officeDocument/2006/relationships" ref="R1517" r:id="rId2969"/>
    <hyperlink xmlns:r="http://schemas.openxmlformats.org/officeDocument/2006/relationships" ref="Q1518" r:id="rId2970"/>
    <hyperlink xmlns:r="http://schemas.openxmlformats.org/officeDocument/2006/relationships" ref="R1518" r:id="rId2971"/>
    <hyperlink xmlns:r="http://schemas.openxmlformats.org/officeDocument/2006/relationships" ref="Q1519" r:id="rId2972"/>
    <hyperlink xmlns:r="http://schemas.openxmlformats.org/officeDocument/2006/relationships" ref="R1519" r:id="rId2973"/>
    <hyperlink xmlns:r="http://schemas.openxmlformats.org/officeDocument/2006/relationships" ref="Q1520" r:id="rId2974"/>
    <hyperlink xmlns:r="http://schemas.openxmlformats.org/officeDocument/2006/relationships" ref="R1520" r:id="rId2975"/>
    <hyperlink xmlns:r="http://schemas.openxmlformats.org/officeDocument/2006/relationships" ref="Q1521" r:id="rId2976"/>
    <hyperlink xmlns:r="http://schemas.openxmlformats.org/officeDocument/2006/relationships" ref="R1521" r:id="rId2977"/>
    <hyperlink xmlns:r="http://schemas.openxmlformats.org/officeDocument/2006/relationships" ref="Q1522" r:id="rId2978"/>
    <hyperlink xmlns:r="http://schemas.openxmlformats.org/officeDocument/2006/relationships" ref="R1522" r:id="rId2979"/>
    <hyperlink xmlns:r="http://schemas.openxmlformats.org/officeDocument/2006/relationships" ref="Q1523" r:id="rId2980"/>
    <hyperlink xmlns:r="http://schemas.openxmlformats.org/officeDocument/2006/relationships" ref="R1523" r:id="rId2981"/>
    <hyperlink xmlns:r="http://schemas.openxmlformats.org/officeDocument/2006/relationships" ref="Q1524" r:id="rId2982"/>
    <hyperlink xmlns:r="http://schemas.openxmlformats.org/officeDocument/2006/relationships" ref="R1524" r:id="rId2983"/>
    <hyperlink xmlns:r="http://schemas.openxmlformats.org/officeDocument/2006/relationships" ref="Q1525" r:id="rId2984"/>
    <hyperlink xmlns:r="http://schemas.openxmlformats.org/officeDocument/2006/relationships" ref="R1525" r:id="rId2985"/>
    <hyperlink xmlns:r="http://schemas.openxmlformats.org/officeDocument/2006/relationships" ref="Q1526" r:id="rId2986"/>
    <hyperlink xmlns:r="http://schemas.openxmlformats.org/officeDocument/2006/relationships" ref="R1526" r:id="rId2987"/>
    <hyperlink xmlns:r="http://schemas.openxmlformats.org/officeDocument/2006/relationships" ref="Q1527" r:id="rId2988"/>
    <hyperlink xmlns:r="http://schemas.openxmlformats.org/officeDocument/2006/relationships" ref="R1527" r:id="rId2989"/>
    <hyperlink xmlns:r="http://schemas.openxmlformats.org/officeDocument/2006/relationships" ref="Q1528" r:id="rId2990"/>
    <hyperlink xmlns:r="http://schemas.openxmlformats.org/officeDocument/2006/relationships" ref="R1528" r:id="rId2991"/>
    <hyperlink xmlns:r="http://schemas.openxmlformats.org/officeDocument/2006/relationships" ref="Q1529" r:id="rId2992"/>
    <hyperlink xmlns:r="http://schemas.openxmlformats.org/officeDocument/2006/relationships" ref="R1529" r:id="rId2993"/>
    <hyperlink xmlns:r="http://schemas.openxmlformats.org/officeDocument/2006/relationships" ref="Q1530" r:id="rId2994"/>
    <hyperlink xmlns:r="http://schemas.openxmlformats.org/officeDocument/2006/relationships" ref="R1530" r:id="rId2995"/>
    <hyperlink xmlns:r="http://schemas.openxmlformats.org/officeDocument/2006/relationships" ref="Q1531" r:id="rId2996"/>
    <hyperlink xmlns:r="http://schemas.openxmlformats.org/officeDocument/2006/relationships" ref="R1531" r:id="rId2997"/>
    <hyperlink xmlns:r="http://schemas.openxmlformats.org/officeDocument/2006/relationships" ref="Q1532" r:id="rId2998"/>
    <hyperlink xmlns:r="http://schemas.openxmlformats.org/officeDocument/2006/relationships" ref="R1532" r:id="rId2999"/>
    <hyperlink xmlns:r="http://schemas.openxmlformats.org/officeDocument/2006/relationships" ref="Q1533" r:id="rId3000"/>
    <hyperlink xmlns:r="http://schemas.openxmlformats.org/officeDocument/2006/relationships" ref="R1533" r:id="rId3001"/>
    <hyperlink xmlns:r="http://schemas.openxmlformats.org/officeDocument/2006/relationships" ref="Q1534" r:id="rId3002"/>
    <hyperlink xmlns:r="http://schemas.openxmlformats.org/officeDocument/2006/relationships" ref="R1534" r:id="rId3003"/>
    <hyperlink xmlns:r="http://schemas.openxmlformats.org/officeDocument/2006/relationships" ref="Q1535" r:id="rId3004"/>
    <hyperlink xmlns:r="http://schemas.openxmlformats.org/officeDocument/2006/relationships" ref="R1535" r:id="rId3005"/>
    <hyperlink xmlns:r="http://schemas.openxmlformats.org/officeDocument/2006/relationships" ref="Q1536" r:id="rId3006"/>
    <hyperlink xmlns:r="http://schemas.openxmlformats.org/officeDocument/2006/relationships" ref="R1536" r:id="rId3007"/>
    <hyperlink xmlns:r="http://schemas.openxmlformats.org/officeDocument/2006/relationships" ref="Q1537" r:id="rId3008"/>
    <hyperlink xmlns:r="http://schemas.openxmlformats.org/officeDocument/2006/relationships" ref="R1537" r:id="rId3009"/>
    <hyperlink xmlns:r="http://schemas.openxmlformats.org/officeDocument/2006/relationships" ref="Q1538" r:id="rId3010"/>
    <hyperlink xmlns:r="http://schemas.openxmlformats.org/officeDocument/2006/relationships" ref="R1538" r:id="rId3011"/>
    <hyperlink xmlns:r="http://schemas.openxmlformats.org/officeDocument/2006/relationships" ref="Q1539" r:id="rId3012"/>
    <hyperlink xmlns:r="http://schemas.openxmlformats.org/officeDocument/2006/relationships" ref="R1539" r:id="rId3013"/>
    <hyperlink xmlns:r="http://schemas.openxmlformats.org/officeDocument/2006/relationships" ref="Q1540" r:id="rId3014"/>
    <hyperlink xmlns:r="http://schemas.openxmlformats.org/officeDocument/2006/relationships" ref="R1540" r:id="rId3015"/>
    <hyperlink xmlns:r="http://schemas.openxmlformats.org/officeDocument/2006/relationships" ref="Q1541" r:id="rId3016"/>
    <hyperlink xmlns:r="http://schemas.openxmlformats.org/officeDocument/2006/relationships" ref="R1541" r:id="rId3017"/>
    <hyperlink xmlns:r="http://schemas.openxmlformats.org/officeDocument/2006/relationships" ref="Q1542" r:id="rId3018"/>
    <hyperlink xmlns:r="http://schemas.openxmlformats.org/officeDocument/2006/relationships" ref="R1542" r:id="rId3019"/>
    <hyperlink xmlns:r="http://schemas.openxmlformats.org/officeDocument/2006/relationships" ref="Q1543" r:id="rId3020"/>
    <hyperlink xmlns:r="http://schemas.openxmlformats.org/officeDocument/2006/relationships" ref="R1543" r:id="rId3021"/>
    <hyperlink xmlns:r="http://schemas.openxmlformats.org/officeDocument/2006/relationships" ref="Q1544" r:id="rId3022"/>
    <hyperlink xmlns:r="http://schemas.openxmlformats.org/officeDocument/2006/relationships" ref="R1544" r:id="rId3023"/>
    <hyperlink xmlns:r="http://schemas.openxmlformats.org/officeDocument/2006/relationships" ref="Q1545" r:id="rId3024"/>
    <hyperlink xmlns:r="http://schemas.openxmlformats.org/officeDocument/2006/relationships" ref="R1545" r:id="rId3025"/>
    <hyperlink xmlns:r="http://schemas.openxmlformats.org/officeDocument/2006/relationships" ref="Q1546" r:id="rId3026"/>
    <hyperlink xmlns:r="http://schemas.openxmlformats.org/officeDocument/2006/relationships" ref="R1546" r:id="rId3027"/>
    <hyperlink xmlns:r="http://schemas.openxmlformats.org/officeDocument/2006/relationships" ref="Q1547" r:id="rId3028"/>
    <hyperlink xmlns:r="http://schemas.openxmlformats.org/officeDocument/2006/relationships" ref="R1547" r:id="rId3029"/>
    <hyperlink xmlns:r="http://schemas.openxmlformats.org/officeDocument/2006/relationships" ref="Q1548" r:id="rId3030"/>
    <hyperlink xmlns:r="http://schemas.openxmlformats.org/officeDocument/2006/relationships" ref="Q1549" r:id="rId3031"/>
    <hyperlink xmlns:r="http://schemas.openxmlformats.org/officeDocument/2006/relationships" ref="R1549" r:id="rId3032"/>
    <hyperlink xmlns:r="http://schemas.openxmlformats.org/officeDocument/2006/relationships" ref="Q1550" r:id="rId3033"/>
    <hyperlink xmlns:r="http://schemas.openxmlformats.org/officeDocument/2006/relationships" ref="R1550" r:id="rId3034"/>
    <hyperlink xmlns:r="http://schemas.openxmlformats.org/officeDocument/2006/relationships" ref="Q1551" r:id="rId3035"/>
    <hyperlink xmlns:r="http://schemas.openxmlformats.org/officeDocument/2006/relationships" ref="R1551" r:id="rId3036"/>
    <hyperlink xmlns:r="http://schemas.openxmlformats.org/officeDocument/2006/relationships" ref="Q1552" r:id="rId3037"/>
    <hyperlink xmlns:r="http://schemas.openxmlformats.org/officeDocument/2006/relationships" ref="R1552" r:id="rId3038"/>
    <hyperlink xmlns:r="http://schemas.openxmlformats.org/officeDocument/2006/relationships" ref="Q1553" r:id="rId3039"/>
    <hyperlink xmlns:r="http://schemas.openxmlformats.org/officeDocument/2006/relationships" ref="R1553" r:id="rId3040"/>
    <hyperlink xmlns:r="http://schemas.openxmlformats.org/officeDocument/2006/relationships" ref="Q1554" r:id="rId3041"/>
    <hyperlink xmlns:r="http://schemas.openxmlformats.org/officeDocument/2006/relationships" ref="R1554" r:id="rId3042"/>
    <hyperlink xmlns:r="http://schemas.openxmlformats.org/officeDocument/2006/relationships" ref="Q1555" r:id="rId3043"/>
    <hyperlink xmlns:r="http://schemas.openxmlformats.org/officeDocument/2006/relationships" ref="R1555" r:id="rId3044"/>
    <hyperlink xmlns:r="http://schemas.openxmlformats.org/officeDocument/2006/relationships" ref="Q1556" r:id="rId3045"/>
    <hyperlink xmlns:r="http://schemas.openxmlformats.org/officeDocument/2006/relationships" ref="R1556" r:id="rId3046"/>
    <hyperlink xmlns:r="http://schemas.openxmlformats.org/officeDocument/2006/relationships" ref="Q1557" r:id="rId3047"/>
    <hyperlink xmlns:r="http://schemas.openxmlformats.org/officeDocument/2006/relationships" ref="R1557" r:id="rId3048"/>
    <hyperlink xmlns:r="http://schemas.openxmlformats.org/officeDocument/2006/relationships" ref="Q1558" r:id="rId3049"/>
    <hyperlink xmlns:r="http://schemas.openxmlformats.org/officeDocument/2006/relationships" ref="R1558" r:id="rId3050"/>
    <hyperlink xmlns:r="http://schemas.openxmlformats.org/officeDocument/2006/relationships" ref="Q1559" r:id="rId3051"/>
    <hyperlink xmlns:r="http://schemas.openxmlformats.org/officeDocument/2006/relationships" ref="R1559" r:id="rId3052"/>
    <hyperlink xmlns:r="http://schemas.openxmlformats.org/officeDocument/2006/relationships" ref="Q1560" r:id="rId3053"/>
    <hyperlink xmlns:r="http://schemas.openxmlformats.org/officeDocument/2006/relationships" ref="R1560" r:id="rId3054"/>
    <hyperlink xmlns:r="http://schemas.openxmlformats.org/officeDocument/2006/relationships" ref="Q1561" r:id="rId3055"/>
    <hyperlink xmlns:r="http://schemas.openxmlformats.org/officeDocument/2006/relationships" ref="R1561" r:id="rId3056"/>
    <hyperlink xmlns:r="http://schemas.openxmlformats.org/officeDocument/2006/relationships" ref="Q1562" r:id="rId3057"/>
    <hyperlink xmlns:r="http://schemas.openxmlformats.org/officeDocument/2006/relationships" ref="R1562" r:id="rId3058"/>
    <hyperlink xmlns:r="http://schemas.openxmlformats.org/officeDocument/2006/relationships" ref="Q1563" r:id="rId3059"/>
    <hyperlink xmlns:r="http://schemas.openxmlformats.org/officeDocument/2006/relationships" ref="R1563" r:id="rId3060"/>
    <hyperlink xmlns:r="http://schemas.openxmlformats.org/officeDocument/2006/relationships" ref="Q1564" r:id="rId3061"/>
    <hyperlink xmlns:r="http://schemas.openxmlformats.org/officeDocument/2006/relationships" ref="R1564" r:id="rId3062"/>
    <hyperlink xmlns:r="http://schemas.openxmlformats.org/officeDocument/2006/relationships" ref="Q1565" r:id="rId3063"/>
    <hyperlink xmlns:r="http://schemas.openxmlformats.org/officeDocument/2006/relationships" ref="R1565" r:id="rId3064"/>
    <hyperlink xmlns:r="http://schemas.openxmlformats.org/officeDocument/2006/relationships" ref="Q1566" r:id="rId3065"/>
    <hyperlink xmlns:r="http://schemas.openxmlformats.org/officeDocument/2006/relationships" ref="R1566" r:id="rId3066"/>
    <hyperlink xmlns:r="http://schemas.openxmlformats.org/officeDocument/2006/relationships" ref="Q1567" r:id="rId3067"/>
    <hyperlink xmlns:r="http://schemas.openxmlformats.org/officeDocument/2006/relationships" ref="R1567" r:id="rId3068"/>
    <hyperlink xmlns:r="http://schemas.openxmlformats.org/officeDocument/2006/relationships" ref="Q1568" r:id="rId3069"/>
    <hyperlink xmlns:r="http://schemas.openxmlformats.org/officeDocument/2006/relationships" ref="R1568" r:id="rId3070"/>
    <hyperlink xmlns:r="http://schemas.openxmlformats.org/officeDocument/2006/relationships" ref="Q1569" r:id="rId3071"/>
    <hyperlink xmlns:r="http://schemas.openxmlformats.org/officeDocument/2006/relationships" ref="R1569" r:id="rId3072"/>
    <hyperlink xmlns:r="http://schemas.openxmlformats.org/officeDocument/2006/relationships" ref="Q1570" r:id="rId3073"/>
    <hyperlink xmlns:r="http://schemas.openxmlformats.org/officeDocument/2006/relationships" ref="R1570" r:id="rId3074"/>
    <hyperlink xmlns:r="http://schemas.openxmlformats.org/officeDocument/2006/relationships" ref="Q1571" r:id="rId3075"/>
    <hyperlink xmlns:r="http://schemas.openxmlformats.org/officeDocument/2006/relationships" ref="R1571" r:id="rId3076"/>
    <hyperlink xmlns:r="http://schemas.openxmlformats.org/officeDocument/2006/relationships" ref="Q1572" r:id="rId3077"/>
    <hyperlink xmlns:r="http://schemas.openxmlformats.org/officeDocument/2006/relationships" ref="Q1573" r:id="rId3078"/>
    <hyperlink xmlns:r="http://schemas.openxmlformats.org/officeDocument/2006/relationships" ref="R1573" r:id="rId3079"/>
    <hyperlink xmlns:r="http://schemas.openxmlformats.org/officeDocument/2006/relationships" ref="Q1574" r:id="rId3080"/>
    <hyperlink xmlns:r="http://schemas.openxmlformats.org/officeDocument/2006/relationships" ref="R1574" r:id="rId3081"/>
    <hyperlink xmlns:r="http://schemas.openxmlformats.org/officeDocument/2006/relationships" ref="Q1575" r:id="rId3082"/>
    <hyperlink xmlns:r="http://schemas.openxmlformats.org/officeDocument/2006/relationships" ref="Q1576" r:id="rId3083"/>
    <hyperlink xmlns:r="http://schemas.openxmlformats.org/officeDocument/2006/relationships" ref="R1576" r:id="rId3084"/>
    <hyperlink xmlns:r="http://schemas.openxmlformats.org/officeDocument/2006/relationships" ref="Q1577" r:id="rId3085"/>
    <hyperlink xmlns:r="http://schemas.openxmlformats.org/officeDocument/2006/relationships" ref="R1577" r:id="rId3086"/>
    <hyperlink xmlns:r="http://schemas.openxmlformats.org/officeDocument/2006/relationships" ref="Q1578" r:id="rId3087"/>
    <hyperlink xmlns:r="http://schemas.openxmlformats.org/officeDocument/2006/relationships" ref="R1578" r:id="rId3088"/>
    <hyperlink xmlns:r="http://schemas.openxmlformats.org/officeDocument/2006/relationships" ref="Q1579" r:id="rId3089"/>
    <hyperlink xmlns:r="http://schemas.openxmlformats.org/officeDocument/2006/relationships" ref="R1579" r:id="rId3090"/>
    <hyperlink xmlns:r="http://schemas.openxmlformats.org/officeDocument/2006/relationships" ref="Q1580" r:id="rId3091"/>
    <hyperlink xmlns:r="http://schemas.openxmlformats.org/officeDocument/2006/relationships" ref="R1580" r:id="rId3092"/>
    <hyperlink xmlns:r="http://schemas.openxmlformats.org/officeDocument/2006/relationships" ref="Q1581" r:id="rId3093"/>
    <hyperlink xmlns:r="http://schemas.openxmlformats.org/officeDocument/2006/relationships" ref="R1581" r:id="rId3094"/>
    <hyperlink xmlns:r="http://schemas.openxmlformats.org/officeDocument/2006/relationships" ref="Q1582" r:id="rId3095"/>
    <hyperlink xmlns:r="http://schemas.openxmlformats.org/officeDocument/2006/relationships" ref="R1582" r:id="rId3096"/>
    <hyperlink xmlns:r="http://schemas.openxmlformats.org/officeDocument/2006/relationships" ref="Q1583" r:id="rId3097"/>
    <hyperlink xmlns:r="http://schemas.openxmlformats.org/officeDocument/2006/relationships" ref="R1583" r:id="rId3098"/>
    <hyperlink xmlns:r="http://schemas.openxmlformats.org/officeDocument/2006/relationships" ref="Q1584" r:id="rId3099"/>
    <hyperlink xmlns:r="http://schemas.openxmlformats.org/officeDocument/2006/relationships" ref="R1584" r:id="rId3100"/>
    <hyperlink xmlns:r="http://schemas.openxmlformats.org/officeDocument/2006/relationships" ref="Q1585" r:id="rId3101"/>
    <hyperlink xmlns:r="http://schemas.openxmlformats.org/officeDocument/2006/relationships" ref="R1585" r:id="rId3102"/>
    <hyperlink xmlns:r="http://schemas.openxmlformats.org/officeDocument/2006/relationships" ref="Q1586" r:id="rId3103"/>
    <hyperlink xmlns:r="http://schemas.openxmlformats.org/officeDocument/2006/relationships" ref="R1586" r:id="rId3104"/>
    <hyperlink xmlns:r="http://schemas.openxmlformats.org/officeDocument/2006/relationships" ref="Q1587" r:id="rId3105"/>
    <hyperlink xmlns:r="http://schemas.openxmlformats.org/officeDocument/2006/relationships" ref="R1587" r:id="rId3106"/>
    <hyperlink xmlns:r="http://schemas.openxmlformats.org/officeDocument/2006/relationships" ref="Q1588" r:id="rId3107"/>
    <hyperlink xmlns:r="http://schemas.openxmlformats.org/officeDocument/2006/relationships" ref="R1588" r:id="rId3108"/>
    <hyperlink xmlns:r="http://schemas.openxmlformats.org/officeDocument/2006/relationships" ref="Q1589" r:id="rId3109"/>
    <hyperlink xmlns:r="http://schemas.openxmlformats.org/officeDocument/2006/relationships" ref="R1589" r:id="rId3110"/>
    <hyperlink xmlns:r="http://schemas.openxmlformats.org/officeDocument/2006/relationships" ref="Q1590" r:id="rId3111"/>
    <hyperlink xmlns:r="http://schemas.openxmlformats.org/officeDocument/2006/relationships" ref="R1590" r:id="rId3112"/>
    <hyperlink xmlns:r="http://schemas.openxmlformats.org/officeDocument/2006/relationships" ref="Q1591" r:id="rId3113"/>
    <hyperlink xmlns:r="http://schemas.openxmlformats.org/officeDocument/2006/relationships" ref="R1591" r:id="rId3114"/>
    <hyperlink xmlns:r="http://schemas.openxmlformats.org/officeDocument/2006/relationships" ref="Q1592" r:id="rId3115"/>
    <hyperlink xmlns:r="http://schemas.openxmlformats.org/officeDocument/2006/relationships" ref="R1592" r:id="rId3116"/>
    <hyperlink xmlns:r="http://schemas.openxmlformats.org/officeDocument/2006/relationships" ref="Q1593" r:id="rId3117"/>
    <hyperlink xmlns:r="http://schemas.openxmlformats.org/officeDocument/2006/relationships" ref="R1593" r:id="rId3118"/>
    <hyperlink xmlns:r="http://schemas.openxmlformats.org/officeDocument/2006/relationships" ref="Q1594" r:id="rId3119"/>
    <hyperlink xmlns:r="http://schemas.openxmlformats.org/officeDocument/2006/relationships" ref="R1594" r:id="rId3120"/>
    <hyperlink xmlns:r="http://schemas.openxmlformats.org/officeDocument/2006/relationships" ref="Q1595" r:id="rId3121"/>
    <hyperlink xmlns:r="http://schemas.openxmlformats.org/officeDocument/2006/relationships" ref="R1595" r:id="rId3122"/>
    <hyperlink xmlns:r="http://schemas.openxmlformats.org/officeDocument/2006/relationships" ref="Q1596" r:id="rId3123"/>
    <hyperlink xmlns:r="http://schemas.openxmlformats.org/officeDocument/2006/relationships" ref="R1596" r:id="rId3124"/>
    <hyperlink xmlns:r="http://schemas.openxmlformats.org/officeDocument/2006/relationships" ref="Q1597" r:id="rId3125"/>
    <hyperlink xmlns:r="http://schemas.openxmlformats.org/officeDocument/2006/relationships" ref="R1597" r:id="rId3126"/>
    <hyperlink xmlns:r="http://schemas.openxmlformats.org/officeDocument/2006/relationships" ref="Q1598" r:id="rId3127"/>
    <hyperlink xmlns:r="http://schemas.openxmlformats.org/officeDocument/2006/relationships" ref="R1598" r:id="rId3128"/>
    <hyperlink xmlns:r="http://schemas.openxmlformats.org/officeDocument/2006/relationships" ref="Q1599" r:id="rId3129"/>
    <hyperlink xmlns:r="http://schemas.openxmlformats.org/officeDocument/2006/relationships" ref="R1599" r:id="rId3130"/>
    <hyperlink xmlns:r="http://schemas.openxmlformats.org/officeDocument/2006/relationships" ref="Q1600" r:id="rId3131"/>
    <hyperlink xmlns:r="http://schemas.openxmlformats.org/officeDocument/2006/relationships" ref="R1600" r:id="rId3132"/>
    <hyperlink xmlns:r="http://schemas.openxmlformats.org/officeDocument/2006/relationships" ref="Q1601" r:id="rId3133"/>
    <hyperlink xmlns:r="http://schemas.openxmlformats.org/officeDocument/2006/relationships" ref="R1601" r:id="rId3134"/>
    <hyperlink xmlns:r="http://schemas.openxmlformats.org/officeDocument/2006/relationships" ref="Q1602" r:id="rId3135"/>
    <hyperlink xmlns:r="http://schemas.openxmlformats.org/officeDocument/2006/relationships" ref="R1602" r:id="rId3136"/>
    <hyperlink xmlns:r="http://schemas.openxmlformats.org/officeDocument/2006/relationships" ref="Q1603" r:id="rId3137"/>
    <hyperlink xmlns:r="http://schemas.openxmlformats.org/officeDocument/2006/relationships" ref="R1603" r:id="rId3138"/>
    <hyperlink xmlns:r="http://schemas.openxmlformats.org/officeDocument/2006/relationships" ref="Q1604" r:id="rId3139"/>
    <hyperlink xmlns:r="http://schemas.openxmlformats.org/officeDocument/2006/relationships" ref="R1604" r:id="rId3140"/>
    <hyperlink xmlns:r="http://schemas.openxmlformats.org/officeDocument/2006/relationships" ref="Q1605" r:id="rId3141"/>
    <hyperlink xmlns:r="http://schemas.openxmlformats.org/officeDocument/2006/relationships" ref="R1605" r:id="rId3142"/>
    <hyperlink xmlns:r="http://schemas.openxmlformats.org/officeDocument/2006/relationships" ref="Q1606" r:id="rId3143"/>
    <hyperlink xmlns:r="http://schemas.openxmlformats.org/officeDocument/2006/relationships" ref="R1606" r:id="rId3144"/>
    <hyperlink xmlns:r="http://schemas.openxmlformats.org/officeDocument/2006/relationships" ref="Q1607" r:id="rId3145"/>
    <hyperlink xmlns:r="http://schemas.openxmlformats.org/officeDocument/2006/relationships" ref="R1607" r:id="rId3146"/>
    <hyperlink xmlns:r="http://schemas.openxmlformats.org/officeDocument/2006/relationships" ref="Q1608" r:id="rId3147"/>
    <hyperlink xmlns:r="http://schemas.openxmlformats.org/officeDocument/2006/relationships" ref="R1608" r:id="rId3148"/>
    <hyperlink xmlns:r="http://schemas.openxmlformats.org/officeDocument/2006/relationships" ref="Q1609" r:id="rId3149"/>
    <hyperlink xmlns:r="http://schemas.openxmlformats.org/officeDocument/2006/relationships" ref="R1609" r:id="rId3150"/>
    <hyperlink xmlns:r="http://schemas.openxmlformats.org/officeDocument/2006/relationships" ref="Q1610" r:id="rId3151"/>
    <hyperlink xmlns:r="http://schemas.openxmlformats.org/officeDocument/2006/relationships" ref="R1610" r:id="rId3152"/>
    <hyperlink xmlns:r="http://schemas.openxmlformats.org/officeDocument/2006/relationships" ref="Q1611" r:id="rId3153"/>
    <hyperlink xmlns:r="http://schemas.openxmlformats.org/officeDocument/2006/relationships" ref="R1611" r:id="rId3154"/>
    <hyperlink xmlns:r="http://schemas.openxmlformats.org/officeDocument/2006/relationships" ref="Q1612" r:id="rId3155"/>
    <hyperlink xmlns:r="http://schemas.openxmlformats.org/officeDocument/2006/relationships" ref="R1612" r:id="rId3156"/>
    <hyperlink xmlns:r="http://schemas.openxmlformats.org/officeDocument/2006/relationships" ref="Q1613" r:id="rId3157"/>
    <hyperlink xmlns:r="http://schemas.openxmlformats.org/officeDocument/2006/relationships" ref="R1613" r:id="rId3158"/>
    <hyperlink xmlns:r="http://schemas.openxmlformats.org/officeDocument/2006/relationships" ref="Q1614" r:id="rId3159"/>
    <hyperlink xmlns:r="http://schemas.openxmlformats.org/officeDocument/2006/relationships" ref="R1614" r:id="rId3160"/>
    <hyperlink xmlns:r="http://schemas.openxmlformats.org/officeDocument/2006/relationships" ref="Q1615" r:id="rId3161"/>
    <hyperlink xmlns:r="http://schemas.openxmlformats.org/officeDocument/2006/relationships" ref="R1615" r:id="rId3162"/>
    <hyperlink xmlns:r="http://schemas.openxmlformats.org/officeDocument/2006/relationships" ref="Q1616" r:id="rId3163"/>
    <hyperlink xmlns:r="http://schemas.openxmlformats.org/officeDocument/2006/relationships" ref="R1616" r:id="rId3164"/>
    <hyperlink xmlns:r="http://schemas.openxmlformats.org/officeDocument/2006/relationships" ref="Q1617" r:id="rId3165"/>
    <hyperlink xmlns:r="http://schemas.openxmlformats.org/officeDocument/2006/relationships" ref="R1617" r:id="rId3166"/>
    <hyperlink xmlns:r="http://schemas.openxmlformats.org/officeDocument/2006/relationships" ref="Q1618" r:id="rId3167"/>
    <hyperlink xmlns:r="http://schemas.openxmlformats.org/officeDocument/2006/relationships" ref="R1618" r:id="rId3168"/>
    <hyperlink xmlns:r="http://schemas.openxmlformats.org/officeDocument/2006/relationships" ref="Q1619" r:id="rId3169"/>
    <hyperlink xmlns:r="http://schemas.openxmlformats.org/officeDocument/2006/relationships" ref="R1619" r:id="rId3170"/>
    <hyperlink xmlns:r="http://schemas.openxmlformats.org/officeDocument/2006/relationships" ref="Q1620" r:id="rId3171"/>
    <hyperlink xmlns:r="http://schemas.openxmlformats.org/officeDocument/2006/relationships" ref="R1620" r:id="rId3172"/>
    <hyperlink xmlns:r="http://schemas.openxmlformats.org/officeDocument/2006/relationships" ref="Q1621" r:id="rId3173"/>
    <hyperlink xmlns:r="http://schemas.openxmlformats.org/officeDocument/2006/relationships" ref="R1621" r:id="rId3174"/>
    <hyperlink xmlns:r="http://schemas.openxmlformats.org/officeDocument/2006/relationships" ref="Q1622" r:id="rId3175"/>
    <hyperlink xmlns:r="http://schemas.openxmlformats.org/officeDocument/2006/relationships" ref="R1622" r:id="rId3176"/>
    <hyperlink xmlns:r="http://schemas.openxmlformats.org/officeDocument/2006/relationships" ref="Q1623" r:id="rId3177"/>
    <hyperlink xmlns:r="http://schemas.openxmlformats.org/officeDocument/2006/relationships" ref="R1623" r:id="rId3178"/>
    <hyperlink xmlns:r="http://schemas.openxmlformats.org/officeDocument/2006/relationships" ref="Q1624" r:id="rId3179"/>
    <hyperlink xmlns:r="http://schemas.openxmlformats.org/officeDocument/2006/relationships" ref="R1624" r:id="rId3180"/>
    <hyperlink xmlns:r="http://schemas.openxmlformats.org/officeDocument/2006/relationships" ref="Q1625" r:id="rId3181"/>
    <hyperlink xmlns:r="http://schemas.openxmlformats.org/officeDocument/2006/relationships" ref="R1625" r:id="rId3182"/>
    <hyperlink xmlns:r="http://schemas.openxmlformats.org/officeDocument/2006/relationships" ref="Q1626" r:id="rId3183"/>
    <hyperlink xmlns:r="http://schemas.openxmlformats.org/officeDocument/2006/relationships" ref="R1626" r:id="rId3184"/>
    <hyperlink xmlns:r="http://schemas.openxmlformats.org/officeDocument/2006/relationships" ref="Q1627" r:id="rId3185"/>
    <hyperlink xmlns:r="http://schemas.openxmlformats.org/officeDocument/2006/relationships" ref="R1627" r:id="rId3186"/>
    <hyperlink xmlns:r="http://schemas.openxmlformats.org/officeDocument/2006/relationships" ref="Q1628" r:id="rId3187"/>
    <hyperlink xmlns:r="http://schemas.openxmlformats.org/officeDocument/2006/relationships" ref="R1628" r:id="rId3188"/>
    <hyperlink xmlns:r="http://schemas.openxmlformats.org/officeDocument/2006/relationships" ref="Q1629" r:id="rId3189"/>
    <hyperlink xmlns:r="http://schemas.openxmlformats.org/officeDocument/2006/relationships" ref="R1629" r:id="rId3190"/>
    <hyperlink xmlns:r="http://schemas.openxmlformats.org/officeDocument/2006/relationships" ref="Q1630" r:id="rId3191"/>
    <hyperlink xmlns:r="http://schemas.openxmlformats.org/officeDocument/2006/relationships" ref="R1630" r:id="rId3192"/>
    <hyperlink xmlns:r="http://schemas.openxmlformats.org/officeDocument/2006/relationships" ref="Q1631" r:id="rId3193"/>
    <hyperlink xmlns:r="http://schemas.openxmlformats.org/officeDocument/2006/relationships" ref="R1631" r:id="rId3194"/>
    <hyperlink xmlns:r="http://schemas.openxmlformats.org/officeDocument/2006/relationships" ref="Q1632" r:id="rId3195"/>
    <hyperlink xmlns:r="http://schemas.openxmlformats.org/officeDocument/2006/relationships" ref="Q1633" r:id="rId3196"/>
    <hyperlink xmlns:r="http://schemas.openxmlformats.org/officeDocument/2006/relationships" ref="R1633" r:id="rId3197"/>
    <hyperlink xmlns:r="http://schemas.openxmlformats.org/officeDocument/2006/relationships" ref="Q1634" r:id="rId3198"/>
    <hyperlink xmlns:r="http://schemas.openxmlformats.org/officeDocument/2006/relationships" ref="R1634" r:id="rId3199"/>
    <hyperlink xmlns:r="http://schemas.openxmlformats.org/officeDocument/2006/relationships" ref="Q1635" r:id="rId3200"/>
    <hyperlink xmlns:r="http://schemas.openxmlformats.org/officeDocument/2006/relationships" ref="R1635" r:id="rId3201"/>
    <hyperlink xmlns:r="http://schemas.openxmlformats.org/officeDocument/2006/relationships" ref="Q1636" r:id="rId3202"/>
    <hyperlink xmlns:r="http://schemas.openxmlformats.org/officeDocument/2006/relationships" ref="R1636" r:id="rId3203"/>
    <hyperlink xmlns:r="http://schemas.openxmlformats.org/officeDocument/2006/relationships" ref="Q1637" r:id="rId3204"/>
    <hyperlink xmlns:r="http://schemas.openxmlformats.org/officeDocument/2006/relationships" ref="R1637" r:id="rId3205"/>
    <hyperlink xmlns:r="http://schemas.openxmlformats.org/officeDocument/2006/relationships" ref="Q1638" r:id="rId3206"/>
    <hyperlink xmlns:r="http://schemas.openxmlformats.org/officeDocument/2006/relationships" ref="R1638" r:id="rId3207"/>
    <hyperlink xmlns:r="http://schemas.openxmlformats.org/officeDocument/2006/relationships" ref="Q1639" r:id="rId3208"/>
    <hyperlink xmlns:r="http://schemas.openxmlformats.org/officeDocument/2006/relationships" ref="R1639" r:id="rId3209"/>
    <hyperlink xmlns:r="http://schemas.openxmlformats.org/officeDocument/2006/relationships" ref="Q1640" r:id="rId3210"/>
    <hyperlink xmlns:r="http://schemas.openxmlformats.org/officeDocument/2006/relationships" ref="R1640" r:id="rId3211"/>
    <hyperlink xmlns:r="http://schemas.openxmlformats.org/officeDocument/2006/relationships" ref="Q1641" r:id="rId3212"/>
    <hyperlink xmlns:r="http://schemas.openxmlformats.org/officeDocument/2006/relationships" ref="R1641" r:id="rId3213"/>
    <hyperlink xmlns:r="http://schemas.openxmlformats.org/officeDocument/2006/relationships" ref="Q1642" r:id="rId3214"/>
    <hyperlink xmlns:r="http://schemas.openxmlformats.org/officeDocument/2006/relationships" ref="R1642" r:id="rId3215"/>
    <hyperlink xmlns:r="http://schemas.openxmlformats.org/officeDocument/2006/relationships" ref="Q1643" r:id="rId3216"/>
    <hyperlink xmlns:r="http://schemas.openxmlformats.org/officeDocument/2006/relationships" ref="R1643" r:id="rId3217"/>
    <hyperlink xmlns:r="http://schemas.openxmlformats.org/officeDocument/2006/relationships" ref="Q1644" r:id="rId3218"/>
    <hyperlink xmlns:r="http://schemas.openxmlformats.org/officeDocument/2006/relationships" ref="R1644" r:id="rId3219"/>
    <hyperlink xmlns:r="http://schemas.openxmlformats.org/officeDocument/2006/relationships" ref="Q1645" r:id="rId3220"/>
    <hyperlink xmlns:r="http://schemas.openxmlformats.org/officeDocument/2006/relationships" ref="R1645" r:id="rId3221"/>
    <hyperlink xmlns:r="http://schemas.openxmlformats.org/officeDocument/2006/relationships" ref="Q1646" r:id="rId3222"/>
    <hyperlink xmlns:r="http://schemas.openxmlformats.org/officeDocument/2006/relationships" ref="R1646" r:id="rId3223"/>
    <hyperlink xmlns:r="http://schemas.openxmlformats.org/officeDocument/2006/relationships" ref="Q1647" r:id="rId3224"/>
    <hyperlink xmlns:r="http://schemas.openxmlformats.org/officeDocument/2006/relationships" ref="R1647" r:id="rId3225"/>
    <hyperlink xmlns:r="http://schemas.openxmlformats.org/officeDocument/2006/relationships" ref="Q1648" r:id="rId3226"/>
    <hyperlink xmlns:r="http://schemas.openxmlformats.org/officeDocument/2006/relationships" ref="R1648" r:id="rId3227"/>
    <hyperlink xmlns:r="http://schemas.openxmlformats.org/officeDocument/2006/relationships" ref="Q1649" r:id="rId3228"/>
    <hyperlink xmlns:r="http://schemas.openxmlformats.org/officeDocument/2006/relationships" ref="R1649" r:id="rId3229"/>
    <hyperlink xmlns:r="http://schemas.openxmlformats.org/officeDocument/2006/relationships" ref="Q1650" r:id="rId3230"/>
    <hyperlink xmlns:r="http://schemas.openxmlformats.org/officeDocument/2006/relationships" ref="R1650" r:id="rId3231"/>
    <hyperlink xmlns:r="http://schemas.openxmlformats.org/officeDocument/2006/relationships" ref="Q1651" r:id="rId3232"/>
    <hyperlink xmlns:r="http://schemas.openxmlformats.org/officeDocument/2006/relationships" ref="R1651" r:id="rId3233"/>
    <hyperlink xmlns:r="http://schemas.openxmlformats.org/officeDocument/2006/relationships" ref="Q1652" r:id="rId3234"/>
    <hyperlink xmlns:r="http://schemas.openxmlformats.org/officeDocument/2006/relationships" ref="R1652" r:id="rId3235"/>
    <hyperlink xmlns:r="http://schemas.openxmlformats.org/officeDocument/2006/relationships" ref="Q1653" r:id="rId3236"/>
    <hyperlink xmlns:r="http://schemas.openxmlformats.org/officeDocument/2006/relationships" ref="R1653" r:id="rId3237"/>
    <hyperlink xmlns:r="http://schemas.openxmlformats.org/officeDocument/2006/relationships" ref="Q1654" r:id="rId3238"/>
    <hyperlink xmlns:r="http://schemas.openxmlformats.org/officeDocument/2006/relationships" ref="Q1655" r:id="rId3239"/>
    <hyperlink xmlns:r="http://schemas.openxmlformats.org/officeDocument/2006/relationships" ref="R1655" r:id="rId3240"/>
    <hyperlink xmlns:r="http://schemas.openxmlformats.org/officeDocument/2006/relationships" ref="Q1656" r:id="rId3241"/>
    <hyperlink xmlns:r="http://schemas.openxmlformats.org/officeDocument/2006/relationships" ref="R1656" r:id="rId3242"/>
    <hyperlink xmlns:r="http://schemas.openxmlformats.org/officeDocument/2006/relationships" ref="Q1657" r:id="rId3243"/>
    <hyperlink xmlns:r="http://schemas.openxmlformats.org/officeDocument/2006/relationships" ref="R1657" r:id="rId3244"/>
    <hyperlink xmlns:r="http://schemas.openxmlformats.org/officeDocument/2006/relationships" ref="Q1658" r:id="rId3245"/>
    <hyperlink xmlns:r="http://schemas.openxmlformats.org/officeDocument/2006/relationships" ref="R1658" r:id="rId3246"/>
    <hyperlink xmlns:r="http://schemas.openxmlformats.org/officeDocument/2006/relationships" ref="Q1659" r:id="rId3247"/>
    <hyperlink xmlns:r="http://schemas.openxmlformats.org/officeDocument/2006/relationships" ref="R1659" r:id="rId3248"/>
    <hyperlink xmlns:r="http://schemas.openxmlformats.org/officeDocument/2006/relationships" ref="Q1660" r:id="rId3249"/>
    <hyperlink xmlns:r="http://schemas.openxmlformats.org/officeDocument/2006/relationships" ref="R1660" r:id="rId3250"/>
    <hyperlink xmlns:r="http://schemas.openxmlformats.org/officeDocument/2006/relationships" ref="Q1661" r:id="rId3251"/>
    <hyperlink xmlns:r="http://schemas.openxmlformats.org/officeDocument/2006/relationships" ref="R1661" r:id="rId3252"/>
    <hyperlink xmlns:r="http://schemas.openxmlformats.org/officeDocument/2006/relationships" ref="Q1662" r:id="rId3253"/>
    <hyperlink xmlns:r="http://schemas.openxmlformats.org/officeDocument/2006/relationships" ref="R1662" r:id="rId3254"/>
    <hyperlink xmlns:r="http://schemas.openxmlformats.org/officeDocument/2006/relationships" ref="Q1663" r:id="rId3255"/>
    <hyperlink xmlns:r="http://schemas.openxmlformats.org/officeDocument/2006/relationships" ref="R1663" r:id="rId3256"/>
    <hyperlink xmlns:r="http://schemas.openxmlformats.org/officeDocument/2006/relationships" ref="Q1664" r:id="rId3257"/>
    <hyperlink xmlns:r="http://schemas.openxmlformats.org/officeDocument/2006/relationships" ref="R1664" r:id="rId3258"/>
    <hyperlink xmlns:r="http://schemas.openxmlformats.org/officeDocument/2006/relationships" ref="Q1665" r:id="rId3259"/>
    <hyperlink xmlns:r="http://schemas.openxmlformats.org/officeDocument/2006/relationships" ref="Q1666" r:id="rId3260"/>
    <hyperlink xmlns:r="http://schemas.openxmlformats.org/officeDocument/2006/relationships" ref="R1666" r:id="rId3261"/>
    <hyperlink xmlns:r="http://schemas.openxmlformats.org/officeDocument/2006/relationships" ref="Q1667" r:id="rId3262"/>
    <hyperlink xmlns:r="http://schemas.openxmlformats.org/officeDocument/2006/relationships" ref="R1667" r:id="rId3263"/>
    <hyperlink xmlns:r="http://schemas.openxmlformats.org/officeDocument/2006/relationships" ref="Q1668" r:id="rId3264"/>
    <hyperlink xmlns:r="http://schemas.openxmlformats.org/officeDocument/2006/relationships" ref="R1668" r:id="rId3265"/>
    <hyperlink xmlns:r="http://schemas.openxmlformats.org/officeDocument/2006/relationships" ref="Q1669" r:id="rId3266"/>
    <hyperlink xmlns:r="http://schemas.openxmlformats.org/officeDocument/2006/relationships" ref="R1669" r:id="rId3267"/>
    <hyperlink xmlns:r="http://schemas.openxmlformats.org/officeDocument/2006/relationships" ref="Q1670" r:id="rId3268"/>
    <hyperlink xmlns:r="http://schemas.openxmlformats.org/officeDocument/2006/relationships" ref="R1670" r:id="rId3269"/>
    <hyperlink xmlns:r="http://schemas.openxmlformats.org/officeDocument/2006/relationships" ref="Q1671" r:id="rId3270"/>
    <hyperlink xmlns:r="http://schemas.openxmlformats.org/officeDocument/2006/relationships" ref="R1671" r:id="rId3271"/>
    <hyperlink xmlns:r="http://schemas.openxmlformats.org/officeDocument/2006/relationships" ref="Q1672" r:id="rId3272"/>
    <hyperlink xmlns:r="http://schemas.openxmlformats.org/officeDocument/2006/relationships" ref="R1672" r:id="rId3273"/>
    <hyperlink xmlns:r="http://schemas.openxmlformats.org/officeDocument/2006/relationships" ref="Q1673" r:id="rId3274"/>
    <hyperlink xmlns:r="http://schemas.openxmlformats.org/officeDocument/2006/relationships" ref="R1673" r:id="rId3275"/>
    <hyperlink xmlns:r="http://schemas.openxmlformats.org/officeDocument/2006/relationships" ref="Q1674" r:id="rId3276"/>
    <hyperlink xmlns:r="http://schemas.openxmlformats.org/officeDocument/2006/relationships" ref="R1674" r:id="rId3277"/>
    <hyperlink xmlns:r="http://schemas.openxmlformats.org/officeDocument/2006/relationships" ref="Q1675" r:id="rId3278"/>
    <hyperlink xmlns:r="http://schemas.openxmlformats.org/officeDocument/2006/relationships" ref="R1675" r:id="rId3279"/>
    <hyperlink xmlns:r="http://schemas.openxmlformats.org/officeDocument/2006/relationships" ref="Q1676" r:id="rId3280"/>
    <hyperlink xmlns:r="http://schemas.openxmlformats.org/officeDocument/2006/relationships" ref="R1676" r:id="rId3281"/>
    <hyperlink xmlns:r="http://schemas.openxmlformats.org/officeDocument/2006/relationships" ref="Q1677" r:id="rId3282"/>
    <hyperlink xmlns:r="http://schemas.openxmlformats.org/officeDocument/2006/relationships" ref="R1677" r:id="rId3283"/>
    <hyperlink xmlns:r="http://schemas.openxmlformats.org/officeDocument/2006/relationships" ref="Q1678" r:id="rId3284"/>
    <hyperlink xmlns:r="http://schemas.openxmlformats.org/officeDocument/2006/relationships" ref="R1678" r:id="rId3285"/>
    <hyperlink xmlns:r="http://schemas.openxmlformats.org/officeDocument/2006/relationships" ref="Q1679" r:id="rId3286"/>
    <hyperlink xmlns:r="http://schemas.openxmlformats.org/officeDocument/2006/relationships" ref="R1679" r:id="rId3287"/>
    <hyperlink xmlns:r="http://schemas.openxmlformats.org/officeDocument/2006/relationships" ref="Q1680" r:id="rId3288"/>
    <hyperlink xmlns:r="http://schemas.openxmlformats.org/officeDocument/2006/relationships" ref="R1680" r:id="rId3289"/>
    <hyperlink xmlns:r="http://schemas.openxmlformats.org/officeDocument/2006/relationships" ref="Q1681" r:id="rId3290"/>
    <hyperlink xmlns:r="http://schemas.openxmlformats.org/officeDocument/2006/relationships" ref="R1681" r:id="rId3291"/>
    <hyperlink xmlns:r="http://schemas.openxmlformats.org/officeDocument/2006/relationships" ref="Q1682" r:id="rId3292"/>
    <hyperlink xmlns:r="http://schemas.openxmlformats.org/officeDocument/2006/relationships" ref="R1682" r:id="rId3293"/>
    <hyperlink xmlns:r="http://schemas.openxmlformats.org/officeDocument/2006/relationships" ref="Q1683" r:id="rId3294"/>
    <hyperlink xmlns:r="http://schemas.openxmlformats.org/officeDocument/2006/relationships" ref="R1683" r:id="rId3295"/>
    <hyperlink xmlns:r="http://schemas.openxmlformats.org/officeDocument/2006/relationships" ref="Q1684" r:id="rId3296"/>
    <hyperlink xmlns:r="http://schemas.openxmlformats.org/officeDocument/2006/relationships" ref="R1684" r:id="rId3297"/>
    <hyperlink xmlns:r="http://schemas.openxmlformats.org/officeDocument/2006/relationships" ref="Q1685" r:id="rId3298"/>
    <hyperlink xmlns:r="http://schemas.openxmlformats.org/officeDocument/2006/relationships" ref="R1685" r:id="rId3299"/>
    <hyperlink xmlns:r="http://schemas.openxmlformats.org/officeDocument/2006/relationships" ref="Q1686" r:id="rId3300"/>
    <hyperlink xmlns:r="http://schemas.openxmlformats.org/officeDocument/2006/relationships" ref="R1686" r:id="rId3301"/>
    <hyperlink xmlns:r="http://schemas.openxmlformats.org/officeDocument/2006/relationships" ref="Q1687" r:id="rId3302"/>
    <hyperlink xmlns:r="http://schemas.openxmlformats.org/officeDocument/2006/relationships" ref="R1687" r:id="rId3303"/>
    <hyperlink xmlns:r="http://schemas.openxmlformats.org/officeDocument/2006/relationships" ref="Q1688" r:id="rId3304"/>
    <hyperlink xmlns:r="http://schemas.openxmlformats.org/officeDocument/2006/relationships" ref="R1688" r:id="rId3305"/>
    <hyperlink xmlns:r="http://schemas.openxmlformats.org/officeDocument/2006/relationships" ref="Q1689" r:id="rId3306"/>
    <hyperlink xmlns:r="http://schemas.openxmlformats.org/officeDocument/2006/relationships" ref="R1689" r:id="rId3307"/>
    <hyperlink xmlns:r="http://schemas.openxmlformats.org/officeDocument/2006/relationships" ref="Q1690" r:id="rId3308"/>
    <hyperlink xmlns:r="http://schemas.openxmlformats.org/officeDocument/2006/relationships" ref="R1690" r:id="rId3309"/>
    <hyperlink xmlns:r="http://schemas.openxmlformats.org/officeDocument/2006/relationships" ref="Q1691" r:id="rId3310"/>
    <hyperlink xmlns:r="http://schemas.openxmlformats.org/officeDocument/2006/relationships" ref="R1691" r:id="rId3311"/>
    <hyperlink xmlns:r="http://schemas.openxmlformats.org/officeDocument/2006/relationships" ref="Q1692" r:id="rId3312"/>
    <hyperlink xmlns:r="http://schemas.openxmlformats.org/officeDocument/2006/relationships" ref="R1692" r:id="rId3313"/>
    <hyperlink xmlns:r="http://schemas.openxmlformats.org/officeDocument/2006/relationships" ref="Q1693" r:id="rId3314"/>
    <hyperlink xmlns:r="http://schemas.openxmlformats.org/officeDocument/2006/relationships" ref="R1693" r:id="rId3315"/>
    <hyperlink xmlns:r="http://schemas.openxmlformats.org/officeDocument/2006/relationships" ref="Q1694" r:id="rId3316"/>
    <hyperlink xmlns:r="http://schemas.openxmlformats.org/officeDocument/2006/relationships" ref="R1694" r:id="rId3317"/>
    <hyperlink xmlns:r="http://schemas.openxmlformats.org/officeDocument/2006/relationships" ref="Q1695" r:id="rId3318"/>
    <hyperlink xmlns:r="http://schemas.openxmlformats.org/officeDocument/2006/relationships" ref="R1695" r:id="rId3319"/>
    <hyperlink xmlns:r="http://schemas.openxmlformats.org/officeDocument/2006/relationships" ref="Q1696" r:id="rId3320"/>
    <hyperlink xmlns:r="http://schemas.openxmlformats.org/officeDocument/2006/relationships" ref="R1696" r:id="rId3321"/>
    <hyperlink xmlns:r="http://schemas.openxmlformats.org/officeDocument/2006/relationships" ref="Q1697" r:id="rId3322"/>
    <hyperlink xmlns:r="http://schemas.openxmlformats.org/officeDocument/2006/relationships" ref="R1697" r:id="rId3323"/>
    <hyperlink xmlns:r="http://schemas.openxmlformats.org/officeDocument/2006/relationships" ref="Q1698" r:id="rId3324"/>
    <hyperlink xmlns:r="http://schemas.openxmlformats.org/officeDocument/2006/relationships" ref="R1698" r:id="rId3325"/>
    <hyperlink xmlns:r="http://schemas.openxmlformats.org/officeDocument/2006/relationships" ref="Q1699" r:id="rId3326"/>
    <hyperlink xmlns:r="http://schemas.openxmlformats.org/officeDocument/2006/relationships" ref="R1699" r:id="rId3327"/>
    <hyperlink xmlns:r="http://schemas.openxmlformats.org/officeDocument/2006/relationships" ref="Q1700" r:id="rId3328"/>
    <hyperlink xmlns:r="http://schemas.openxmlformats.org/officeDocument/2006/relationships" ref="R1700" r:id="rId3329"/>
    <hyperlink xmlns:r="http://schemas.openxmlformats.org/officeDocument/2006/relationships" ref="Q1701" r:id="rId3330"/>
    <hyperlink xmlns:r="http://schemas.openxmlformats.org/officeDocument/2006/relationships" ref="R1701" r:id="rId3331"/>
    <hyperlink xmlns:r="http://schemas.openxmlformats.org/officeDocument/2006/relationships" ref="Q1702" r:id="rId3332"/>
    <hyperlink xmlns:r="http://schemas.openxmlformats.org/officeDocument/2006/relationships" ref="R1702" r:id="rId3333"/>
    <hyperlink xmlns:r="http://schemas.openxmlformats.org/officeDocument/2006/relationships" ref="Q1703" r:id="rId3334"/>
    <hyperlink xmlns:r="http://schemas.openxmlformats.org/officeDocument/2006/relationships" ref="R1703" r:id="rId3335"/>
    <hyperlink xmlns:r="http://schemas.openxmlformats.org/officeDocument/2006/relationships" ref="Q1704" r:id="rId3336"/>
    <hyperlink xmlns:r="http://schemas.openxmlformats.org/officeDocument/2006/relationships" ref="R1704" r:id="rId3337"/>
    <hyperlink xmlns:r="http://schemas.openxmlformats.org/officeDocument/2006/relationships" ref="Q1705" r:id="rId3338"/>
    <hyperlink xmlns:r="http://schemas.openxmlformats.org/officeDocument/2006/relationships" ref="R1705" r:id="rId3339"/>
    <hyperlink xmlns:r="http://schemas.openxmlformats.org/officeDocument/2006/relationships" ref="Q1706" r:id="rId3340"/>
    <hyperlink xmlns:r="http://schemas.openxmlformats.org/officeDocument/2006/relationships" ref="Q1707" r:id="rId3341"/>
    <hyperlink xmlns:r="http://schemas.openxmlformats.org/officeDocument/2006/relationships" ref="Q1708" r:id="rId3342"/>
    <hyperlink xmlns:r="http://schemas.openxmlformats.org/officeDocument/2006/relationships" ref="R1708" r:id="rId3343"/>
    <hyperlink xmlns:r="http://schemas.openxmlformats.org/officeDocument/2006/relationships" ref="Q1709" r:id="rId3344"/>
    <hyperlink xmlns:r="http://schemas.openxmlformats.org/officeDocument/2006/relationships" ref="Q1710" r:id="rId3345"/>
    <hyperlink xmlns:r="http://schemas.openxmlformats.org/officeDocument/2006/relationships" ref="R1710" r:id="rId3346"/>
    <hyperlink xmlns:r="http://schemas.openxmlformats.org/officeDocument/2006/relationships" ref="Q1711" r:id="rId3347"/>
    <hyperlink xmlns:r="http://schemas.openxmlformats.org/officeDocument/2006/relationships" ref="R1711" r:id="rId3348"/>
    <hyperlink xmlns:r="http://schemas.openxmlformats.org/officeDocument/2006/relationships" ref="Q1712" r:id="rId3349"/>
    <hyperlink xmlns:r="http://schemas.openxmlformats.org/officeDocument/2006/relationships" ref="R1712" r:id="rId3350"/>
    <hyperlink xmlns:r="http://schemas.openxmlformats.org/officeDocument/2006/relationships" ref="Q1713" r:id="rId3351"/>
    <hyperlink xmlns:r="http://schemas.openxmlformats.org/officeDocument/2006/relationships" ref="R1713" r:id="rId3352"/>
    <hyperlink xmlns:r="http://schemas.openxmlformats.org/officeDocument/2006/relationships" ref="Q1714" r:id="rId3353"/>
    <hyperlink xmlns:r="http://schemas.openxmlformats.org/officeDocument/2006/relationships" ref="R1714" r:id="rId3354"/>
    <hyperlink xmlns:r="http://schemas.openxmlformats.org/officeDocument/2006/relationships" ref="Q1715" r:id="rId3355"/>
    <hyperlink xmlns:r="http://schemas.openxmlformats.org/officeDocument/2006/relationships" ref="R1715" r:id="rId3356"/>
    <hyperlink xmlns:r="http://schemas.openxmlformats.org/officeDocument/2006/relationships" ref="Q1716" r:id="rId3357"/>
    <hyperlink xmlns:r="http://schemas.openxmlformats.org/officeDocument/2006/relationships" ref="R1716" r:id="rId3358"/>
    <hyperlink xmlns:r="http://schemas.openxmlformats.org/officeDocument/2006/relationships" ref="Q1717" r:id="rId3359"/>
    <hyperlink xmlns:r="http://schemas.openxmlformats.org/officeDocument/2006/relationships" ref="R1717" r:id="rId3360"/>
    <hyperlink xmlns:r="http://schemas.openxmlformats.org/officeDocument/2006/relationships" ref="Q1718" r:id="rId3361"/>
    <hyperlink xmlns:r="http://schemas.openxmlformats.org/officeDocument/2006/relationships" ref="Q1719" r:id="rId3362"/>
    <hyperlink xmlns:r="http://schemas.openxmlformats.org/officeDocument/2006/relationships" ref="R1719" r:id="rId3363"/>
    <hyperlink xmlns:r="http://schemas.openxmlformats.org/officeDocument/2006/relationships" ref="Q1720" r:id="rId3364"/>
    <hyperlink xmlns:r="http://schemas.openxmlformats.org/officeDocument/2006/relationships" ref="R1720" r:id="rId3365"/>
    <hyperlink xmlns:r="http://schemas.openxmlformats.org/officeDocument/2006/relationships" ref="Q1721" r:id="rId3366"/>
    <hyperlink xmlns:r="http://schemas.openxmlformats.org/officeDocument/2006/relationships" ref="R1721" r:id="rId3367"/>
    <hyperlink xmlns:r="http://schemas.openxmlformats.org/officeDocument/2006/relationships" ref="Q1722" r:id="rId3368"/>
    <hyperlink xmlns:r="http://schemas.openxmlformats.org/officeDocument/2006/relationships" ref="R1722" r:id="rId3369"/>
    <hyperlink xmlns:r="http://schemas.openxmlformats.org/officeDocument/2006/relationships" ref="Q1723" r:id="rId3370"/>
    <hyperlink xmlns:r="http://schemas.openxmlformats.org/officeDocument/2006/relationships" ref="R1723" r:id="rId3371"/>
    <hyperlink xmlns:r="http://schemas.openxmlformats.org/officeDocument/2006/relationships" ref="Q1724" r:id="rId3372"/>
    <hyperlink xmlns:r="http://schemas.openxmlformats.org/officeDocument/2006/relationships" ref="R1724" r:id="rId3373"/>
    <hyperlink xmlns:r="http://schemas.openxmlformats.org/officeDocument/2006/relationships" ref="Q1725" r:id="rId3374"/>
    <hyperlink xmlns:r="http://schemas.openxmlformats.org/officeDocument/2006/relationships" ref="R1725" r:id="rId3375"/>
    <hyperlink xmlns:r="http://schemas.openxmlformats.org/officeDocument/2006/relationships" ref="Q1726" r:id="rId3376"/>
    <hyperlink xmlns:r="http://schemas.openxmlformats.org/officeDocument/2006/relationships" ref="R1726" r:id="rId3377"/>
    <hyperlink xmlns:r="http://schemas.openxmlformats.org/officeDocument/2006/relationships" ref="Q1727" r:id="rId3378"/>
    <hyperlink xmlns:r="http://schemas.openxmlformats.org/officeDocument/2006/relationships" ref="R1727" r:id="rId3379"/>
    <hyperlink xmlns:r="http://schemas.openxmlformats.org/officeDocument/2006/relationships" ref="Q1728" r:id="rId3380"/>
    <hyperlink xmlns:r="http://schemas.openxmlformats.org/officeDocument/2006/relationships" ref="R1728" r:id="rId3381"/>
    <hyperlink xmlns:r="http://schemas.openxmlformats.org/officeDocument/2006/relationships" ref="Q1729" r:id="rId3382"/>
    <hyperlink xmlns:r="http://schemas.openxmlformats.org/officeDocument/2006/relationships" ref="R1729" r:id="rId3383"/>
    <hyperlink xmlns:r="http://schemas.openxmlformats.org/officeDocument/2006/relationships" ref="Q1730" r:id="rId3384"/>
    <hyperlink xmlns:r="http://schemas.openxmlformats.org/officeDocument/2006/relationships" ref="R1730" r:id="rId3385"/>
    <hyperlink xmlns:r="http://schemas.openxmlformats.org/officeDocument/2006/relationships" ref="Q1731" r:id="rId3386"/>
    <hyperlink xmlns:r="http://schemas.openxmlformats.org/officeDocument/2006/relationships" ref="R1731" r:id="rId3387"/>
    <hyperlink xmlns:r="http://schemas.openxmlformats.org/officeDocument/2006/relationships" ref="Q1732" r:id="rId3388"/>
    <hyperlink xmlns:r="http://schemas.openxmlformats.org/officeDocument/2006/relationships" ref="R1732" r:id="rId3389"/>
    <hyperlink xmlns:r="http://schemas.openxmlformats.org/officeDocument/2006/relationships" ref="Q1733" r:id="rId3390"/>
    <hyperlink xmlns:r="http://schemas.openxmlformats.org/officeDocument/2006/relationships" ref="R1733" r:id="rId3391"/>
    <hyperlink xmlns:r="http://schemas.openxmlformats.org/officeDocument/2006/relationships" ref="Q1734" r:id="rId3392"/>
    <hyperlink xmlns:r="http://schemas.openxmlformats.org/officeDocument/2006/relationships" ref="R1734" r:id="rId3393"/>
    <hyperlink xmlns:r="http://schemas.openxmlformats.org/officeDocument/2006/relationships" ref="Q1735" r:id="rId3394"/>
    <hyperlink xmlns:r="http://schemas.openxmlformats.org/officeDocument/2006/relationships" ref="R1735" r:id="rId3395"/>
    <hyperlink xmlns:r="http://schemas.openxmlformats.org/officeDocument/2006/relationships" ref="Q1736" r:id="rId3396"/>
    <hyperlink xmlns:r="http://schemas.openxmlformats.org/officeDocument/2006/relationships" ref="Q1737" r:id="rId3397"/>
    <hyperlink xmlns:r="http://schemas.openxmlformats.org/officeDocument/2006/relationships" ref="R1737" r:id="rId3398"/>
    <hyperlink xmlns:r="http://schemas.openxmlformats.org/officeDocument/2006/relationships" ref="Q1738" r:id="rId3399"/>
    <hyperlink xmlns:r="http://schemas.openxmlformats.org/officeDocument/2006/relationships" ref="R1738" r:id="rId3400"/>
    <hyperlink xmlns:r="http://schemas.openxmlformats.org/officeDocument/2006/relationships" ref="Q1739" r:id="rId3401"/>
    <hyperlink xmlns:r="http://schemas.openxmlformats.org/officeDocument/2006/relationships" ref="R1739" r:id="rId3402"/>
    <hyperlink xmlns:r="http://schemas.openxmlformats.org/officeDocument/2006/relationships" ref="Q1740" r:id="rId3403"/>
    <hyperlink xmlns:r="http://schemas.openxmlformats.org/officeDocument/2006/relationships" ref="R1740" r:id="rId3404"/>
    <hyperlink xmlns:r="http://schemas.openxmlformats.org/officeDocument/2006/relationships" ref="Q1741" r:id="rId3405"/>
    <hyperlink xmlns:r="http://schemas.openxmlformats.org/officeDocument/2006/relationships" ref="R1741" r:id="rId3406"/>
    <hyperlink xmlns:r="http://schemas.openxmlformats.org/officeDocument/2006/relationships" ref="Q1742" r:id="rId3407"/>
    <hyperlink xmlns:r="http://schemas.openxmlformats.org/officeDocument/2006/relationships" ref="R1742" r:id="rId3408"/>
    <hyperlink xmlns:r="http://schemas.openxmlformats.org/officeDocument/2006/relationships" ref="Q1743" r:id="rId3409"/>
    <hyperlink xmlns:r="http://schemas.openxmlformats.org/officeDocument/2006/relationships" ref="R1743" r:id="rId3410"/>
    <hyperlink xmlns:r="http://schemas.openxmlformats.org/officeDocument/2006/relationships" ref="Q1744" r:id="rId3411"/>
    <hyperlink xmlns:r="http://schemas.openxmlformats.org/officeDocument/2006/relationships" ref="R1744" r:id="rId3412"/>
    <hyperlink xmlns:r="http://schemas.openxmlformats.org/officeDocument/2006/relationships" ref="Q1745" r:id="rId3413"/>
    <hyperlink xmlns:r="http://schemas.openxmlformats.org/officeDocument/2006/relationships" ref="R1745" r:id="rId3414"/>
    <hyperlink xmlns:r="http://schemas.openxmlformats.org/officeDocument/2006/relationships" ref="Q1746" r:id="rId3415"/>
    <hyperlink xmlns:r="http://schemas.openxmlformats.org/officeDocument/2006/relationships" ref="R1746" r:id="rId3416"/>
    <hyperlink xmlns:r="http://schemas.openxmlformats.org/officeDocument/2006/relationships" ref="Q1747" r:id="rId3417"/>
    <hyperlink xmlns:r="http://schemas.openxmlformats.org/officeDocument/2006/relationships" ref="R1747" r:id="rId3418"/>
    <hyperlink xmlns:r="http://schemas.openxmlformats.org/officeDocument/2006/relationships" ref="Q1748" r:id="rId3419"/>
    <hyperlink xmlns:r="http://schemas.openxmlformats.org/officeDocument/2006/relationships" ref="R1748" r:id="rId3420"/>
    <hyperlink xmlns:r="http://schemas.openxmlformats.org/officeDocument/2006/relationships" ref="Q1749" r:id="rId3421"/>
    <hyperlink xmlns:r="http://schemas.openxmlformats.org/officeDocument/2006/relationships" ref="R1749" r:id="rId3422"/>
    <hyperlink xmlns:r="http://schemas.openxmlformats.org/officeDocument/2006/relationships" ref="Q1750" r:id="rId3423"/>
    <hyperlink xmlns:r="http://schemas.openxmlformats.org/officeDocument/2006/relationships" ref="R1750" r:id="rId3424"/>
    <hyperlink xmlns:r="http://schemas.openxmlformats.org/officeDocument/2006/relationships" ref="Q1751" r:id="rId3425"/>
    <hyperlink xmlns:r="http://schemas.openxmlformats.org/officeDocument/2006/relationships" ref="R1751" r:id="rId3426"/>
    <hyperlink xmlns:r="http://schemas.openxmlformats.org/officeDocument/2006/relationships" ref="Q1752" r:id="rId3427"/>
    <hyperlink xmlns:r="http://schemas.openxmlformats.org/officeDocument/2006/relationships" ref="R1752" r:id="rId3428"/>
    <hyperlink xmlns:r="http://schemas.openxmlformats.org/officeDocument/2006/relationships" ref="Q1753" r:id="rId3429"/>
    <hyperlink xmlns:r="http://schemas.openxmlformats.org/officeDocument/2006/relationships" ref="R1753" r:id="rId3430"/>
    <hyperlink xmlns:r="http://schemas.openxmlformats.org/officeDocument/2006/relationships" ref="Q1754" r:id="rId3431"/>
    <hyperlink xmlns:r="http://schemas.openxmlformats.org/officeDocument/2006/relationships" ref="R1754" r:id="rId3432"/>
    <hyperlink xmlns:r="http://schemas.openxmlformats.org/officeDocument/2006/relationships" ref="Q1755" r:id="rId3433"/>
    <hyperlink xmlns:r="http://schemas.openxmlformats.org/officeDocument/2006/relationships" ref="R1755" r:id="rId3434"/>
    <hyperlink xmlns:r="http://schemas.openxmlformats.org/officeDocument/2006/relationships" ref="Q1756" r:id="rId3435"/>
    <hyperlink xmlns:r="http://schemas.openxmlformats.org/officeDocument/2006/relationships" ref="R1756" r:id="rId3436"/>
    <hyperlink xmlns:r="http://schemas.openxmlformats.org/officeDocument/2006/relationships" ref="Q1757" r:id="rId3437"/>
    <hyperlink xmlns:r="http://schemas.openxmlformats.org/officeDocument/2006/relationships" ref="R1757" r:id="rId3438"/>
    <hyperlink xmlns:r="http://schemas.openxmlformats.org/officeDocument/2006/relationships" ref="Q1758" r:id="rId3439"/>
    <hyperlink xmlns:r="http://schemas.openxmlformats.org/officeDocument/2006/relationships" ref="R1758" r:id="rId3440"/>
    <hyperlink xmlns:r="http://schemas.openxmlformats.org/officeDocument/2006/relationships" ref="Q1759" r:id="rId3441"/>
    <hyperlink xmlns:r="http://schemas.openxmlformats.org/officeDocument/2006/relationships" ref="R1759" r:id="rId3442"/>
    <hyperlink xmlns:r="http://schemas.openxmlformats.org/officeDocument/2006/relationships" ref="Q1760" r:id="rId3443"/>
    <hyperlink xmlns:r="http://schemas.openxmlformats.org/officeDocument/2006/relationships" ref="R1760" r:id="rId3444"/>
    <hyperlink xmlns:r="http://schemas.openxmlformats.org/officeDocument/2006/relationships" ref="Q1761" r:id="rId3445"/>
    <hyperlink xmlns:r="http://schemas.openxmlformats.org/officeDocument/2006/relationships" ref="R1761" r:id="rId3446"/>
    <hyperlink xmlns:r="http://schemas.openxmlformats.org/officeDocument/2006/relationships" ref="Q1762" r:id="rId3447"/>
    <hyperlink xmlns:r="http://schemas.openxmlformats.org/officeDocument/2006/relationships" ref="R1762" r:id="rId3448"/>
    <hyperlink xmlns:r="http://schemas.openxmlformats.org/officeDocument/2006/relationships" ref="Q1763" r:id="rId3449"/>
    <hyperlink xmlns:r="http://schemas.openxmlformats.org/officeDocument/2006/relationships" ref="R1763" r:id="rId3450"/>
    <hyperlink xmlns:r="http://schemas.openxmlformats.org/officeDocument/2006/relationships" ref="Q1764" r:id="rId3451"/>
    <hyperlink xmlns:r="http://schemas.openxmlformats.org/officeDocument/2006/relationships" ref="R1764" r:id="rId3452"/>
    <hyperlink xmlns:r="http://schemas.openxmlformats.org/officeDocument/2006/relationships" ref="Q1765" r:id="rId3453"/>
    <hyperlink xmlns:r="http://schemas.openxmlformats.org/officeDocument/2006/relationships" ref="R1765" r:id="rId3454"/>
    <hyperlink xmlns:r="http://schemas.openxmlformats.org/officeDocument/2006/relationships" ref="Q1766" r:id="rId3455"/>
    <hyperlink xmlns:r="http://schemas.openxmlformats.org/officeDocument/2006/relationships" ref="R1766" r:id="rId3456"/>
    <hyperlink xmlns:r="http://schemas.openxmlformats.org/officeDocument/2006/relationships" ref="Q1767" r:id="rId3457"/>
    <hyperlink xmlns:r="http://schemas.openxmlformats.org/officeDocument/2006/relationships" ref="R1767" r:id="rId3458"/>
    <hyperlink xmlns:r="http://schemas.openxmlformats.org/officeDocument/2006/relationships" ref="Q1768" r:id="rId3459"/>
    <hyperlink xmlns:r="http://schemas.openxmlformats.org/officeDocument/2006/relationships" ref="R1768" r:id="rId3460"/>
    <hyperlink xmlns:r="http://schemas.openxmlformats.org/officeDocument/2006/relationships" ref="Q1769" r:id="rId3461"/>
    <hyperlink xmlns:r="http://schemas.openxmlformats.org/officeDocument/2006/relationships" ref="R1769" r:id="rId3462"/>
    <hyperlink xmlns:r="http://schemas.openxmlformats.org/officeDocument/2006/relationships" ref="Q1770" r:id="rId3463"/>
    <hyperlink xmlns:r="http://schemas.openxmlformats.org/officeDocument/2006/relationships" ref="R1770" r:id="rId3464"/>
    <hyperlink xmlns:r="http://schemas.openxmlformats.org/officeDocument/2006/relationships" ref="Q1771" r:id="rId3465"/>
    <hyperlink xmlns:r="http://schemas.openxmlformats.org/officeDocument/2006/relationships" ref="R1771" r:id="rId3466"/>
    <hyperlink xmlns:r="http://schemas.openxmlformats.org/officeDocument/2006/relationships" ref="Q1772" r:id="rId3467"/>
    <hyperlink xmlns:r="http://schemas.openxmlformats.org/officeDocument/2006/relationships" ref="R1772" r:id="rId3468"/>
    <hyperlink xmlns:r="http://schemas.openxmlformats.org/officeDocument/2006/relationships" ref="Q1773" r:id="rId3469"/>
    <hyperlink xmlns:r="http://schemas.openxmlformats.org/officeDocument/2006/relationships" ref="R1773" r:id="rId3470"/>
    <hyperlink xmlns:r="http://schemas.openxmlformats.org/officeDocument/2006/relationships" ref="Q1774" r:id="rId3471"/>
    <hyperlink xmlns:r="http://schemas.openxmlformats.org/officeDocument/2006/relationships" ref="R1774" r:id="rId3472"/>
    <hyperlink xmlns:r="http://schemas.openxmlformats.org/officeDocument/2006/relationships" ref="Q1775" r:id="rId3473"/>
    <hyperlink xmlns:r="http://schemas.openxmlformats.org/officeDocument/2006/relationships" ref="R1775" r:id="rId3474"/>
    <hyperlink xmlns:r="http://schemas.openxmlformats.org/officeDocument/2006/relationships" ref="Q1776" r:id="rId3475"/>
    <hyperlink xmlns:r="http://schemas.openxmlformats.org/officeDocument/2006/relationships" ref="R1776" r:id="rId3476"/>
    <hyperlink xmlns:r="http://schemas.openxmlformats.org/officeDocument/2006/relationships" ref="Q1777" r:id="rId3477"/>
    <hyperlink xmlns:r="http://schemas.openxmlformats.org/officeDocument/2006/relationships" ref="R1777" r:id="rId3478"/>
    <hyperlink xmlns:r="http://schemas.openxmlformats.org/officeDocument/2006/relationships" ref="Q1778" r:id="rId3479"/>
    <hyperlink xmlns:r="http://schemas.openxmlformats.org/officeDocument/2006/relationships" ref="R1778" r:id="rId3480"/>
    <hyperlink xmlns:r="http://schemas.openxmlformats.org/officeDocument/2006/relationships" ref="Q1779" r:id="rId3481"/>
    <hyperlink xmlns:r="http://schemas.openxmlformats.org/officeDocument/2006/relationships" ref="R1779" r:id="rId3482"/>
    <hyperlink xmlns:r="http://schemas.openxmlformats.org/officeDocument/2006/relationships" ref="Q1780" r:id="rId3483"/>
    <hyperlink xmlns:r="http://schemas.openxmlformats.org/officeDocument/2006/relationships" ref="R1780" r:id="rId3484"/>
    <hyperlink xmlns:r="http://schemas.openxmlformats.org/officeDocument/2006/relationships" ref="Q1781" r:id="rId3485"/>
    <hyperlink xmlns:r="http://schemas.openxmlformats.org/officeDocument/2006/relationships" ref="R1781" r:id="rId3486"/>
    <hyperlink xmlns:r="http://schemas.openxmlformats.org/officeDocument/2006/relationships" ref="Q1782" r:id="rId3487"/>
    <hyperlink xmlns:r="http://schemas.openxmlformats.org/officeDocument/2006/relationships" ref="R1782" r:id="rId3488"/>
    <hyperlink xmlns:r="http://schemas.openxmlformats.org/officeDocument/2006/relationships" ref="Q1783" r:id="rId3489"/>
    <hyperlink xmlns:r="http://schemas.openxmlformats.org/officeDocument/2006/relationships" ref="R1783" r:id="rId3490"/>
    <hyperlink xmlns:r="http://schemas.openxmlformats.org/officeDocument/2006/relationships" ref="Q1784" r:id="rId3491"/>
    <hyperlink xmlns:r="http://schemas.openxmlformats.org/officeDocument/2006/relationships" ref="R1784" r:id="rId3492"/>
    <hyperlink xmlns:r="http://schemas.openxmlformats.org/officeDocument/2006/relationships" ref="Q1785" r:id="rId3493"/>
    <hyperlink xmlns:r="http://schemas.openxmlformats.org/officeDocument/2006/relationships" ref="R1785" r:id="rId3494"/>
    <hyperlink xmlns:r="http://schemas.openxmlformats.org/officeDocument/2006/relationships" ref="Q1786" r:id="rId3495"/>
    <hyperlink xmlns:r="http://schemas.openxmlformats.org/officeDocument/2006/relationships" ref="R1786" r:id="rId3496"/>
    <hyperlink xmlns:r="http://schemas.openxmlformats.org/officeDocument/2006/relationships" ref="Q1787" r:id="rId3497"/>
    <hyperlink xmlns:r="http://schemas.openxmlformats.org/officeDocument/2006/relationships" ref="R1787" r:id="rId3498"/>
    <hyperlink xmlns:r="http://schemas.openxmlformats.org/officeDocument/2006/relationships" ref="Q1788" r:id="rId3499"/>
    <hyperlink xmlns:r="http://schemas.openxmlformats.org/officeDocument/2006/relationships" ref="R1788" r:id="rId3500"/>
    <hyperlink xmlns:r="http://schemas.openxmlformats.org/officeDocument/2006/relationships" ref="Q1789" r:id="rId3501"/>
    <hyperlink xmlns:r="http://schemas.openxmlformats.org/officeDocument/2006/relationships" ref="Q1790" r:id="rId3502"/>
    <hyperlink xmlns:r="http://schemas.openxmlformats.org/officeDocument/2006/relationships" ref="R1790" r:id="rId3503"/>
    <hyperlink xmlns:r="http://schemas.openxmlformats.org/officeDocument/2006/relationships" ref="Q1791" r:id="rId3504"/>
    <hyperlink xmlns:r="http://schemas.openxmlformats.org/officeDocument/2006/relationships" ref="R1791" r:id="rId3505"/>
    <hyperlink xmlns:r="http://schemas.openxmlformats.org/officeDocument/2006/relationships" ref="Q1792" r:id="rId3506"/>
    <hyperlink xmlns:r="http://schemas.openxmlformats.org/officeDocument/2006/relationships" ref="R1792" r:id="rId3507"/>
    <hyperlink xmlns:r="http://schemas.openxmlformats.org/officeDocument/2006/relationships" ref="Q1793" r:id="rId3508"/>
    <hyperlink xmlns:r="http://schemas.openxmlformats.org/officeDocument/2006/relationships" ref="R1793" r:id="rId3509"/>
    <hyperlink xmlns:r="http://schemas.openxmlformats.org/officeDocument/2006/relationships" ref="Q1794" r:id="rId3510"/>
    <hyperlink xmlns:r="http://schemas.openxmlformats.org/officeDocument/2006/relationships" ref="Q1795" r:id="rId3511"/>
    <hyperlink xmlns:r="http://schemas.openxmlformats.org/officeDocument/2006/relationships" ref="R1795" r:id="rId3512"/>
    <hyperlink xmlns:r="http://schemas.openxmlformats.org/officeDocument/2006/relationships" ref="Q1796" r:id="rId3513"/>
    <hyperlink xmlns:r="http://schemas.openxmlformats.org/officeDocument/2006/relationships" ref="R1796" r:id="rId3514"/>
    <hyperlink xmlns:r="http://schemas.openxmlformats.org/officeDocument/2006/relationships" ref="Q1797" r:id="rId3515"/>
    <hyperlink xmlns:r="http://schemas.openxmlformats.org/officeDocument/2006/relationships" ref="R1797" r:id="rId3516"/>
    <hyperlink xmlns:r="http://schemas.openxmlformats.org/officeDocument/2006/relationships" ref="Q1798" r:id="rId3517"/>
    <hyperlink xmlns:r="http://schemas.openxmlformats.org/officeDocument/2006/relationships" ref="R1798" r:id="rId3518"/>
    <hyperlink xmlns:r="http://schemas.openxmlformats.org/officeDocument/2006/relationships" ref="Q1799" r:id="rId3519"/>
    <hyperlink xmlns:r="http://schemas.openxmlformats.org/officeDocument/2006/relationships" ref="R1799" r:id="rId3520"/>
    <hyperlink xmlns:r="http://schemas.openxmlformats.org/officeDocument/2006/relationships" ref="Q1800" r:id="rId3521"/>
    <hyperlink xmlns:r="http://schemas.openxmlformats.org/officeDocument/2006/relationships" ref="R1800" r:id="rId3522"/>
    <hyperlink xmlns:r="http://schemas.openxmlformats.org/officeDocument/2006/relationships" ref="Q1801" r:id="rId3523"/>
    <hyperlink xmlns:r="http://schemas.openxmlformats.org/officeDocument/2006/relationships" ref="R1801" r:id="rId3524"/>
    <hyperlink xmlns:r="http://schemas.openxmlformats.org/officeDocument/2006/relationships" ref="Q1802" r:id="rId3525"/>
    <hyperlink xmlns:r="http://schemas.openxmlformats.org/officeDocument/2006/relationships" ref="R1802" r:id="rId3526"/>
    <hyperlink xmlns:r="http://schemas.openxmlformats.org/officeDocument/2006/relationships" ref="Q1803" r:id="rId3527"/>
    <hyperlink xmlns:r="http://schemas.openxmlformats.org/officeDocument/2006/relationships" ref="R1803" r:id="rId3528"/>
    <hyperlink xmlns:r="http://schemas.openxmlformats.org/officeDocument/2006/relationships" ref="Q1804" r:id="rId3529"/>
    <hyperlink xmlns:r="http://schemas.openxmlformats.org/officeDocument/2006/relationships" ref="R1804" r:id="rId3530"/>
    <hyperlink xmlns:r="http://schemas.openxmlformats.org/officeDocument/2006/relationships" ref="Q1805" r:id="rId3531"/>
    <hyperlink xmlns:r="http://schemas.openxmlformats.org/officeDocument/2006/relationships" ref="R1805" r:id="rId3532"/>
    <hyperlink xmlns:r="http://schemas.openxmlformats.org/officeDocument/2006/relationships" ref="Q1806" r:id="rId3533"/>
    <hyperlink xmlns:r="http://schemas.openxmlformats.org/officeDocument/2006/relationships" ref="R1806" r:id="rId3534"/>
    <hyperlink xmlns:r="http://schemas.openxmlformats.org/officeDocument/2006/relationships" ref="Q1807" r:id="rId3535"/>
    <hyperlink xmlns:r="http://schemas.openxmlformats.org/officeDocument/2006/relationships" ref="Q1808" r:id="rId3536"/>
    <hyperlink xmlns:r="http://schemas.openxmlformats.org/officeDocument/2006/relationships" ref="R1808" r:id="rId3537"/>
    <hyperlink xmlns:r="http://schemas.openxmlformats.org/officeDocument/2006/relationships" ref="Q1809" r:id="rId3538"/>
    <hyperlink xmlns:r="http://schemas.openxmlformats.org/officeDocument/2006/relationships" ref="R1809" r:id="rId3539"/>
    <hyperlink xmlns:r="http://schemas.openxmlformats.org/officeDocument/2006/relationships" ref="Q1810" r:id="rId3540"/>
    <hyperlink xmlns:r="http://schemas.openxmlformats.org/officeDocument/2006/relationships" ref="Q1811" r:id="rId3541"/>
    <hyperlink xmlns:r="http://schemas.openxmlformats.org/officeDocument/2006/relationships" ref="R1811" r:id="rId3542"/>
    <hyperlink xmlns:r="http://schemas.openxmlformats.org/officeDocument/2006/relationships" ref="Q1812" r:id="rId3543"/>
    <hyperlink xmlns:r="http://schemas.openxmlformats.org/officeDocument/2006/relationships" ref="R1812" r:id="rId3544"/>
    <hyperlink xmlns:r="http://schemas.openxmlformats.org/officeDocument/2006/relationships" ref="Q1813" r:id="rId3545"/>
    <hyperlink xmlns:r="http://schemas.openxmlformats.org/officeDocument/2006/relationships" ref="R1813" r:id="rId3546"/>
    <hyperlink xmlns:r="http://schemas.openxmlformats.org/officeDocument/2006/relationships" ref="Q1814" r:id="rId3547"/>
    <hyperlink xmlns:r="http://schemas.openxmlformats.org/officeDocument/2006/relationships" ref="R1814" r:id="rId3548"/>
    <hyperlink xmlns:r="http://schemas.openxmlformats.org/officeDocument/2006/relationships" ref="Q1815" r:id="rId3549"/>
    <hyperlink xmlns:r="http://schemas.openxmlformats.org/officeDocument/2006/relationships" ref="R1815" r:id="rId3550"/>
    <hyperlink xmlns:r="http://schemas.openxmlformats.org/officeDocument/2006/relationships" ref="Q1816" r:id="rId3551"/>
    <hyperlink xmlns:r="http://schemas.openxmlformats.org/officeDocument/2006/relationships" ref="R1816" r:id="rId3552"/>
    <hyperlink xmlns:r="http://schemas.openxmlformats.org/officeDocument/2006/relationships" ref="Q1817" r:id="rId3553"/>
    <hyperlink xmlns:r="http://schemas.openxmlformats.org/officeDocument/2006/relationships" ref="R1817" r:id="rId3554"/>
    <hyperlink xmlns:r="http://schemas.openxmlformats.org/officeDocument/2006/relationships" ref="Q1818" r:id="rId3555"/>
    <hyperlink xmlns:r="http://schemas.openxmlformats.org/officeDocument/2006/relationships" ref="R1818" r:id="rId3556"/>
    <hyperlink xmlns:r="http://schemas.openxmlformats.org/officeDocument/2006/relationships" ref="Q1819" r:id="rId3557"/>
    <hyperlink xmlns:r="http://schemas.openxmlformats.org/officeDocument/2006/relationships" ref="R1819" r:id="rId3558"/>
    <hyperlink xmlns:r="http://schemas.openxmlformats.org/officeDocument/2006/relationships" ref="Q1820" r:id="rId3559"/>
    <hyperlink xmlns:r="http://schemas.openxmlformats.org/officeDocument/2006/relationships" ref="Q1821" r:id="rId3560"/>
    <hyperlink xmlns:r="http://schemas.openxmlformats.org/officeDocument/2006/relationships" ref="R1821" r:id="rId3561"/>
    <hyperlink xmlns:r="http://schemas.openxmlformats.org/officeDocument/2006/relationships" ref="Q1822" r:id="rId3562"/>
    <hyperlink xmlns:r="http://schemas.openxmlformats.org/officeDocument/2006/relationships" ref="R1822" r:id="rId3563"/>
    <hyperlink xmlns:r="http://schemas.openxmlformats.org/officeDocument/2006/relationships" ref="Q1823" r:id="rId3564"/>
    <hyperlink xmlns:r="http://schemas.openxmlformats.org/officeDocument/2006/relationships" ref="R1823" r:id="rId3565"/>
    <hyperlink xmlns:r="http://schemas.openxmlformats.org/officeDocument/2006/relationships" ref="Q1824" r:id="rId3566"/>
    <hyperlink xmlns:r="http://schemas.openxmlformats.org/officeDocument/2006/relationships" ref="R1824" r:id="rId3567"/>
    <hyperlink xmlns:r="http://schemas.openxmlformats.org/officeDocument/2006/relationships" ref="Q1825" r:id="rId3568"/>
    <hyperlink xmlns:r="http://schemas.openxmlformats.org/officeDocument/2006/relationships" ref="R1825" r:id="rId3569"/>
    <hyperlink xmlns:r="http://schemas.openxmlformats.org/officeDocument/2006/relationships" ref="Q1826" r:id="rId3570"/>
    <hyperlink xmlns:r="http://schemas.openxmlformats.org/officeDocument/2006/relationships" ref="R1826" r:id="rId3571"/>
    <hyperlink xmlns:r="http://schemas.openxmlformats.org/officeDocument/2006/relationships" ref="Q1827" r:id="rId3572"/>
    <hyperlink xmlns:r="http://schemas.openxmlformats.org/officeDocument/2006/relationships" ref="R1827" r:id="rId3573"/>
    <hyperlink xmlns:r="http://schemas.openxmlformats.org/officeDocument/2006/relationships" ref="Q1828" r:id="rId3574"/>
    <hyperlink xmlns:r="http://schemas.openxmlformats.org/officeDocument/2006/relationships" ref="R1828" r:id="rId3575"/>
    <hyperlink xmlns:r="http://schemas.openxmlformats.org/officeDocument/2006/relationships" ref="Q1829" r:id="rId3576"/>
    <hyperlink xmlns:r="http://schemas.openxmlformats.org/officeDocument/2006/relationships" ref="R1829" r:id="rId3577"/>
    <hyperlink xmlns:r="http://schemas.openxmlformats.org/officeDocument/2006/relationships" ref="Q1830" r:id="rId3578"/>
    <hyperlink xmlns:r="http://schemas.openxmlformats.org/officeDocument/2006/relationships" ref="R1830" r:id="rId3579"/>
    <hyperlink xmlns:r="http://schemas.openxmlformats.org/officeDocument/2006/relationships" ref="Q1831" r:id="rId3580"/>
    <hyperlink xmlns:r="http://schemas.openxmlformats.org/officeDocument/2006/relationships" ref="R1831" r:id="rId3581"/>
    <hyperlink xmlns:r="http://schemas.openxmlformats.org/officeDocument/2006/relationships" ref="Q1832" r:id="rId3582"/>
    <hyperlink xmlns:r="http://schemas.openxmlformats.org/officeDocument/2006/relationships" ref="R1832" r:id="rId3583"/>
    <hyperlink xmlns:r="http://schemas.openxmlformats.org/officeDocument/2006/relationships" ref="Q1833" r:id="rId3584"/>
    <hyperlink xmlns:r="http://schemas.openxmlformats.org/officeDocument/2006/relationships" ref="R1833" r:id="rId3585"/>
    <hyperlink xmlns:r="http://schemas.openxmlformats.org/officeDocument/2006/relationships" ref="Q1834" r:id="rId3586"/>
    <hyperlink xmlns:r="http://schemas.openxmlformats.org/officeDocument/2006/relationships" ref="R1834" r:id="rId3587"/>
    <hyperlink xmlns:r="http://schemas.openxmlformats.org/officeDocument/2006/relationships" ref="Q1835" r:id="rId3588"/>
    <hyperlink xmlns:r="http://schemas.openxmlformats.org/officeDocument/2006/relationships" ref="R1835" r:id="rId3589"/>
    <hyperlink xmlns:r="http://schemas.openxmlformats.org/officeDocument/2006/relationships" ref="Q1836" r:id="rId3590"/>
    <hyperlink xmlns:r="http://schemas.openxmlformats.org/officeDocument/2006/relationships" ref="R1836" r:id="rId3591"/>
    <hyperlink xmlns:r="http://schemas.openxmlformats.org/officeDocument/2006/relationships" ref="Q1837" r:id="rId3592"/>
    <hyperlink xmlns:r="http://schemas.openxmlformats.org/officeDocument/2006/relationships" ref="R1837" r:id="rId3593"/>
    <hyperlink xmlns:r="http://schemas.openxmlformats.org/officeDocument/2006/relationships" ref="Q1838" r:id="rId3594"/>
    <hyperlink xmlns:r="http://schemas.openxmlformats.org/officeDocument/2006/relationships" ref="R1838" r:id="rId3595"/>
    <hyperlink xmlns:r="http://schemas.openxmlformats.org/officeDocument/2006/relationships" ref="Q1839" r:id="rId3596"/>
    <hyperlink xmlns:r="http://schemas.openxmlformats.org/officeDocument/2006/relationships" ref="R1839" r:id="rId3597"/>
    <hyperlink xmlns:r="http://schemas.openxmlformats.org/officeDocument/2006/relationships" ref="Q1840" r:id="rId3598"/>
    <hyperlink xmlns:r="http://schemas.openxmlformats.org/officeDocument/2006/relationships" ref="R1840" r:id="rId3599"/>
    <hyperlink xmlns:r="http://schemas.openxmlformats.org/officeDocument/2006/relationships" ref="Q1841" r:id="rId3600"/>
    <hyperlink xmlns:r="http://schemas.openxmlformats.org/officeDocument/2006/relationships" ref="R1841" r:id="rId3601"/>
    <hyperlink xmlns:r="http://schemas.openxmlformats.org/officeDocument/2006/relationships" ref="Q1842" r:id="rId3602"/>
    <hyperlink xmlns:r="http://schemas.openxmlformats.org/officeDocument/2006/relationships" ref="R1842" r:id="rId3603"/>
    <hyperlink xmlns:r="http://schemas.openxmlformats.org/officeDocument/2006/relationships" ref="Q1843" r:id="rId3604"/>
    <hyperlink xmlns:r="http://schemas.openxmlformats.org/officeDocument/2006/relationships" ref="R1843" r:id="rId3605"/>
    <hyperlink xmlns:r="http://schemas.openxmlformats.org/officeDocument/2006/relationships" ref="Q1844" r:id="rId3606"/>
    <hyperlink xmlns:r="http://schemas.openxmlformats.org/officeDocument/2006/relationships" ref="R1844" r:id="rId3607"/>
    <hyperlink xmlns:r="http://schemas.openxmlformats.org/officeDocument/2006/relationships" ref="Q1845" r:id="rId3608"/>
    <hyperlink xmlns:r="http://schemas.openxmlformats.org/officeDocument/2006/relationships" ref="R1845" r:id="rId3609"/>
    <hyperlink xmlns:r="http://schemas.openxmlformats.org/officeDocument/2006/relationships" ref="Q1846" r:id="rId3610"/>
    <hyperlink xmlns:r="http://schemas.openxmlformats.org/officeDocument/2006/relationships" ref="R1846" r:id="rId3611"/>
    <hyperlink xmlns:r="http://schemas.openxmlformats.org/officeDocument/2006/relationships" ref="Q1847" r:id="rId3612"/>
    <hyperlink xmlns:r="http://schemas.openxmlformats.org/officeDocument/2006/relationships" ref="R1847" r:id="rId3613"/>
    <hyperlink xmlns:r="http://schemas.openxmlformats.org/officeDocument/2006/relationships" ref="Q1848" r:id="rId3614"/>
    <hyperlink xmlns:r="http://schemas.openxmlformats.org/officeDocument/2006/relationships" ref="R1848" r:id="rId3615"/>
    <hyperlink xmlns:r="http://schemas.openxmlformats.org/officeDocument/2006/relationships" ref="Q1849" r:id="rId3616"/>
    <hyperlink xmlns:r="http://schemas.openxmlformats.org/officeDocument/2006/relationships" ref="R1849" r:id="rId3617"/>
    <hyperlink xmlns:r="http://schemas.openxmlformats.org/officeDocument/2006/relationships" ref="Q1850" r:id="rId3618"/>
    <hyperlink xmlns:r="http://schemas.openxmlformats.org/officeDocument/2006/relationships" ref="R1850" r:id="rId3619"/>
    <hyperlink xmlns:r="http://schemas.openxmlformats.org/officeDocument/2006/relationships" ref="Q1851" r:id="rId3620"/>
    <hyperlink xmlns:r="http://schemas.openxmlformats.org/officeDocument/2006/relationships" ref="R1851" r:id="rId3621"/>
    <hyperlink xmlns:r="http://schemas.openxmlformats.org/officeDocument/2006/relationships" ref="Q1852" r:id="rId3622"/>
    <hyperlink xmlns:r="http://schemas.openxmlformats.org/officeDocument/2006/relationships" ref="R1852" r:id="rId3623"/>
    <hyperlink xmlns:r="http://schemas.openxmlformats.org/officeDocument/2006/relationships" ref="Q1853" r:id="rId3624"/>
    <hyperlink xmlns:r="http://schemas.openxmlformats.org/officeDocument/2006/relationships" ref="R1853" r:id="rId3625"/>
    <hyperlink xmlns:r="http://schemas.openxmlformats.org/officeDocument/2006/relationships" ref="Q1854" r:id="rId3626"/>
    <hyperlink xmlns:r="http://schemas.openxmlformats.org/officeDocument/2006/relationships" ref="R1854" r:id="rId3627"/>
    <hyperlink xmlns:r="http://schemas.openxmlformats.org/officeDocument/2006/relationships" ref="Q1855" r:id="rId3628"/>
    <hyperlink xmlns:r="http://schemas.openxmlformats.org/officeDocument/2006/relationships" ref="R1855" r:id="rId3629"/>
    <hyperlink xmlns:r="http://schemas.openxmlformats.org/officeDocument/2006/relationships" ref="Q1856" r:id="rId3630"/>
    <hyperlink xmlns:r="http://schemas.openxmlformats.org/officeDocument/2006/relationships" ref="R1856" r:id="rId3631"/>
    <hyperlink xmlns:r="http://schemas.openxmlformats.org/officeDocument/2006/relationships" ref="Q1857" r:id="rId3632"/>
    <hyperlink xmlns:r="http://schemas.openxmlformats.org/officeDocument/2006/relationships" ref="R1857" r:id="rId3633"/>
    <hyperlink xmlns:r="http://schemas.openxmlformats.org/officeDocument/2006/relationships" ref="Q1858" r:id="rId3634"/>
    <hyperlink xmlns:r="http://schemas.openxmlformats.org/officeDocument/2006/relationships" ref="R1858" r:id="rId3635"/>
    <hyperlink xmlns:r="http://schemas.openxmlformats.org/officeDocument/2006/relationships" ref="Q1859" r:id="rId3636"/>
    <hyperlink xmlns:r="http://schemas.openxmlformats.org/officeDocument/2006/relationships" ref="R1859" r:id="rId3637"/>
    <hyperlink xmlns:r="http://schemas.openxmlformats.org/officeDocument/2006/relationships" ref="Q1860" r:id="rId3638"/>
    <hyperlink xmlns:r="http://schemas.openxmlformats.org/officeDocument/2006/relationships" ref="R1860" r:id="rId3639"/>
    <hyperlink xmlns:r="http://schemas.openxmlformats.org/officeDocument/2006/relationships" ref="Q1861" r:id="rId3640"/>
    <hyperlink xmlns:r="http://schemas.openxmlformats.org/officeDocument/2006/relationships" ref="R1861" r:id="rId3641"/>
    <hyperlink xmlns:r="http://schemas.openxmlformats.org/officeDocument/2006/relationships" ref="Q1862" r:id="rId3642"/>
    <hyperlink xmlns:r="http://schemas.openxmlformats.org/officeDocument/2006/relationships" ref="R1862" r:id="rId3643"/>
    <hyperlink xmlns:r="http://schemas.openxmlformats.org/officeDocument/2006/relationships" ref="Q1863" r:id="rId3644"/>
    <hyperlink xmlns:r="http://schemas.openxmlformats.org/officeDocument/2006/relationships" ref="R1863" r:id="rId3645"/>
    <hyperlink xmlns:r="http://schemas.openxmlformats.org/officeDocument/2006/relationships" ref="Q1864" r:id="rId3646"/>
    <hyperlink xmlns:r="http://schemas.openxmlformats.org/officeDocument/2006/relationships" ref="R1864" r:id="rId3647"/>
    <hyperlink xmlns:r="http://schemas.openxmlformats.org/officeDocument/2006/relationships" ref="Q1865" r:id="rId3648"/>
    <hyperlink xmlns:r="http://schemas.openxmlformats.org/officeDocument/2006/relationships" ref="R1865" r:id="rId3649"/>
    <hyperlink xmlns:r="http://schemas.openxmlformats.org/officeDocument/2006/relationships" ref="Q1866" r:id="rId3650"/>
    <hyperlink xmlns:r="http://schemas.openxmlformats.org/officeDocument/2006/relationships" ref="R1866" r:id="rId3651"/>
    <hyperlink xmlns:r="http://schemas.openxmlformats.org/officeDocument/2006/relationships" ref="Q1867" r:id="rId3652"/>
    <hyperlink xmlns:r="http://schemas.openxmlformats.org/officeDocument/2006/relationships" ref="R1867" r:id="rId3653"/>
    <hyperlink xmlns:r="http://schemas.openxmlformats.org/officeDocument/2006/relationships" ref="Q1868" r:id="rId3654"/>
    <hyperlink xmlns:r="http://schemas.openxmlformats.org/officeDocument/2006/relationships" ref="R1868" r:id="rId3655"/>
    <hyperlink xmlns:r="http://schemas.openxmlformats.org/officeDocument/2006/relationships" ref="Q1869" r:id="rId3656"/>
    <hyperlink xmlns:r="http://schemas.openxmlformats.org/officeDocument/2006/relationships" ref="R1869" r:id="rId3657"/>
    <hyperlink xmlns:r="http://schemas.openxmlformats.org/officeDocument/2006/relationships" ref="Q1870" r:id="rId3658"/>
    <hyperlink xmlns:r="http://schemas.openxmlformats.org/officeDocument/2006/relationships" ref="Q1871" r:id="rId3659"/>
    <hyperlink xmlns:r="http://schemas.openxmlformats.org/officeDocument/2006/relationships" ref="R1871" r:id="rId3660"/>
    <hyperlink xmlns:r="http://schemas.openxmlformats.org/officeDocument/2006/relationships" ref="Q1872" r:id="rId3661"/>
    <hyperlink xmlns:r="http://schemas.openxmlformats.org/officeDocument/2006/relationships" ref="R1872" r:id="rId3662"/>
    <hyperlink xmlns:r="http://schemas.openxmlformats.org/officeDocument/2006/relationships" ref="Q1873" r:id="rId3663"/>
    <hyperlink xmlns:r="http://schemas.openxmlformats.org/officeDocument/2006/relationships" ref="R1873" r:id="rId3664"/>
    <hyperlink xmlns:r="http://schemas.openxmlformats.org/officeDocument/2006/relationships" ref="Q1874" r:id="rId3665"/>
    <hyperlink xmlns:r="http://schemas.openxmlformats.org/officeDocument/2006/relationships" ref="R1874" r:id="rId3666"/>
    <hyperlink xmlns:r="http://schemas.openxmlformats.org/officeDocument/2006/relationships" ref="Q1875" r:id="rId3667"/>
    <hyperlink xmlns:r="http://schemas.openxmlformats.org/officeDocument/2006/relationships" ref="R1875" r:id="rId3668"/>
    <hyperlink xmlns:r="http://schemas.openxmlformats.org/officeDocument/2006/relationships" ref="Q1876" r:id="rId3669"/>
    <hyperlink xmlns:r="http://schemas.openxmlformats.org/officeDocument/2006/relationships" ref="R1876" r:id="rId3670"/>
    <hyperlink xmlns:r="http://schemas.openxmlformats.org/officeDocument/2006/relationships" ref="Q1877" r:id="rId3671"/>
    <hyperlink xmlns:r="http://schemas.openxmlformats.org/officeDocument/2006/relationships" ref="R1877" r:id="rId3672"/>
    <hyperlink xmlns:r="http://schemas.openxmlformats.org/officeDocument/2006/relationships" ref="Q1878" r:id="rId3673"/>
    <hyperlink xmlns:r="http://schemas.openxmlformats.org/officeDocument/2006/relationships" ref="R1878" r:id="rId3674"/>
    <hyperlink xmlns:r="http://schemas.openxmlformats.org/officeDocument/2006/relationships" ref="Q1879" r:id="rId3675"/>
    <hyperlink xmlns:r="http://schemas.openxmlformats.org/officeDocument/2006/relationships" ref="R1879" r:id="rId3676"/>
    <hyperlink xmlns:r="http://schemas.openxmlformats.org/officeDocument/2006/relationships" ref="Q1880" r:id="rId3677"/>
    <hyperlink xmlns:r="http://schemas.openxmlformats.org/officeDocument/2006/relationships" ref="R1880" r:id="rId3678"/>
    <hyperlink xmlns:r="http://schemas.openxmlformats.org/officeDocument/2006/relationships" ref="Q1881" r:id="rId3679"/>
    <hyperlink xmlns:r="http://schemas.openxmlformats.org/officeDocument/2006/relationships" ref="R1881" r:id="rId3680"/>
    <hyperlink xmlns:r="http://schemas.openxmlformats.org/officeDocument/2006/relationships" ref="Q1882" r:id="rId3681"/>
    <hyperlink xmlns:r="http://schemas.openxmlformats.org/officeDocument/2006/relationships" ref="R1882" r:id="rId3682"/>
    <hyperlink xmlns:r="http://schemas.openxmlformats.org/officeDocument/2006/relationships" ref="Q1883" r:id="rId3683"/>
    <hyperlink xmlns:r="http://schemas.openxmlformats.org/officeDocument/2006/relationships" ref="R1883" r:id="rId3684"/>
    <hyperlink xmlns:r="http://schemas.openxmlformats.org/officeDocument/2006/relationships" ref="Q1884" r:id="rId3685"/>
    <hyperlink xmlns:r="http://schemas.openxmlformats.org/officeDocument/2006/relationships" ref="R1884" r:id="rId3686"/>
    <hyperlink xmlns:r="http://schemas.openxmlformats.org/officeDocument/2006/relationships" ref="Q1885" r:id="rId3687"/>
    <hyperlink xmlns:r="http://schemas.openxmlformats.org/officeDocument/2006/relationships" ref="R1885" r:id="rId3688"/>
    <hyperlink xmlns:r="http://schemas.openxmlformats.org/officeDocument/2006/relationships" ref="Q1886" r:id="rId3689"/>
    <hyperlink xmlns:r="http://schemas.openxmlformats.org/officeDocument/2006/relationships" ref="R1886" r:id="rId3690"/>
    <hyperlink xmlns:r="http://schemas.openxmlformats.org/officeDocument/2006/relationships" ref="Q1887" r:id="rId3691"/>
    <hyperlink xmlns:r="http://schemas.openxmlformats.org/officeDocument/2006/relationships" ref="R1887" r:id="rId3692"/>
    <hyperlink xmlns:r="http://schemas.openxmlformats.org/officeDocument/2006/relationships" ref="Q1888" r:id="rId3693"/>
    <hyperlink xmlns:r="http://schemas.openxmlformats.org/officeDocument/2006/relationships" ref="R1888" r:id="rId3694"/>
    <hyperlink xmlns:r="http://schemas.openxmlformats.org/officeDocument/2006/relationships" ref="Q1889" r:id="rId3695"/>
    <hyperlink xmlns:r="http://schemas.openxmlformats.org/officeDocument/2006/relationships" ref="R1889" r:id="rId3696"/>
    <hyperlink xmlns:r="http://schemas.openxmlformats.org/officeDocument/2006/relationships" ref="Q1890" r:id="rId3697"/>
    <hyperlink xmlns:r="http://schemas.openxmlformats.org/officeDocument/2006/relationships" ref="R1890" r:id="rId3698"/>
    <hyperlink xmlns:r="http://schemas.openxmlformats.org/officeDocument/2006/relationships" ref="Q1891" r:id="rId3699"/>
    <hyperlink xmlns:r="http://schemas.openxmlformats.org/officeDocument/2006/relationships" ref="R1891" r:id="rId3700"/>
    <hyperlink xmlns:r="http://schemas.openxmlformats.org/officeDocument/2006/relationships" ref="Q1892" r:id="rId3701"/>
    <hyperlink xmlns:r="http://schemas.openxmlformats.org/officeDocument/2006/relationships" ref="R1892" r:id="rId3702"/>
    <hyperlink xmlns:r="http://schemas.openxmlformats.org/officeDocument/2006/relationships" ref="Q1893" r:id="rId3703"/>
    <hyperlink xmlns:r="http://schemas.openxmlformats.org/officeDocument/2006/relationships" ref="R1893" r:id="rId3704"/>
    <hyperlink xmlns:r="http://schemas.openxmlformats.org/officeDocument/2006/relationships" ref="Q1894" r:id="rId3705"/>
    <hyperlink xmlns:r="http://schemas.openxmlformats.org/officeDocument/2006/relationships" ref="R1894" r:id="rId3706"/>
    <hyperlink xmlns:r="http://schemas.openxmlformats.org/officeDocument/2006/relationships" ref="Q1895" r:id="rId3707"/>
    <hyperlink xmlns:r="http://schemas.openxmlformats.org/officeDocument/2006/relationships" ref="R1895" r:id="rId3708"/>
    <hyperlink xmlns:r="http://schemas.openxmlformats.org/officeDocument/2006/relationships" ref="Q1896" r:id="rId3709"/>
    <hyperlink xmlns:r="http://schemas.openxmlformats.org/officeDocument/2006/relationships" ref="R1896" r:id="rId3710"/>
    <hyperlink xmlns:r="http://schemas.openxmlformats.org/officeDocument/2006/relationships" ref="Q1897" r:id="rId3711"/>
    <hyperlink xmlns:r="http://schemas.openxmlformats.org/officeDocument/2006/relationships" ref="R1897" r:id="rId3712"/>
    <hyperlink xmlns:r="http://schemas.openxmlformats.org/officeDocument/2006/relationships" ref="Q1898" r:id="rId3713"/>
    <hyperlink xmlns:r="http://schemas.openxmlformats.org/officeDocument/2006/relationships" ref="R1898" r:id="rId3714"/>
    <hyperlink xmlns:r="http://schemas.openxmlformats.org/officeDocument/2006/relationships" ref="Q1899" r:id="rId3715"/>
    <hyperlink xmlns:r="http://schemas.openxmlformats.org/officeDocument/2006/relationships" ref="R1899" r:id="rId3716"/>
    <hyperlink xmlns:r="http://schemas.openxmlformats.org/officeDocument/2006/relationships" ref="Q1900" r:id="rId3717"/>
    <hyperlink xmlns:r="http://schemas.openxmlformats.org/officeDocument/2006/relationships" ref="R1900" r:id="rId3718"/>
    <hyperlink xmlns:r="http://schemas.openxmlformats.org/officeDocument/2006/relationships" ref="Q1901" r:id="rId3719"/>
    <hyperlink xmlns:r="http://schemas.openxmlformats.org/officeDocument/2006/relationships" ref="R1901" r:id="rId3720"/>
    <hyperlink xmlns:r="http://schemas.openxmlformats.org/officeDocument/2006/relationships" ref="Q1902" r:id="rId3721"/>
    <hyperlink xmlns:r="http://schemas.openxmlformats.org/officeDocument/2006/relationships" ref="R1902" r:id="rId3722"/>
    <hyperlink xmlns:r="http://schemas.openxmlformats.org/officeDocument/2006/relationships" ref="Q1903" r:id="rId3723"/>
    <hyperlink xmlns:r="http://schemas.openxmlformats.org/officeDocument/2006/relationships" ref="R1903" r:id="rId3724"/>
    <hyperlink xmlns:r="http://schemas.openxmlformats.org/officeDocument/2006/relationships" ref="Q1904" r:id="rId3725"/>
    <hyperlink xmlns:r="http://schemas.openxmlformats.org/officeDocument/2006/relationships" ref="R1904" r:id="rId3726"/>
    <hyperlink xmlns:r="http://schemas.openxmlformats.org/officeDocument/2006/relationships" ref="Q1905" r:id="rId3727"/>
    <hyperlink xmlns:r="http://schemas.openxmlformats.org/officeDocument/2006/relationships" ref="R1905" r:id="rId3728"/>
    <hyperlink xmlns:r="http://schemas.openxmlformats.org/officeDocument/2006/relationships" ref="Q1906" r:id="rId3729"/>
    <hyperlink xmlns:r="http://schemas.openxmlformats.org/officeDocument/2006/relationships" ref="R1906" r:id="rId3730"/>
    <hyperlink xmlns:r="http://schemas.openxmlformats.org/officeDocument/2006/relationships" ref="Q1907" r:id="rId3731"/>
    <hyperlink xmlns:r="http://schemas.openxmlformats.org/officeDocument/2006/relationships" ref="R1907" r:id="rId3732"/>
    <hyperlink xmlns:r="http://schemas.openxmlformats.org/officeDocument/2006/relationships" ref="Q1908" r:id="rId3733"/>
    <hyperlink xmlns:r="http://schemas.openxmlformats.org/officeDocument/2006/relationships" ref="R1908" r:id="rId3734"/>
    <hyperlink xmlns:r="http://schemas.openxmlformats.org/officeDocument/2006/relationships" ref="Q1909" r:id="rId3735"/>
    <hyperlink xmlns:r="http://schemas.openxmlformats.org/officeDocument/2006/relationships" ref="R1909" r:id="rId3736"/>
    <hyperlink xmlns:r="http://schemas.openxmlformats.org/officeDocument/2006/relationships" ref="Q1910" r:id="rId3737"/>
    <hyperlink xmlns:r="http://schemas.openxmlformats.org/officeDocument/2006/relationships" ref="R1910" r:id="rId3738"/>
    <hyperlink xmlns:r="http://schemas.openxmlformats.org/officeDocument/2006/relationships" ref="Q1911" r:id="rId3739"/>
    <hyperlink xmlns:r="http://schemas.openxmlformats.org/officeDocument/2006/relationships" ref="R1911" r:id="rId3740"/>
    <hyperlink xmlns:r="http://schemas.openxmlformats.org/officeDocument/2006/relationships" ref="Q1912" r:id="rId3741"/>
    <hyperlink xmlns:r="http://schemas.openxmlformats.org/officeDocument/2006/relationships" ref="R1912" r:id="rId3742"/>
    <hyperlink xmlns:r="http://schemas.openxmlformats.org/officeDocument/2006/relationships" ref="Q1913" r:id="rId3743"/>
    <hyperlink xmlns:r="http://schemas.openxmlformats.org/officeDocument/2006/relationships" ref="R1913" r:id="rId3744"/>
    <hyperlink xmlns:r="http://schemas.openxmlformats.org/officeDocument/2006/relationships" ref="Q1914" r:id="rId3745"/>
    <hyperlink xmlns:r="http://schemas.openxmlformats.org/officeDocument/2006/relationships" ref="R1914" r:id="rId3746"/>
    <hyperlink xmlns:r="http://schemas.openxmlformats.org/officeDocument/2006/relationships" ref="Q1915" r:id="rId3747"/>
    <hyperlink xmlns:r="http://schemas.openxmlformats.org/officeDocument/2006/relationships" ref="R1915" r:id="rId3748"/>
    <hyperlink xmlns:r="http://schemas.openxmlformats.org/officeDocument/2006/relationships" ref="Q1916" r:id="rId3749"/>
    <hyperlink xmlns:r="http://schemas.openxmlformats.org/officeDocument/2006/relationships" ref="R1916" r:id="rId3750"/>
    <hyperlink xmlns:r="http://schemas.openxmlformats.org/officeDocument/2006/relationships" ref="Q1917" r:id="rId3751"/>
    <hyperlink xmlns:r="http://schemas.openxmlformats.org/officeDocument/2006/relationships" ref="R1917" r:id="rId3752"/>
    <hyperlink xmlns:r="http://schemas.openxmlformats.org/officeDocument/2006/relationships" ref="Q1918" r:id="rId3753"/>
    <hyperlink xmlns:r="http://schemas.openxmlformats.org/officeDocument/2006/relationships" ref="R1918" r:id="rId3754"/>
    <hyperlink xmlns:r="http://schemas.openxmlformats.org/officeDocument/2006/relationships" ref="Q1919" r:id="rId3755"/>
    <hyperlink xmlns:r="http://schemas.openxmlformats.org/officeDocument/2006/relationships" ref="R1919" r:id="rId3756"/>
    <hyperlink xmlns:r="http://schemas.openxmlformats.org/officeDocument/2006/relationships" ref="Q1920" r:id="rId3757"/>
    <hyperlink xmlns:r="http://schemas.openxmlformats.org/officeDocument/2006/relationships" ref="R1920" r:id="rId3758"/>
    <hyperlink xmlns:r="http://schemas.openxmlformats.org/officeDocument/2006/relationships" ref="Q1921" r:id="rId3759"/>
    <hyperlink xmlns:r="http://schemas.openxmlformats.org/officeDocument/2006/relationships" ref="R1921" r:id="rId3760"/>
    <hyperlink xmlns:r="http://schemas.openxmlformats.org/officeDocument/2006/relationships" ref="Q1922" r:id="rId3761"/>
    <hyperlink xmlns:r="http://schemas.openxmlformats.org/officeDocument/2006/relationships" ref="R1922" r:id="rId3762"/>
    <hyperlink xmlns:r="http://schemas.openxmlformats.org/officeDocument/2006/relationships" ref="Q1923" r:id="rId3763"/>
    <hyperlink xmlns:r="http://schemas.openxmlformats.org/officeDocument/2006/relationships" ref="R1923" r:id="rId3764"/>
    <hyperlink xmlns:r="http://schemas.openxmlformats.org/officeDocument/2006/relationships" ref="Q1924" r:id="rId3765"/>
    <hyperlink xmlns:r="http://schemas.openxmlformats.org/officeDocument/2006/relationships" ref="R1924" r:id="rId3766"/>
    <hyperlink xmlns:r="http://schemas.openxmlformats.org/officeDocument/2006/relationships" ref="Q1925" r:id="rId3767"/>
    <hyperlink xmlns:r="http://schemas.openxmlformats.org/officeDocument/2006/relationships" ref="R1925" r:id="rId3768"/>
    <hyperlink xmlns:r="http://schemas.openxmlformats.org/officeDocument/2006/relationships" ref="Q1926" r:id="rId3769"/>
    <hyperlink xmlns:r="http://schemas.openxmlformats.org/officeDocument/2006/relationships" ref="R1926" r:id="rId3770"/>
    <hyperlink xmlns:r="http://schemas.openxmlformats.org/officeDocument/2006/relationships" ref="Q1927" r:id="rId3771"/>
    <hyperlink xmlns:r="http://schemas.openxmlformats.org/officeDocument/2006/relationships" ref="R1927" r:id="rId3772"/>
    <hyperlink xmlns:r="http://schemas.openxmlformats.org/officeDocument/2006/relationships" ref="Q1928" r:id="rId3773"/>
    <hyperlink xmlns:r="http://schemas.openxmlformats.org/officeDocument/2006/relationships" ref="R1928" r:id="rId3774"/>
    <hyperlink xmlns:r="http://schemas.openxmlformats.org/officeDocument/2006/relationships" ref="Q1929" r:id="rId3775"/>
    <hyperlink xmlns:r="http://schemas.openxmlformats.org/officeDocument/2006/relationships" ref="R1929" r:id="rId3776"/>
    <hyperlink xmlns:r="http://schemas.openxmlformats.org/officeDocument/2006/relationships" ref="Q1930" r:id="rId3777"/>
    <hyperlink xmlns:r="http://schemas.openxmlformats.org/officeDocument/2006/relationships" ref="R1930" r:id="rId3778"/>
    <hyperlink xmlns:r="http://schemas.openxmlformats.org/officeDocument/2006/relationships" ref="Q1931" r:id="rId3779"/>
    <hyperlink xmlns:r="http://schemas.openxmlformats.org/officeDocument/2006/relationships" ref="R1931" r:id="rId3780"/>
    <hyperlink xmlns:r="http://schemas.openxmlformats.org/officeDocument/2006/relationships" ref="Q1932" r:id="rId3781"/>
    <hyperlink xmlns:r="http://schemas.openxmlformats.org/officeDocument/2006/relationships" ref="R1932" r:id="rId3782"/>
    <hyperlink xmlns:r="http://schemas.openxmlformats.org/officeDocument/2006/relationships" ref="Q1933" r:id="rId3783"/>
    <hyperlink xmlns:r="http://schemas.openxmlformats.org/officeDocument/2006/relationships" ref="R1933" r:id="rId3784"/>
    <hyperlink xmlns:r="http://schemas.openxmlformats.org/officeDocument/2006/relationships" ref="Q1934" r:id="rId3785"/>
    <hyperlink xmlns:r="http://schemas.openxmlformats.org/officeDocument/2006/relationships" ref="Q1935" r:id="rId3786"/>
    <hyperlink xmlns:r="http://schemas.openxmlformats.org/officeDocument/2006/relationships" ref="R1935" r:id="rId3787"/>
    <hyperlink xmlns:r="http://schemas.openxmlformats.org/officeDocument/2006/relationships" ref="Q1936" r:id="rId3788"/>
    <hyperlink xmlns:r="http://schemas.openxmlformats.org/officeDocument/2006/relationships" ref="R1936" r:id="rId3789"/>
    <hyperlink xmlns:r="http://schemas.openxmlformats.org/officeDocument/2006/relationships" ref="Q1937" r:id="rId3790"/>
    <hyperlink xmlns:r="http://schemas.openxmlformats.org/officeDocument/2006/relationships" ref="R1937" r:id="rId3791"/>
    <hyperlink xmlns:r="http://schemas.openxmlformats.org/officeDocument/2006/relationships" ref="Q1938" r:id="rId3792"/>
    <hyperlink xmlns:r="http://schemas.openxmlformats.org/officeDocument/2006/relationships" ref="R1938" r:id="rId3793"/>
    <hyperlink xmlns:r="http://schemas.openxmlformats.org/officeDocument/2006/relationships" ref="Q1939" r:id="rId3794"/>
    <hyperlink xmlns:r="http://schemas.openxmlformats.org/officeDocument/2006/relationships" ref="R1939" r:id="rId3795"/>
    <hyperlink xmlns:r="http://schemas.openxmlformats.org/officeDocument/2006/relationships" ref="Q1940" r:id="rId3796"/>
    <hyperlink xmlns:r="http://schemas.openxmlformats.org/officeDocument/2006/relationships" ref="R1940" r:id="rId3797"/>
    <hyperlink xmlns:r="http://schemas.openxmlformats.org/officeDocument/2006/relationships" ref="Q1941" r:id="rId3798"/>
    <hyperlink xmlns:r="http://schemas.openxmlformats.org/officeDocument/2006/relationships" ref="R1941" r:id="rId3799"/>
    <hyperlink xmlns:r="http://schemas.openxmlformats.org/officeDocument/2006/relationships" ref="Q1942" r:id="rId3800"/>
    <hyperlink xmlns:r="http://schemas.openxmlformats.org/officeDocument/2006/relationships" ref="R1942" r:id="rId3801"/>
    <hyperlink xmlns:r="http://schemas.openxmlformats.org/officeDocument/2006/relationships" ref="Q1943" r:id="rId3802"/>
    <hyperlink xmlns:r="http://schemas.openxmlformats.org/officeDocument/2006/relationships" ref="R1943" r:id="rId3803"/>
    <hyperlink xmlns:r="http://schemas.openxmlformats.org/officeDocument/2006/relationships" ref="Q1944" r:id="rId3804"/>
    <hyperlink xmlns:r="http://schemas.openxmlformats.org/officeDocument/2006/relationships" ref="R1944" r:id="rId3805"/>
    <hyperlink xmlns:r="http://schemas.openxmlformats.org/officeDocument/2006/relationships" ref="Q1945" r:id="rId3806"/>
    <hyperlink xmlns:r="http://schemas.openxmlformats.org/officeDocument/2006/relationships" ref="R1945" r:id="rId3807"/>
    <hyperlink xmlns:r="http://schemas.openxmlformats.org/officeDocument/2006/relationships" ref="Q1946" r:id="rId3808"/>
    <hyperlink xmlns:r="http://schemas.openxmlformats.org/officeDocument/2006/relationships" ref="R1946" r:id="rId3809"/>
    <hyperlink xmlns:r="http://schemas.openxmlformats.org/officeDocument/2006/relationships" ref="Q1947" r:id="rId3810"/>
    <hyperlink xmlns:r="http://schemas.openxmlformats.org/officeDocument/2006/relationships" ref="R1947" r:id="rId3811"/>
    <hyperlink xmlns:r="http://schemas.openxmlformats.org/officeDocument/2006/relationships" ref="Q1948" r:id="rId3812"/>
    <hyperlink xmlns:r="http://schemas.openxmlformats.org/officeDocument/2006/relationships" ref="R1948" r:id="rId3813"/>
    <hyperlink xmlns:r="http://schemas.openxmlformats.org/officeDocument/2006/relationships" ref="Q1949" r:id="rId3814"/>
    <hyperlink xmlns:r="http://schemas.openxmlformats.org/officeDocument/2006/relationships" ref="R1949" r:id="rId3815"/>
    <hyperlink xmlns:r="http://schemas.openxmlformats.org/officeDocument/2006/relationships" ref="Q1950" r:id="rId3816"/>
    <hyperlink xmlns:r="http://schemas.openxmlformats.org/officeDocument/2006/relationships" ref="R1950" r:id="rId3817"/>
    <hyperlink xmlns:r="http://schemas.openxmlformats.org/officeDocument/2006/relationships" ref="Q1951" r:id="rId3818"/>
    <hyperlink xmlns:r="http://schemas.openxmlformats.org/officeDocument/2006/relationships" ref="R1951" r:id="rId3819"/>
    <hyperlink xmlns:r="http://schemas.openxmlformats.org/officeDocument/2006/relationships" ref="Q1952" r:id="rId3820"/>
    <hyperlink xmlns:r="http://schemas.openxmlformats.org/officeDocument/2006/relationships" ref="R1952" r:id="rId3821"/>
    <hyperlink xmlns:r="http://schemas.openxmlformats.org/officeDocument/2006/relationships" ref="Q1953" r:id="rId3822"/>
    <hyperlink xmlns:r="http://schemas.openxmlformats.org/officeDocument/2006/relationships" ref="R1953" r:id="rId3823"/>
    <hyperlink xmlns:r="http://schemas.openxmlformats.org/officeDocument/2006/relationships" ref="Q1954" r:id="rId3824"/>
    <hyperlink xmlns:r="http://schemas.openxmlformats.org/officeDocument/2006/relationships" ref="R1954" r:id="rId3825"/>
    <hyperlink xmlns:r="http://schemas.openxmlformats.org/officeDocument/2006/relationships" ref="Q1955" r:id="rId3826"/>
    <hyperlink xmlns:r="http://schemas.openxmlformats.org/officeDocument/2006/relationships" ref="R1955" r:id="rId3827"/>
    <hyperlink xmlns:r="http://schemas.openxmlformats.org/officeDocument/2006/relationships" ref="Q1956" r:id="rId3828"/>
    <hyperlink xmlns:r="http://schemas.openxmlformats.org/officeDocument/2006/relationships" ref="R1956" r:id="rId3829"/>
    <hyperlink xmlns:r="http://schemas.openxmlformats.org/officeDocument/2006/relationships" ref="Q1957" r:id="rId3830"/>
    <hyperlink xmlns:r="http://schemas.openxmlformats.org/officeDocument/2006/relationships" ref="R1957" r:id="rId3831"/>
    <hyperlink xmlns:r="http://schemas.openxmlformats.org/officeDocument/2006/relationships" ref="Q1958" r:id="rId3832"/>
    <hyperlink xmlns:r="http://schemas.openxmlformats.org/officeDocument/2006/relationships" ref="R1958" r:id="rId3833"/>
    <hyperlink xmlns:r="http://schemas.openxmlformats.org/officeDocument/2006/relationships" ref="Q1959" r:id="rId3834"/>
    <hyperlink xmlns:r="http://schemas.openxmlformats.org/officeDocument/2006/relationships" ref="R1959" r:id="rId3835"/>
    <hyperlink xmlns:r="http://schemas.openxmlformats.org/officeDocument/2006/relationships" ref="Q1960" r:id="rId3836"/>
    <hyperlink xmlns:r="http://schemas.openxmlformats.org/officeDocument/2006/relationships" ref="R1960" r:id="rId3837"/>
    <hyperlink xmlns:r="http://schemas.openxmlformats.org/officeDocument/2006/relationships" ref="Q1961" r:id="rId3838"/>
    <hyperlink xmlns:r="http://schemas.openxmlformats.org/officeDocument/2006/relationships" ref="R1961" r:id="rId3839"/>
    <hyperlink xmlns:r="http://schemas.openxmlformats.org/officeDocument/2006/relationships" ref="Q1962" r:id="rId3840"/>
    <hyperlink xmlns:r="http://schemas.openxmlformats.org/officeDocument/2006/relationships" ref="R1962" r:id="rId3841"/>
    <hyperlink xmlns:r="http://schemas.openxmlformats.org/officeDocument/2006/relationships" ref="Q1963" r:id="rId3842"/>
    <hyperlink xmlns:r="http://schemas.openxmlformats.org/officeDocument/2006/relationships" ref="R1963" r:id="rId3843"/>
    <hyperlink xmlns:r="http://schemas.openxmlformats.org/officeDocument/2006/relationships" ref="Q1964" r:id="rId3844"/>
    <hyperlink xmlns:r="http://schemas.openxmlformats.org/officeDocument/2006/relationships" ref="R1964" r:id="rId3845"/>
    <hyperlink xmlns:r="http://schemas.openxmlformats.org/officeDocument/2006/relationships" ref="Q1965" r:id="rId3846"/>
    <hyperlink xmlns:r="http://schemas.openxmlformats.org/officeDocument/2006/relationships" ref="R1965" r:id="rId3847"/>
    <hyperlink xmlns:r="http://schemas.openxmlformats.org/officeDocument/2006/relationships" ref="Q1966" r:id="rId3848"/>
    <hyperlink xmlns:r="http://schemas.openxmlformats.org/officeDocument/2006/relationships" ref="R1966" r:id="rId3849"/>
    <hyperlink xmlns:r="http://schemas.openxmlformats.org/officeDocument/2006/relationships" ref="Q1967" r:id="rId3850"/>
    <hyperlink xmlns:r="http://schemas.openxmlformats.org/officeDocument/2006/relationships" ref="R1967" r:id="rId3851"/>
    <hyperlink xmlns:r="http://schemas.openxmlformats.org/officeDocument/2006/relationships" ref="Q1968" r:id="rId3852"/>
    <hyperlink xmlns:r="http://schemas.openxmlformats.org/officeDocument/2006/relationships" ref="R1968" r:id="rId3853"/>
    <hyperlink xmlns:r="http://schemas.openxmlformats.org/officeDocument/2006/relationships" ref="Q1969" r:id="rId3854"/>
    <hyperlink xmlns:r="http://schemas.openxmlformats.org/officeDocument/2006/relationships" ref="R1969" r:id="rId3855"/>
    <hyperlink xmlns:r="http://schemas.openxmlformats.org/officeDocument/2006/relationships" ref="Q1970" r:id="rId3856"/>
    <hyperlink xmlns:r="http://schemas.openxmlformats.org/officeDocument/2006/relationships" ref="R1970" r:id="rId3857"/>
    <hyperlink xmlns:r="http://schemas.openxmlformats.org/officeDocument/2006/relationships" ref="Q1971" r:id="rId3858"/>
    <hyperlink xmlns:r="http://schemas.openxmlformats.org/officeDocument/2006/relationships" ref="R1971" r:id="rId3859"/>
    <hyperlink xmlns:r="http://schemas.openxmlformats.org/officeDocument/2006/relationships" ref="Q1972" r:id="rId3860"/>
    <hyperlink xmlns:r="http://schemas.openxmlformats.org/officeDocument/2006/relationships" ref="R1972" r:id="rId3861"/>
    <hyperlink xmlns:r="http://schemas.openxmlformats.org/officeDocument/2006/relationships" ref="Q1973" r:id="rId3862"/>
    <hyperlink xmlns:r="http://schemas.openxmlformats.org/officeDocument/2006/relationships" ref="R1973" r:id="rId3863"/>
    <hyperlink xmlns:r="http://schemas.openxmlformats.org/officeDocument/2006/relationships" ref="Q1974" r:id="rId3864"/>
    <hyperlink xmlns:r="http://schemas.openxmlformats.org/officeDocument/2006/relationships" ref="R1974" r:id="rId3865"/>
    <hyperlink xmlns:r="http://schemas.openxmlformats.org/officeDocument/2006/relationships" ref="Q1975" r:id="rId3866"/>
    <hyperlink xmlns:r="http://schemas.openxmlformats.org/officeDocument/2006/relationships" ref="R1975" r:id="rId3867"/>
    <hyperlink xmlns:r="http://schemas.openxmlformats.org/officeDocument/2006/relationships" ref="Q1976" r:id="rId3868"/>
    <hyperlink xmlns:r="http://schemas.openxmlformats.org/officeDocument/2006/relationships" ref="R1976" r:id="rId3869"/>
    <hyperlink xmlns:r="http://schemas.openxmlformats.org/officeDocument/2006/relationships" ref="Q1977" r:id="rId3870"/>
    <hyperlink xmlns:r="http://schemas.openxmlformats.org/officeDocument/2006/relationships" ref="R1977" r:id="rId3871"/>
    <hyperlink xmlns:r="http://schemas.openxmlformats.org/officeDocument/2006/relationships" ref="Q1978" r:id="rId3872"/>
    <hyperlink xmlns:r="http://schemas.openxmlformats.org/officeDocument/2006/relationships" ref="R1978" r:id="rId3873"/>
    <hyperlink xmlns:r="http://schemas.openxmlformats.org/officeDocument/2006/relationships" ref="Q1979" r:id="rId3874"/>
    <hyperlink xmlns:r="http://schemas.openxmlformats.org/officeDocument/2006/relationships" ref="R1979" r:id="rId3875"/>
    <hyperlink xmlns:r="http://schemas.openxmlformats.org/officeDocument/2006/relationships" ref="Q1980" r:id="rId3876"/>
    <hyperlink xmlns:r="http://schemas.openxmlformats.org/officeDocument/2006/relationships" ref="R1980" r:id="rId3877"/>
    <hyperlink xmlns:r="http://schemas.openxmlformats.org/officeDocument/2006/relationships" ref="Q1981" r:id="rId3878"/>
    <hyperlink xmlns:r="http://schemas.openxmlformats.org/officeDocument/2006/relationships" ref="R1981" r:id="rId3879"/>
    <hyperlink xmlns:r="http://schemas.openxmlformats.org/officeDocument/2006/relationships" ref="Q1982" r:id="rId3880"/>
    <hyperlink xmlns:r="http://schemas.openxmlformats.org/officeDocument/2006/relationships" ref="R1982" r:id="rId3881"/>
    <hyperlink xmlns:r="http://schemas.openxmlformats.org/officeDocument/2006/relationships" ref="Q1983" r:id="rId3882"/>
    <hyperlink xmlns:r="http://schemas.openxmlformats.org/officeDocument/2006/relationships" ref="R1983" r:id="rId3883"/>
    <hyperlink xmlns:r="http://schemas.openxmlformats.org/officeDocument/2006/relationships" ref="Q1984" r:id="rId3884"/>
    <hyperlink xmlns:r="http://schemas.openxmlformats.org/officeDocument/2006/relationships" ref="R1984" r:id="rId3885"/>
    <hyperlink xmlns:r="http://schemas.openxmlformats.org/officeDocument/2006/relationships" ref="Q1985" r:id="rId3886"/>
    <hyperlink xmlns:r="http://schemas.openxmlformats.org/officeDocument/2006/relationships" ref="R1985" r:id="rId3887"/>
    <hyperlink xmlns:r="http://schemas.openxmlformats.org/officeDocument/2006/relationships" ref="Q1986" r:id="rId3888"/>
    <hyperlink xmlns:r="http://schemas.openxmlformats.org/officeDocument/2006/relationships" ref="R1986" r:id="rId3889"/>
    <hyperlink xmlns:r="http://schemas.openxmlformats.org/officeDocument/2006/relationships" ref="Q1987" r:id="rId3890"/>
    <hyperlink xmlns:r="http://schemas.openxmlformats.org/officeDocument/2006/relationships" ref="R1987" r:id="rId3891"/>
    <hyperlink xmlns:r="http://schemas.openxmlformats.org/officeDocument/2006/relationships" ref="Q1988" r:id="rId3892"/>
    <hyperlink xmlns:r="http://schemas.openxmlformats.org/officeDocument/2006/relationships" ref="R1988" r:id="rId3893"/>
    <hyperlink xmlns:r="http://schemas.openxmlformats.org/officeDocument/2006/relationships" ref="Q1989" r:id="rId3894"/>
    <hyperlink xmlns:r="http://schemas.openxmlformats.org/officeDocument/2006/relationships" ref="R1989" r:id="rId3895"/>
    <hyperlink xmlns:r="http://schemas.openxmlformats.org/officeDocument/2006/relationships" ref="Q1990" r:id="rId3896"/>
    <hyperlink xmlns:r="http://schemas.openxmlformats.org/officeDocument/2006/relationships" ref="R1990" r:id="rId3897"/>
    <hyperlink xmlns:r="http://schemas.openxmlformats.org/officeDocument/2006/relationships" ref="Q1991" r:id="rId3898"/>
    <hyperlink xmlns:r="http://schemas.openxmlformats.org/officeDocument/2006/relationships" ref="R1991" r:id="rId3899"/>
    <hyperlink xmlns:r="http://schemas.openxmlformats.org/officeDocument/2006/relationships" ref="Q1992" r:id="rId3900"/>
    <hyperlink xmlns:r="http://schemas.openxmlformats.org/officeDocument/2006/relationships" ref="R1992" r:id="rId3901"/>
    <hyperlink xmlns:r="http://schemas.openxmlformats.org/officeDocument/2006/relationships" ref="Q1993" r:id="rId3902"/>
    <hyperlink xmlns:r="http://schemas.openxmlformats.org/officeDocument/2006/relationships" ref="R1993" r:id="rId3903"/>
    <hyperlink xmlns:r="http://schemas.openxmlformats.org/officeDocument/2006/relationships" ref="Q1994" r:id="rId3904"/>
    <hyperlink xmlns:r="http://schemas.openxmlformats.org/officeDocument/2006/relationships" ref="R1994" r:id="rId3905"/>
    <hyperlink xmlns:r="http://schemas.openxmlformats.org/officeDocument/2006/relationships" ref="Q1995" r:id="rId3906"/>
    <hyperlink xmlns:r="http://schemas.openxmlformats.org/officeDocument/2006/relationships" ref="R1995" r:id="rId3907"/>
    <hyperlink xmlns:r="http://schemas.openxmlformats.org/officeDocument/2006/relationships" ref="Q1996" r:id="rId3908"/>
    <hyperlink xmlns:r="http://schemas.openxmlformats.org/officeDocument/2006/relationships" ref="R1996" r:id="rId3909"/>
    <hyperlink xmlns:r="http://schemas.openxmlformats.org/officeDocument/2006/relationships" ref="Q1997" r:id="rId3910"/>
    <hyperlink xmlns:r="http://schemas.openxmlformats.org/officeDocument/2006/relationships" ref="R1997" r:id="rId3911"/>
    <hyperlink xmlns:r="http://schemas.openxmlformats.org/officeDocument/2006/relationships" ref="Q1998" r:id="rId3912"/>
    <hyperlink xmlns:r="http://schemas.openxmlformats.org/officeDocument/2006/relationships" ref="R1998" r:id="rId3913"/>
    <hyperlink xmlns:r="http://schemas.openxmlformats.org/officeDocument/2006/relationships" ref="Q1999" r:id="rId3914"/>
    <hyperlink xmlns:r="http://schemas.openxmlformats.org/officeDocument/2006/relationships" ref="R1999" r:id="rId3915"/>
    <hyperlink xmlns:r="http://schemas.openxmlformats.org/officeDocument/2006/relationships" ref="Q2000" r:id="rId3916"/>
    <hyperlink xmlns:r="http://schemas.openxmlformats.org/officeDocument/2006/relationships" ref="R2000" r:id="rId3917"/>
    <hyperlink xmlns:r="http://schemas.openxmlformats.org/officeDocument/2006/relationships" ref="Q2001" r:id="rId3918"/>
    <hyperlink xmlns:r="http://schemas.openxmlformats.org/officeDocument/2006/relationships" ref="R2001" r:id="rId3919"/>
    <hyperlink xmlns:r="http://schemas.openxmlformats.org/officeDocument/2006/relationships" ref="Q2002" r:id="rId3920"/>
    <hyperlink xmlns:r="http://schemas.openxmlformats.org/officeDocument/2006/relationships" ref="R2002" r:id="rId3921"/>
    <hyperlink xmlns:r="http://schemas.openxmlformats.org/officeDocument/2006/relationships" ref="Q2003" r:id="rId3922"/>
    <hyperlink xmlns:r="http://schemas.openxmlformats.org/officeDocument/2006/relationships" ref="R2003" r:id="rId3923"/>
    <hyperlink xmlns:r="http://schemas.openxmlformats.org/officeDocument/2006/relationships" ref="Q2004" r:id="rId3924"/>
    <hyperlink xmlns:r="http://schemas.openxmlformats.org/officeDocument/2006/relationships" ref="R2004" r:id="rId3925"/>
    <hyperlink xmlns:r="http://schemas.openxmlformats.org/officeDocument/2006/relationships" ref="Q2005" r:id="rId3926"/>
    <hyperlink xmlns:r="http://schemas.openxmlformats.org/officeDocument/2006/relationships" ref="R2005" r:id="rId3927"/>
    <hyperlink xmlns:r="http://schemas.openxmlformats.org/officeDocument/2006/relationships" ref="Q2006" r:id="rId3928"/>
    <hyperlink xmlns:r="http://schemas.openxmlformats.org/officeDocument/2006/relationships" ref="R2006" r:id="rId3929"/>
    <hyperlink xmlns:r="http://schemas.openxmlformats.org/officeDocument/2006/relationships" ref="Q2007" r:id="rId3930"/>
    <hyperlink xmlns:r="http://schemas.openxmlformats.org/officeDocument/2006/relationships" ref="R2007" r:id="rId3931"/>
    <hyperlink xmlns:r="http://schemas.openxmlformats.org/officeDocument/2006/relationships" ref="Q2008" r:id="rId3932"/>
    <hyperlink xmlns:r="http://schemas.openxmlformats.org/officeDocument/2006/relationships" ref="R2008" r:id="rId3933"/>
    <hyperlink xmlns:r="http://schemas.openxmlformats.org/officeDocument/2006/relationships" ref="Q2009" r:id="rId3934"/>
    <hyperlink xmlns:r="http://schemas.openxmlformats.org/officeDocument/2006/relationships" ref="R2009" r:id="rId3935"/>
    <hyperlink xmlns:r="http://schemas.openxmlformats.org/officeDocument/2006/relationships" ref="Q2010" r:id="rId3936"/>
    <hyperlink xmlns:r="http://schemas.openxmlformats.org/officeDocument/2006/relationships" ref="R2010" r:id="rId3937"/>
    <hyperlink xmlns:r="http://schemas.openxmlformats.org/officeDocument/2006/relationships" ref="Q2011" r:id="rId3938"/>
    <hyperlink xmlns:r="http://schemas.openxmlformats.org/officeDocument/2006/relationships" ref="R2011" r:id="rId3939"/>
    <hyperlink xmlns:r="http://schemas.openxmlformats.org/officeDocument/2006/relationships" ref="Q2012" r:id="rId3940"/>
    <hyperlink xmlns:r="http://schemas.openxmlformats.org/officeDocument/2006/relationships" ref="Q2013" r:id="rId3941"/>
    <hyperlink xmlns:r="http://schemas.openxmlformats.org/officeDocument/2006/relationships" ref="R2013" r:id="rId3942"/>
    <hyperlink xmlns:r="http://schemas.openxmlformats.org/officeDocument/2006/relationships" ref="Q2014" r:id="rId3943"/>
    <hyperlink xmlns:r="http://schemas.openxmlformats.org/officeDocument/2006/relationships" ref="R2014" r:id="rId3944"/>
    <hyperlink xmlns:r="http://schemas.openxmlformats.org/officeDocument/2006/relationships" ref="Q2015" r:id="rId3945"/>
    <hyperlink xmlns:r="http://schemas.openxmlformats.org/officeDocument/2006/relationships" ref="R2015" r:id="rId3946"/>
    <hyperlink xmlns:r="http://schemas.openxmlformats.org/officeDocument/2006/relationships" ref="Q2016" r:id="rId3947"/>
    <hyperlink xmlns:r="http://schemas.openxmlformats.org/officeDocument/2006/relationships" ref="R2016" r:id="rId3948"/>
    <hyperlink xmlns:r="http://schemas.openxmlformats.org/officeDocument/2006/relationships" ref="Q2017" r:id="rId3949"/>
    <hyperlink xmlns:r="http://schemas.openxmlformats.org/officeDocument/2006/relationships" ref="R2017" r:id="rId3950"/>
    <hyperlink xmlns:r="http://schemas.openxmlformats.org/officeDocument/2006/relationships" ref="Q2018" r:id="rId3951"/>
    <hyperlink xmlns:r="http://schemas.openxmlformats.org/officeDocument/2006/relationships" ref="R2018" r:id="rId3952"/>
    <hyperlink xmlns:r="http://schemas.openxmlformats.org/officeDocument/2006/relationships" ref="Q2019" r:id="rId3953"/>
    <hyperlink xmlns:r="http://schemas.openxmlformats.org/officeDocument/2006/relationships" ref="R2019" r:id="rId3954"/>
    <hyperlink xmlns:r="http://schemas.openxmlformats.org/officeDocument/2006/relationships" ref="Q2020" r:id="rId3955"/>
    <hyperlink xmlns:r="http://schemas.openxmlformats.org/officeDocument/2006/relationships" ref="R2020" r:id="rId3956"/>
    <hyperlink xmlns:r="http://schemas.openxmlformats.org/officeDocument/2006/relationships" ref="Q2021" r:id="rId3957"/>
    <hyperlink xmlns:r="http://schemas.openxmlformats.org/officeDocument/2006/relationships" ref="R2021" r:id="rId3958"/>
    <hyperlink xmlns:r="http://schemas.openxmlformats.org/officeDocument/2006/relationships" ref="Q2022" r:id="rId3959"/>
    <hyperlink xmlns:r="http://schemas.openxmlformats.org/officeDocument/2006/relationships" ref="R2022" r:id="rId3960"/>
    <hyperlink xmlns:r="http://schemas.openxmlformats.org/officeDocument/2006/relationships" ref="Q2023" r:id="rId3961"/>
    <hyperlink xmlns:r="http://schemas.openxmlformats.org/officeDocument/2006/relationships" ref="R2023" r:id="rId3962"/>
    <hyperlink xmlns:r="http://schemas.openxmlformats.org/officeDocument/2006/relationships" ref="Q2024" r:id="rId3963"/>
    <hyperlink xmlns:r="http://schemas.openxmlformats.org/officeDocument/2006/relationships" ref="Q2025" r:id="rId3964"/>
    <hyperlink xmlns:r="http://schemas.openxmlformats.org/officeDocument/2006/relationships" ref="R2025" r:id="rId3965"/>
    <hyperlink xmlns:r="http://schemas.openxmlformats.org/officeDocument/2006/relationships" ref="Q2026" r:id="rId3966"/>
    <hyperlink xmlns:r="http://schemas.openxmlformats.org/officeDocument/2006/relationships" ref="R2026" r:id="rId3967"/>
    <hyperlink xmlns:r="http://schemas.openxmlformats.org/officeDocument/2006/relationships" ref="Q2027" r:id="rId3968"/>
    <hyperlink xmlns:r="http://schemas.openxmlformats.org/officeDocument/2006/relationships" ref="R2027" r:id="rId3969"/>
    <hyperlink xmlns:r="http://schemas.openxmlformats.org/officeDocument/2006/relationships" ref="Q2028" r:id="rId3970"/>
    <hyperlink xmlns:r="http://schemas.openxmlformats.org/officeDocument/2006/relationships" ref="R2028" r:id="rId3971"/>
    <hyperlink xmlns:r="http://schemas.openxmlformats.org/officeDocument/2006/relationships" ref="Q2029" r:id="rId3972"/>
    <hyperlink xmlns:r="http://schemas.openxmlformats.org/officeDocument/2006/relationships" ref="Q2030" r:id="rId3973"/>
    <hyperlink xmlns:r="http://schemas.openxmlformats.org/officeDocument/2006/relationships" ref="R2030" r:id="rId3974"/>
    <hyperlink xmlns:r="http://schemas.openxmlformats.org/officeDocument/2006/relationships" ref="Q2031" r:id="rId3975"/>
    <hyperlink xmlns:r="http://schemas.openxmlformats.org/officeDocument/2006/relationships" ref="R2031" r:id="rId3976"/>
    <hyperlink xmlns:r="http://schemas.openxmlformats.org/officeDocument/2006/relationships" ref="Q2032" r:id="rId3977"/>
    <hyperlink xmlns:r="http://schemas.openxmlformats.org/officeDocument/2006/relationships" ref="R2032" r:id="rId3978"/>
    <hyperlink xmlns:r="http://schemas.openxmlformats.org/officeDocument/2006/relationships" ref="Q2033" r:id="rId3979"/>
    <hyperlink xmlns:r="http://schemas.openxmlformats.org/officeDocument/2006/relationships" ref="R2033" r:id="rId3980"/>
    <hyperlink xmlns:r="http://schemas.openxmlformats.org/officeDocument/2006/relationships" ref="Q2034" r:id="rId3981"/>
    <hyperlink xmlns:r="http://schemas.openxmlformats.org/officeDocument/2006/relationships" ref="R2034" r:id="rId3982"/>
    <hyperlink xmlns:r="http://schemas.openxmlformats.org/officeDocument/2006/relationships" ref="Q2035" r:id="rId3983"/>
    <hyperlink xmlns:r="http://schemas.openxmlformats.org/officeDocument/2006/relationships" ref="R2035" r:id="rId3984"/>
    <hyperlink xmlns:r="http://schemas.openxmlformats.org/officeDocument/2006/relationships" ref="Q2036" r:id="rId3985"/>
    <hyperlink xmlns:r="http://schemas.openxmlformats.org/officeDocument/2006/relationships" ref="R2036" r:id="rId3986"/>
    <hyperlink xmlns:r="http://schemas.openxmlformats.org/officeDocument/2006/relationships" ref="Q2037" r:id="rId3987"/>
    <hyperlink xmlns:r="http://schemas.openxmlformats.org/officeDocument/2006/relationships" ref="R2037" r:id="rId3988"/>
    <hyperlink xmlns:r="http://schemas.openxmlformats.org/officeDocument/2006/relationships" ref="Q2038" r:id="rId3989"/>
    <hyperlink xmlns:r="http://schemas.openxmlformats.org/officeDocument/2006/relationships" ref="R2038" r:id="rId3990"/>
    <hyperlink xmlns:r="http://schemas.openxmlformats.org/officeDocument/2006/relationships" ref="Q2039" r:id="rId3991"/>
    <hyperlink xmlns:r="http://schemas.openxmlformats.org/officeDocument/2006/relationships" ref="R2039" r:id="rId3992"/>
    <hyperlink xmlns:r="http://schemas.openxmlformats.org/officeDocument/2006/relationships" ref="Q2040" r:id="rId3993"/>
    <hyperlink xmlns:r="http://schemas.openxmlformats.org/officeDocument/2006/relationships" ref="R2040" r:id="rId3994"/>
    <hyperlink xmlns:r="http://schemas.openxmlformats.org/officeDocument/2006/relationships" ref="Q2041" r:id="rId3995"/>
    <hyperlink xmlns:r="http://schemas.openxmlformats.org/officeDocument/2006/relationships" ref="R2041" r:id="rId3996"/>
    <hyperlink xmlns:r="http://schemas.openxmlformats.org/officeDocument/2006/relationships" ref="Q2042" r:id="rId3997"/>
    <hyperlink xmlns:r="http://schemas.openxmlformats.org/officeDocument/2006/relationships" ref="R2042" r:id="rId3998"/>
    <hyperlink xmlns:r="http://schemas.openxmlformats.org/officeDocument/2006/relationships" ref="Q2043" r:id="rId3999"/>
    <hyperlink xmlns:r="http://schemas.openxmlformats.org/officeDocument/2006/relationships" ref="R2043" r:id="rId4000"/>
    <hyperlink xmlns:r="http://schemas.openxmlformats.org/officeDocument/2006/relationships" ref="Q2044" r:id="rId4001"/>
    <hyperlink xmlns:r="http://schemas.openxmlformats.org/officeDocument/2006/relationships" ref="R2044" r:id="rId4002"/>
    <hyperlink xmlns:r="http://schemas.openxmlformats.org/officeDocument/2006/relationships" ref="Q2045" r:id="rId4003"/>
    <hyperlink xmlns:r="http://schemas.openxmlformats.org/officeDocument/2006/relationships" ref="R2045" r:id="rId4004"/>
    <hyperlink xmlns:r="http://schemas.openxmlformats.org/officeDocument/2006/relationships" ref="Q2046" r:id="rId4005"/>
    <hyperlink xmlns:r="http://schemas.openxmlformats.org/officeDocument/2006/relationships" ref="R2046" r:id="rId4006"/>
    <hyperlink xmlns:r="http://schemas.openxmlformats.org/officeDocument/2006/relationships" ref="Q2047" r:id="rId4007"/>
    <hyperlink xmlns:r="http://schemas.openxmlformats.org/officeDocument/2006/relationships" ref="R2047" r:id="rId4008"/>
    <hyperlink xmlns:r="http://schemas.openxmlformats.org/officeDocument/2006/relationships" ref="Q2048" r:id="rId4009"/>
    <hyperlink xmlns:r="http://schemas.openxmlformats.org/officeDocument/2006/relationships" ref="R2048" r:id="rId4010"/>
    <hyperlink xmlns:r="http://schemas.openxmlformats.org/officeDocument/2006/relationships" ref="Q2049" r:id="rId4011"/>
    <hyperlink xmlns:r="http://schemas.openxmlformats.org/officeDocument/2006/relationships" ref="R2049" r:id="rId4012"/>
    <hyperlink xmlns:r="http://schemas.openxmlformats.org/officeDocument/2006/relationships" ref="Q2050" r:id="rId4013"/>
    <hyperlink xmlns:r="http://schemas.openxmlformats.org/officeDocument/2006/relationships" ref="R2050" r:id="rId4014"/>
    <hyperlink xmlns:r="http://schemas.openxmlformats.org/officeDocument/2006/relationships" ref="Q2051" r:id="rId4015"/>
    <hyperlink xmlns:r="http://schemas.openxmlformats.org/officeDocument/2006/relationships" ref="R2051" r:id="rId4016"/>
    <hyperlink xmlns:r="http://schemas.openxmlformats.org/officeDocument/2006/relationships" ref="Q2052" r:id="rId4017"/>
    <hyperlink xmlns:r="http://schemas.openxmlformats.org/officeDocument/2006/relationships" ref="R2052" r:id="rId4018"/>
    <hyperlink xmlns:r="http://schemas.openxmlformats.org/officeDocument/2006/relationships" ref="Q2053" r:id="rId4019"/>
    <hyperlink xmlns:r="http://schemas.openxmlformats.org/officeDocument/2006/relationships" ref="R2053" r:id="rId4020"/>
    <hyperlink xmlns:r="http://schemas.openxmlformats.org/officeDocument/2006/relationships" ref="Q2054" r:id="rId4021"/>
    <hyperlink xmlns:r="http://schemas.openxmlformats.org/officeDocument/2006/relationships" ref="R2054" r:id="rId4022"/>
    <hyperlink xmlns:r="http://schemas.openxmlformats.org/officeDocument/2006/relationships" ref="Q2055" r:id="rId4023"/>
    <hyperlink xmlns:r="http://schemas.openxmlformats.org/officeDocument/2006/relationships" ref="R2055" r:id="rId4024"/>
    <hyperlink xmlns:r="http://schemas.openxmlformats.org/officeDocument/2006/relationships" ref="Q2056" r:id="rId4025"/>
    <hyperlink xmlns:r="http://schemas.openxmlformats.org/officeDocument/2006/relationships" ref="R2056" r:id="rId4026"/>
    <hyperlink xmlns:r="http://schemas.openxmlformats.org/officeDocument/2006/relationships" ref="Q2057" r:id="rId4027"/>
    <hyperlink xmlns:r="http://schemas.openxmlformats.org/officeDocument/2006/relationships" ref="R2057" r:id="rId4028"/>
    <hyperlink xmlns:r="http://schemas.openxmlformats.org/officeDocument/2006/relationships" ref="Q2058" r:id="rId4029"/>
    <hyperlink xmlns:r="http://schemas.openxmlformats.org/officeDocument/2006/relationships" ref="R2058" r:id="rId4030"/>
    <hyperlink xmlns:r="http://schemas.openxmlformats.org/officeDocument/2006/relationships" ref="Q2059" r:id="rId4031"/>
    <hyperlink xmlns:r="http://schemas.openxmlformats.org/officeDocument/2006/relationships" ref="R2059" r:id="rId4032"/>
    <hyperlink xmlns:r="http://schemas.openxmlformats.org/officeDocument/2006/relationships" ref="Q2060" r:id="rId4033"/>
    <hyperlink xmlns:r="http://schemas.openxmlformats.org/officeDocument/2006/relationships" ref="R2060" r:id="rId4034"/>
    <hyperlink xmlns:r="http://schemas.openxmlformats.org/officeDocument/2006/relationships" ref="Q2061" r:id="rId4035"/>
    <hyperlink xmlns:r="http://schemas.openxmlformats.org/officeDocument/2006/relationships" ref="R2061" r:id="rId4036"/>
    <hyperlink xmlns:r="http://schemas.openxmlformats.org/officeDocument/2006/relationships" ref="Q2062" r:id="rId4037"/>
    <hyperlink xmlns:r="http://schemas.openxmlformats.org/officeDocument/2006/relationships" ref="Q2063" r:id="rId4038"/>
    <hyperlink xmlns:r="http://schemas.openxmlformats.org/officeDocument/2006/relationships" ref="R2063" r:id="rId4039"/>
  </hyperlinks>
  <pageMargins left="0.75" right="0.75" top="1" bottom="1" header="0.5" footer="0.5"/>
  <pageSetup orientation="landscape" paperSize="9" fitToHeight="0" fitToWidth="1"/>
  <tableParts count="1">
    <tablePart xmlns:r="http://schemas.openxmlformats.org/officeDocument/2006/relationships" r:id="rId4040"/>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2026-10-29T06:22:41Z</dcterms:created>
  <dcterms:modified xsi:type="dcterms:W3CDTF">2026-10-29T06:22:41Z</dcterms:modified>
</cp:coreProperties>
</file>